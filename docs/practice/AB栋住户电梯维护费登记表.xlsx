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200" activeTab="6"/>
  </bookViews>
  <sheets>
    <sheet name="2016年" sheetId="2" r:id="rId1"/>
    <sheet name="2017年 " sheetId="3" r:id="rId2"/>
    <sheet name="2018年" sheetId="4" r:id="rId3"/>
    <sheet name="2019年 " sheetId="5" r:id="rId4"/>
    <sheet name="2020年 " sheetId="6" r:id="rId5"/>
    <sheet name="2021年 " sheetId="7" r:id="rId6"/>
    <sheet name="2022年 " sheetId="8" r:id="rId7"/>
    <sheet name="2023年 " sheetId="9" r:id="rId8"/>
    <sheet name="2024年 " sheetId="10" r:id="rId9"/>
    <sheet name="2025年 " sheetId="11" r:id="rId10"/>
  </sheets>
  <definedNames>
    <definedName name="_xlnm._FilterDatabase" localSheetId="9" hidden="1">'2025年 '!$A$3:$Q$132</definedName>
    <definedName name="_xlnm._FilterDatabase" localSheetId="0" hidden="1">'2016年'!$A$3:$E$67</definedName>
    <definedName name="_xlnm._FilterDatabase" localSheetId="1" hidden="1">'2017年 '!$A$3:$E$67</definedName>
    <definedName name="_xlnm._FilterDatabase" localSheetId="2" hidden="1">'2018年'!$A$3:$E$67</definedName>
    <definedName name="_xlnm._FilterDatabase" localSheetId="3" hidden="1">'2019年 '!$A$3:$E$67</definedName>
    <definedName name="_xlnm._FilterDatabase" localSheetId="4" hidden="1">'2020年 '!$A$3:$E$67</definedName>
    <definedName name="_xlnm._FilterDatabase" localSheetId="5" hidden="1">'2021年 '!$A$3:$E$67</definedName>
    <definedName name="_xlnm._FilterDatabase" localSheetId="6" hidden="1">'2022年 '!$A$3:$E$67</definedName>
    <definedName name="_xlnm._FilterDatabase" localSheetId="7" hidden="1">'2023年 '!$A$3:$E$67</definedName>
    <definedName name="_xlnm._FilterDatabase" localSheetId="8" hidden="1">'2024年 '!$A$3:$E$67</definedName>
    <definedName name="_xlnm.Print_Titles" localSheetId="8">'2024年 '!$1:$3</definedName>
    <definedName name="_xlnm.Print_Titles" localSheetId="7">'2023年 '!$1:$3</definedName>
    <definedName name="_xlnm.Print_Titles" localSheetId="6">'2022年 '!$1:$3</definedName>
  </definedNames>
  <calcPr calcId="144525"/>
</workbook>
</file>

<file path=xl/sharedStrings.xml><?xml version="1.0" encoding="utf-8"?>
<sst xmlns="http://schemas.openxmlformats.org/spreadsheetml/2006/main" count="2762" uniqueCount="288">
  <si>
    <t>天峨县林朵林场新场部危改房AB栋2016年度电梯维护费收缴情况登记表</t>
  </si>
  <si>
    <t>编制部门：天峨县林朵林场计划财务科</t>
  </si>
  <si>
    <t>单位：元</t>
  </si>
  <si>
    <t>编号</t>
  </si>
  <si>
    <t>房号</t>
  </si>
  <si>
    <t>原户主</t>
  </si>
  <si>
    <t>上年余额（+）或欠交（-）</t>
  </si>
  <si>
    <t>1月已交</t>
  </si>
  <si>
    <t>2月已交</t>
  </si>
  <si>
    <t>3月已交</t>
  </si>
  <si>
    <t>4月已交</t>
  </si>
  <si>
    <t>5月已交</t>
  </si>
  <si>
    <t>6月已交</t>
  </si>
  <si>
    <t>7月已交</t>
  </si>
  <si>
    <t>8月已交</t>
  </si>
  <si>
    <t>9月已交</t>
  </si>
  <si>
    <t>10月已交</t>
  </si>
  <si>
    <t>11月已交</t>
  </si>
  <si>
    <t>12月已交</t>
  </si>
  <si>
    <t>本年余额（+）或欠交（-）</t>
  </si>
  <si>
    <t>A1801</t>
  </si>
  <si>
    <t>韦贞鸾</t>
  </si>
  <si>
    <t>A1802</t>
  </si>
  <si>
    <t>杨桂玉</t>
  </si>
  <si>
    <t>A1803</t>
  </si>
  <si>
    <t>胡远必</t>
  </si>
  <si>
    <t>A1804</t>
  </si>
  <si>
    <t>梁小凤</t>
  </si>
  <si>
    <t>A1701</t>
  </si>
  <si>
    <t>陈巧玲</t>
  </si>
  <si>
    <t>A1702</t>
  </si>
  <si>
    <t>周凤琼</t>
  </si>
  <si>
    <t>A1703</t>
  </si>
  <si>
    <t>班华钊</t>
  </si>
  <si>
    <t>A1704</t>
  </si>
  <si>
    <t>孙慧芳</t>
  </si>
  <si>
    <t>A1601</t>
  </si>
  <si>
    <t>赵花萄</t>
  </si>
  <si>
    <t>A1602</t>
  </si>
  <si>
    <t>韦玉林</t>
  </si>
  <si>
    <t>A1603</t>
  </si>
  <si>
    <t>李祖勋</t>
  </si>
  <si>
    <t>A1604</t>
  </si>
  <si>
    <t>马尚军</t>
  </si>
  <si>
    <t>A1501</t>
  </si>
  <si>
    <t>杨凤英</t>
  </si>
  <si>
    <t>A1502</t>
  </si>
  <si>
    <t>陈曙林</t>
  </si>
  <si>
    <t>A1503</t>
  </si>
  <si>
    <t>韦月鸾</t>
  </si>
  <si>
    <t>A1504</t>
  </si>
  <si>
    <t>方焕忠</t>
  </si>
  <si>
    <t>A1401</t>
  </si>
  <si>
    <t>李向农</t>
  </si>
  <si>
    <t>A1402</t>
  </si>
  <si>
    <t>邓扬静</t>
  </si>
  <si>
    <t>A1403</t>
  </si>
  <si>
    <t>黄光龙</t>
  </si>
  <si>
    <t>A1404</t>
  </si>
  <si>
    <t>杨光权</t>
  </si>
  <si>
    <t>A1301</t>
  </si>
  <si>
    <t>吴胜斌</t>
  </si>
  <si>
    <t>A1302</t>
  </si>
  <si>
    <t>韦献萍</t>
  </si>
  <si>
    <t>A1303</t>
  </si>
  <si>
    <t>黄汉冕</t>
  </si>
  <si>
    <t>A1304</t>
  </si>
  <si>
    <t>梁艳红</t>
  </si>
  <si>
    <t>A1201</t>
  </si>
  <si>
    <t>索邦卫</t>
  </si>
  <si>
    <t>A1202</t>
  </si>
  <si>
    <t>韦竹珍</t>
  </si>
  <si>
    <t>A1203</t>
  </si>
  <si>
    <t>冉光新</t>
  </si>
  <si>
    <t>A1204</t>
  </si>
  <si>
    <t>彭鸣忠</t>
  </si>
  <si>
    <t>A1103</t>
  </si>
  <si>
    <t>李莎莎</t>
  </si>
  <si>
    <t>A1104</t>
  </si>
  <si>
    <t>陈臻慧</t>
  </si>
  <si>
    <t>A1101</t>
  </si>
  <si>
    <t>吴爱叶</t>
  </si>
  <si>
    <t>A1102</t>
  </si>
  <si>
    <t>岑丽娟</t>
  </si>
  <si>
    <t>A1001</t>
  </si>
  <si>
    <t>黄敬财</t>
  </si>
  <si>
    <t>A1002</t>
  </si>
  <si>
    <t>韦永</t>
  </si>
  <si>
    <t>A1003</t>
  </si>
  <si>
    <t>黄国华</t>
  </si>
  <si>
    <t>A1004</t>
  </si>
  <si>
    <t>樊红</t>
  </si>
  <si>
    <t>A901</t>
  </si>
  <si>
    <t>吴荣庆</t>
  </si>
  <si>
    <t>A902</t>
  </si>
  <si>
    <t>韦选康</t>
  </si>
  <si>
    <t>A903</t>
  </si>
  <si>
    <t>尹明东</t>
  </si>
  <si>
    <t>A904</t>
  </si>
  <si>
    <t>赵德师</t>
  </si>
  <si>
    <t>A801</t>
  </si>
  <si>
    <t>索彩悦</t>
  </si>
  <si>
    <t>A802</t>
  </si>
  <si>
    <t>梁耀兴</t>
  </si>
  <si>
    <t>A803</t>
  </si>
  <si>
    <t>孙忠权</t>
  </si>
  <si>
    <t>A804</t>
  </si>
  <si>
    <t>薛双美</t>
  </si>
  <si>
    <t>A701</t>
  </si>
  <si>
    <t>张丹好</t>
  </si>
  <si>
    <t>A702</t>
  </si>
  <si>
    <t>秦秀银</t>
  </si>
  <si>
    <t>A703</t>
  </si>
  <si>
    <t>徐永腾</t>
  </si>
  <si>
    <t>A704</t>
  </si>
  <si>
    <t>韦建良</t>
  </si>
  <si>
    <t>A601</t>
  </si>
  <si>
    <t>黄恒富</t>
  </si>
  <si>
    <t>A602</t>
  </si>
  <si>
    <t>宁剑</t>
  </si>
  <si>
    <t>A603</t>
  </si>
  <si>
    <t>韦露帆</t>
  </si>
  <si>
    <t>A604</t>
  </si>
  <si>
    <t>黄定军</t>
  </si>
  <si>
    <t>A501</t>
  </si>
  <si>
    <t>唐运忠</t>
  </si>
  <si>
    <t>A502</t>
  </si>
  <si>
    <t>宁昌妹</t>
  </si>
  <si>
    <t>A503</t>
  </si>
  <si>
    <t>赵桂民</t>
  </si>
  <si>
    <t>A504</t>
  </si>
  <si>
    <t>何脉珠</t>
  </si>
  <si>
    <t>A401</t>
  </si>
  <si>
    <t>覃雪萍</t>
  </si>
  <si>
    <t>A402</t>
  </si>
  <si>
    <t>唐智</t>
  </si>
  <si>
    <t>A403</t>
  </si>
  <si>
    <t>韦光会</t>
  </si>
  <si>
    <t>A404</t>
  </si>
  <si>
    <t>李远干</t>
  </si>
  <si>
    <t>A301</t>
  </si>
  <si>
    <t>索文德</t>
  </si>
  <si>
    <t>A302</t>
  </si>
  <si>
    <t>班荣明</t>
  </si>
  <si>
    <t>A303</t>
  </si>
  <si>
    <t>管德明</t>
  </si>
  <si>
    <t>A304</t>
  </si>
  <si>
    <t>黄朝勇</t>
  </si>
  <si>
    <t>B1801</t>
  </si>
  <si>
    <t>杨世永</t>
  </si>
  <si>
    <t>B1802</t>
  </si>
  <si>
    <t>张永谦</t>
  </si>
  <si>
    <t>B1803</t>
  </si>
  <si>
    <t>韦春梅</t>
  </si>
  <si>
    <t>B1804</t>
  </si>
  <si>
    <t>杨世会</t>
  </si>
  <si>
    <t>B1701</t>
  </si>
  <si>
    <t>覃海宁</t>
  </si>
  <si>
    <t>B1702</t>
  </si>
  <si>
    <t>赵小华</t>
  </si>
  <si>
    <t>B1703</t>
  </si>
  <si>
    <t>兰瑞传</t>
  </si>
  <si>
    <t>B1704</t>
  </si>
  <si>
    <t>李祖干</t>
  </si>
  <si>
    <t>B1601</t>
  </si>
  <si>
    <t>吴胜聪</t>
  </si>
  <si>
    <t>B1602</t>
  </si>
  <si>
    <t>张培训</t>
  </si>
  <si>
    <t>B1603</t>
  </si>
  <si>
    <t>向凌</t>
  </si>
  <si>
    <t>B1604</t>
  </si>
  <si>
    <t>卢运理</t>
  </si>
  <si>
    <t>B1501</t>
  </si>
  <si>
    <t>黄树田</t>
  </si>
  <si>
    <t>B1502</t>
  </si>
  <si>
    <t>卢秀香</t>
  </si>
  <si>
    <t>B1503</t>
  </si>
  <si>
    <t>梁芸</t>
  </si>
  <si>
    <t>B1504</t>
  </si>
  <si>
    <t>唐月新</t>
  </si>
  <si>
    <t>B1401</t>
  </si>
  <si>
    <t>张坤远</t>
  </si>
  <si>
    <t>B1402</t>
  </si>
  <si>
    <t>唐毓辉</t>
  </si>
  <si>
    <t>B1403</t>
  </si>
  <si>
    <t>张庭强</t>
  </si>
  <si>
    <t>B1404</t>
  </si>
  <si>
    <t>杨月俞</t>
  </si>
  <si>
    <t>B1301</t>
  </si>
  <si>
    <t>薛红芳</t>
  </si>
  <si>
    <t>B1302</t>
  </si>
  <si>
    <t>尹明亮</t>
  </si>
  <si>
    <t>B1303</t>
  </si>
  <si>
    <t>黄学军</t>
  </si>
  <si>
    <t>B1304</t>
  </si>
  <si>
    <t>韦水银</t>
  </si>
  <si>
    <t>B1201</t>
  </si>
  <si>
    <t>韦勇东</t>
  </si>
  <si>
    <t>B1202</t>
  </si>
  <si>
    <t>罗其永</t>
  </si>
  <si>
    <t>B1203</t>
  </si>
  <si>
    <t>廖婉</t>
  </si>
  <si>
    <t>B1204</t>
  </si>
  <si>
    <t>张卫红</t>
  </si>
  <si>
    <t>B1101</t>
  </si>
  <si>
    <t>仇利生</t>
  </si>
  <si>
    <t>B1102</t>
  </si>
  <si>
    <t>韩雪琴</t>
  </si>
  <si>
    <t>B1103</t>
  </si>
  <si>
    <t>罗智云</t>
  </si>
  <si>
    <t>B1104</t>
  </si>
  <si>
    <t>韦丽春</t>
  </si>
  <si>
    <t>B1001</t>
  </si>
  <si>
    <t>黄恒洋</t>
  </si>
  <si>
    <t>B1002</t>
  </si>
  <si>
    <t>韦美新</t>
  </si>
  <si>
    <t>B1003</t>
  </si>
  <si>
    <t>黄浓智</t>
  </si>
  <si>
    <t>B1004</t>
  </si>
  <si>
    <t>黄荣强</t>
  </si>
  <si>
    <t>B901</t>
  </si>
  <si>
    <t>吴胜刚</t>
  </si>
  <si>
    <t>B902</t>
  </si>
  <si>
    <t>黄秀杰</t>
  </si>
  <si>
    <t>B903</t>
  </si>
  <si>
    <t>黄静琴</t>
  </si>
  <si>
    <t>B904</t>
  </si>
  <si>
    <t>韦美莲</t>
  </si>
  <si>
    <t>B801</t>
  </si>
  <si>
    <t>谭慧婕</t>
  </si>
  <si>
    <t>B802</t>
  </si>
  <si>
    <t>韩兰孝</t>
  </si>
  <si>
    <t>B803</t>
  </si>
  <si>
    <t>何珍茂</t>
  </si>
  <si>
    <t>B804</t>
  </si>
  <si>
    <t>田昌旺</t>
  </si>
  <si>
    <t>B701</t>
  </si>
  <si>
    <t>谢金容</t>
  </si>
  <si>
    <t>B702</t>
  </si>
  <si>
    <t>范桂菊</t>
  </si>
  <si>
    <t>B703</t>
  </si>
  <si>
    <t>农成</t>
  </si>
  <si>
    <t>B704</t>
  </si>
  <si>
    <t>蓝旭林</t>
  </si>
  <si>
    <t>B601</t>
  </si>
  <si>
    <t>秦义发</t>
  </si>
  <si>
    <t>B602</t>
  </si>
  <si>
    <t>黄金福</t>
  </si>
  <si>
    <t>B603</t>
  </si>
  <si>
    <t>王恩安</t>
  </si>
  <si>
    <t>B604</t>
  </si>
  <si>
    <t>龙明英</t>
  </si>
  <si>
    <t>B501</t>
  </si>
  <si>
    <t>韦朝稳</t>
  </si>
  <si>
    <t>B502</t>
  </si>
  <si>
    <t>陆复权</t>
  </si>
  <si>
    <t>B503</t>
  </si>
  <si>
    <t>韦国勋</t>
  </si>
  <si>
    <t>B504</t>
  </si>
  <si>
    <t>韦清耀</t>
  </si>
  <si>
    <t>B401</t>
  </si>
  <si>
    <t>张良</t>
  </si>
  <si>
    <t>B402</t>
  </si>
  <si>
    <t>黄汉杰</t>
  </si>
  <si>
    <t>B403</t>
  </si>
  <si>
    <t>黄侦江</t>
  </si>
  <si>
    <t>B404</t>
  </si>
  <si>
    <t>周冬梅</t>
  </si>
  <si>
    <t>B301</t>
  </si>
  <si>
    <t>B302</t>
  </si>
  <si>
    <t>田明川</t>
  </si>
  <si>
    <t>B303</t>
  </si>
  <si>
    <t>韦仕斌</t>
  </si>
  <si>
    <t>B304</t>
  </si>
  <si>
    <t>韦光伟</t>
  </si>
  <si>
    <t>合计</t>
  </si>
  <si>
    <t>天峨县林朵林场新场部危改房AB栋2017年度电梯维护费收缴情况登记表</t>
  </si>
  <si>
    <t>天峨县林朵林场新场部危改房AB栋2018年度电梯维护费收缴情况登记表</t>
  </si>
  <si>
    <t>天峨县林朵林场新场部危改房AB栋2019年度电梯维护费收缴情况登记表</t>
  </si>
  <si>
    <t>天峨县林朵林场新场部危改房AB栋2020年度电梯维护费收缴情况登记表</t>
  </si>
  <si>
    <t>天峨县林朵林场新场部危改房AB栋2021年度电梯维护费收缴情况登记表</t>
  </si>
  <si>
    <t>天峨县林朵林场新场部危改房AB栋2022年度电梯维护费收缴情况登记表</t>
  </si>
  <si>
    <t>天峨县林朵林场新场部危改房AB栋2023年度电梯维护费收缴情况登记表</t>
  </si>
  <si>
    <t>天峨县林朵林场新场部危改房AB栋2024年度电梯维护费收缴情况登记表</t>
  </si>
  <si>
    <t>2018年-2024年应交</t>
  </si>
  <si>
    <t>本年已交合计</t>
  </si>
  <si>
    <t>2018年-2024年已交</t>
  </si>
  <si>
    <t>天峨县林朵林场新场部危改房AB栋2025年度电梯维护费收缴情况登记表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</si>
</sst>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</numFmts>
  <fonts count="3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</font>
    <font>
      <sz val="14"/>
      <color theme="1"/>
      <name val="宋体"/>
      <charset val="134"/>
    </font>
    <font>
      <b/>
      <sz val="18"/>
      <color theme="1"/>
      <name val="宋体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sz val="14"/>
      <color theme="1"/>
      <name val="仿宋_GB2312"/>
      <charset val="134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2"/>
      <color rgb="FFFF0000"/>
      <name val="宋体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26" fillId="14" borderId="6" applyNumberFormat="0" applyAlignment="0" applyProtection="0">
      <alignment vertical="center"/>
    </xf>
    <xf numFmtId="0" fontId="27" fillId="14" borderId="2" applyNumberFormat="0" applyAlignment="0" applyProtection="0">
      <alignment vertical="center"/>
    </xf>
    <xf numFmtId="0" fontId="28" fillId="15" borderId="7" applyNumberForma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3" fillId="0" borderId="0">
      <alignment vertical="center"/>
    </xf>
  </cellStyleXfs>
  <cellXfs count="68">
    <xf numFmtId="0" fontId="0" fillId="0" borderId="0" xfId="0">
      <alignment vertical="center"/>
    </xf>
    <xf numFmtId="0" fontId="0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 shrinkToFit="1"/>
    </xf>
    <xf numFmtId="0" fontId="1" fillId="2" borderId="0" xfId="49" applyFont="1" applyFill="1" applyBorder="1" applyAlignment="1">
      <alignment horizontal="center" vertical="center"/>
    </xf>
    <xf numFmtId="0" fontId="2" fillId="2" borderId="0" xfId="49" applyFont="1" applyFill="1" applyAlignment="1">
      <alignment horizontal="left" vertical="center"/>
    </xf>
    <xf numFmtId="0" fontId="3" fillId="2" borderId="0" xfId="49" applyFont="1" applyFill="1" applyBorder="1" applyAlignment="1">
      <alignment horizontal="center" vertical="center" shrinkToFit="1"/>
    </xf>
    <xf numFmtId="0" fontId="2" fillId="2" borderId="1" xfId="49" applyFont="1" applyFill="1" applyBorder="1" applyAlignment="1">
      <alignment horizontal="center" vertical="center" shrinkToFit="1"/>
    </xf>
    <xf numFmtId="49" fontId="2" fillId="2" borderId="1" xfId="49" applyNumberFormat="1" applyFont="1" applyFill="1" applyBorder="1" applyAlignment="1">
      <alignment horizontal="center" vertical="center" wrapText="1" shrinkToFit="1"/>
    </xf>
    <xf numFmtId="49" fontId="2" fillId="2" borderId="1" xfId="49" applyNumberFormat="1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 wrapText="1" shrinkToFit="1"/>
    </xf>
    <xf numFmtId="0" fontId="2" fillId="2" borderId="1" xfId="0" applyNumberFormat="1" applyFont="1" applyFill="1" applyBorder="1" applyAlignment="1" applyProtection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5" fillId="2" borderId="0" xfId="0" applyFont="1" applyFill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6" fillId="2" borderId="0" xfId="49" applyFont="1" applyFill="1" applyBorder="1" applyAlignment="1">
      <alignment horizontal="center" vertical="center"/>
    </xf>
    <xf numFmtId="0" fontId="4" fillId="2" borderId="0" xfId="49" applyFont="1" applyFill="1" applyAlignment="1">
      <alignment horizontal="center" vertical="center"/>
    </xf>
    <xf numFmtId="0" fontId="6" fillId="2" borderId="0" xfId="49" applyFont="1" applyFill="1" applyBorder="1" applyAlignment="1">
      <alignment horizontal="center" vertical="center" shrinkToFit="1"/>
    </xf>
    <xf numFmtId="0" fontId="4" fillId="2" borderId="1" xfId="49" applyFont="1" applyFill="1" applyBorder="1" applyAlignment="1">
      <alignment horizontal="center" vertical="center" shrinkToFit="1"/>
    </xf>
    <xf numFmtId="49" fontId="4" fillId="2" borderId="1" xfId="49" applyNumberFormat="1" applyFont="1" applyFill="1" applyBorder="1" applyAlignment="1">
      <alignment horizontal="center" vertical="center" wrapText="1" shrinkToFit="1"/>
    </xf>
    <xf numFmtId="49" fontId="4" fillId="2" borderId="1" xfId="49" applyNumberFormat="1" applyFont="1" applyFill="1" applyBorder="1" applyAlignment="1">
      <alignment horizontal="center" vertical="center" shrinkToFit="1"/>
    </xf>
    <xf numFmtId="0" fontId="5" fillId="2" borderId="1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shrinkToFit="1"/>
    </xf>
    <xf numFmtId="0" fontId="5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/>
    </xf>
    <xf numFmtId="0" fontId="4" fillId="2" borderId="1" xfId="0" applyNumberFormat="1" applyFont="1" applyFill="1" applyBorder="1" applyAlignment="1" applyProtection="1">
      <alignment horizontal="center" vertical="center" shrinkToFit="1"/>
    </xf>
    <xf numFmtId="0" fontId="0" fillId="0" borderId="0" xfId="0" applyFont="1" applyFill="1" applyAlignment="1">
      <alignment horizontal="center" vertical="center" shrinkToFit="1"/>
    </xf>
    <xf numFmtId="0" fontId="0" fillId="0" borderId="0" xfId="0" applyFont="1" applyFill="1" applyAlignment="1">
      <alignment horizontal="center" vertical="center" shrinkToFit="1"/>
    </xf>
    <xf numFmtId="49" fontId="7" fillId="2" borderId="1" xfId="49" applyNumberFormat="1" applyFont="1" applyFill="1" applyBorder="1" applyAlignment="1">
      <alignment horizontal="center" vertical="center" wrapText="1" shrinkToFit="1"/>
    </xf>
    <xf numFmtId="176" fontId="4" fillId="2" borderId="1" xfId="0" applyNumberFormat="1" applyFont="1" applyFill="1" applyBorder="1" applyAlignment="1" applyProtection="1">
      <alignment horizontal="center" vertical="center" shrinkToFit="1"/>
    </xf>
    <xf numFmtId="176" fontId="8" fillId="2" borderId="1" xfId="0" applyNumberFormat="1" applyFont="1" applyFill="1" applyBorder="1" applyAlignment="1">
      <alignment vertical="center" shrinkToFit="1"/>
    </xf>
    <xf numFmtId="0" fontId="1" fillId="0" borderId="0" xfId="49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9" fontId="2" fillId="0" borderId="1" xfId="49" applyNumberFormat="1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 shrinkToFit="1"/>
    </xf>
    <xf numFmtId="0" fontId="0" fillId="0" borderId="1" xfId="0" applyFont="1" applyFill="1" applyBorder="1" applyAlignment="1">
      <alignment horizontal="center" vertical="center" wrapText="1" shrinkToFit="1"/>
    </xf>
    <xf numFmtId="0" fontId="9" fillId="2" borderId="1" xfId="0" applyFont="1" applyFill="1" applyBorder="1" applyAlignment="1">
      <alignment horizontal="center" vertical="center" shrinkToFit="1"/>
    </xf>
    <xf numFmtId="177" fontId="0" fillId="2" borderId="0" xfId="0" applyNumberFormat="1" applyFont="1" applyFill="1" applyAlignment="1">
      <alignment horizontal="center" vertical="center" shrinkToFit="1"/>
    </xf>
    <xf numFmtId="0" fontId="10" fillId="0" borderId="0" xfId="0" applyFont="1">
      <alignment vertical="center"/>
    </xf>
    <xf numFmtId="0" fontId="11" fillId="2" borderId="0" xfId="49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1" xfId="0" applyFont="1" applyFill="1" applyBorder="1">
      <alignment vertical="center"/>
    </xf>
    <xf numFmtId="176" fontId="8" fillId="2" borderId="1" xfId="0" applyNumberFormat="1" applyFont="1" applyFill="1" applyBorder="1" applyAlignment="1">
      <alignment vertical="center" wrapText="1"/>
    </xf>
    <xf numFmtId="176" fontId="2" fillId="2" borderId="1" xfId="0" applyNumberFormat="1" applyFont="1" applyFill="1" applyBorder="1" applyAlignment="1" applyProtection="1">
      <alignment horizontal="center" vertical="center" shrinkToFit="1"/>
    </xf>
    <xf numFmtId="176" fontId="4" fillId="2" borderId="1" xfId="0" applyNumberFormat="1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 shrinkToFit="1"/>
    </xf>
    <xf numFmtId="176" fontId="12" fillId="2" borderId="1" xfId="0" applyNumberFormat="1" applyFont="1" applyFill="1" applyBorder="1" applyAlignment="1">
      <alignment horizontal="center" vertical="center" shrinkToFit="1"/>
    </xf>
    <xf numFmtId="176" fontId="13" fillId="2" borderId="1" xfId="0" applyNumberFormat="1" applyFont="1" applyFill="1" applyBorder="1" applyAlignment="1">
      <alignment horizontal="center" vertical="center" shrinkToFit="1"/>
    </xf>
    <xf numFmtId="176" fontId="13" fillId="2" borderId="1" xfId="0" applyNumberFormat="1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 shrinkToFit="1"/>
    </xf>
    <xf numFmtId="0" fontId="1" fillId="4" borderId="0" xfId="49" applyFont="1" applyFill="1" applyBorder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49" fontId="2" fillId="4" borderId="1" xfId="49" applyNumberFormat="1" applyFont="1" applyFill="1" applyBorder="1" applyAlignment="1">
      <alignment horizontal="center" vertical="center" shrinkToFit="1"/>
    </xf>
    <xf numFmtId="0" fontId="0" fillId="4" borderId="1" xfId="0" applyFont="1" applyFill="1" applyBorder="1" applyAlignment="1">
      <alignment horizontal="center" vertical="center" shrinkToFit="1"/>
    </xf>
    <xf numFmtId="0" fontId="1" fillId="2" borderId="0" xfId="49" applyFont="1" applyFill="1" applyBorder="1" applyAlignment="1">
      <alignment horizontal="center" vertical="center" shrinkToFit="1"/>
    </xf>
    <xf numFmtId="0" fontId="2" fillId="2" borderId="0" xfId="49" applyFont="1" applyFill="1" applyAlignment="1">
      <alignment horizontal="center" vertical="center" shrinkToFi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</dxfs>
  <tableStyles count="0" defaultTableStyle="TableStyleMedium9" defaultPivotStyle="PivotStyleLight16"/>
  <colors>
    <mruColors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2"/>
  <sheetViews>
    <sheetView topLeftCell="A125" workbookViewId="0">
      <selection activeCell="M106" sqref="M106"/>
    </sheetView>
  </sheetViews>
  <sheetFormatPr defaultColWidth="9" defaultRowHeight="35" customHeight="1"/>
  <cols>
    <col min="1" max="2" width="9" style="3"/>
    <col min="3" max="3" width="11.5" style="3" customWidth="1"/>
    <col min="4" max="4" width="17.6333333333333" style="3" customWidth="1"/>
    <col min="5" max="5" width="8.88333333333333" style="3" customWidth="1"/>
    <col min="6" max="6" width="10.5" style="1" customWidth="1"/>
    <col min="7" max="16" width="9" style="1"/>
    <col min="17" max="17" width="11" style="1" customWidth="1"/>
    <col min="18" max="16384" width="9" style="2"/>
  </cols>
  <sheetData>
    <row r="1" customHeight="1" spans="1:17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1" customHeight="1" spans="1:17">
      <c r="A2" s="5" t="s">
        <v>1</v>
      </c>
      <c r="B2" s="5"/>
      <c r="C2" s="5"/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3" t="s">
        <v>2</v>
      </c>
      <c r="P2" s="13"/>
      <c r="Q2" s="13"/>
    </row>
    <row r="3" s="1" customFormat="1" ht="48" customHeight="1" spans="1:17">
      <c r="A3" s="7" t="s">
        <v>3</v>
      </c>
      <c r="B3" s="7" t="s">
        <v>4</v>
      </c>
      <c r="C3" s="7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14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/>
      <c r="E4" s="7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>
        <f>D4+E4+F4+G4+H4+I4+J4+K4+L4+M4+N4+O4+P4</f>
        <v>0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/>
      <c r="E5" s="7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>
        <f t="shared" ref="Q5:Q36" si="0">D5+E5+F5+G5+H5+I5+J5+K5+L5+M5+N5+O5+P5</f>
        <v>0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/>
      <c r="E6" s="7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>
        <f t="shared" si="0"/>
        <v>0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/>
      <c r="E7" s="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>
        <f t="shared" si="0"/>
        <v>0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/>
      <c r="E8" s="7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f t="shared" si="0"/>
        <v>0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/>
      <c r="E9" s="7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>
        <f t="shared" si="0"/>
        <v>0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/>
      <c r="E10" s="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>
        <f t="shared" si="0"/>
        <v>0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/>
      <c r="E11" s="7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>
        <f t="shared" si="0"/>
        <v>0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/>
      <c r="E12" s="7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>
        <f t="shared" si="0"/>
        <v>0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/>
      <c r="E13" s="7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>
        <f t="shared" si="0"/>
        <v>0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/>
      <c r="E14" s="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>
        <f t="shared" si="0"/>
        <v>0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/>
      <c r="E15" s="7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>
        <f t="shared" si="0"/>
        <v>0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/>
      <c r="E16" s="7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>
        <f t="shared" si="0"/>
        <v>0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/>
      <c r="E17" s="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/>
      <c r="E18" s="7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/>
      <c r="E19" s="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>
        <f t="shared" si="0"/>
        <v>0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/>
      <c r="E20" s="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>
        <f t="shared" si="0"/>
        <v>0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/>
      <c r="E21" s="7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>
        <f t="shared" si="0"/>
        <v>0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/>
      <c r="E22" s="7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>
        <f t="shared" si="0"/>
        <v>0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/>
      <c r="E23" s="7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>
        <f t="shared" si="0"/>
        <v>0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/>
      <c r="E24" s="7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>
        <f t="shared" si="0"/>
        <v>0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/>
      <c r="E25" s="7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>
        <f t="shared" si="0"/>
        <v>0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/>
      <c r="E26" s="7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>
        <f t="shared" si="0"/>
        <v>0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/>
      <c r="E27" s="7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f t="shared" si="0"/>
        <v>0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/>
      <c r="E28" s="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>
        <f t="shared" si="0"/>
        <v>0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/>
      <c r="E29" s="7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>
        <f t="shared" si="0"/>
        <v>0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/>
      <c r="E30" s="7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>
        <f t="shared" si="0"/>
        <v>0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/>
      <c r="E31" s="7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>
        <f t="shared" si="0"/>
        <v>0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/>
      <c r="E32" s="7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f t="shared" si="0"/>
        <v>0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/>
      <c r="E33" s="7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>
        <f t="shared" si="0"/>
        <v>0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/>
      <c r="E34" s="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>
        <f t="shared" si="0"/>
        <v>0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/>
      <c r="E35" s="7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>
        <f t="shared" si="0"/>
        <v>0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/>
      <c r="E36" s="7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/>
      <c r="E37" s="7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>
        <f t="shared" ref="Q37:Q68" si="1">D37+E37+F37+G37+H37+I37+J37+K37+L37+M37+N37+O37+P37</f>
        <v>0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/>
      <c r="E38" s="7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f t="shared" si="1"/>
        <v>0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/>
      <c r="E39" s="7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f t="shared" si="1"/>
        <v>0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/>
      <c r="E40" s="7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>
        <f t="shared" si="1"/>
        <v>0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/>
      <c r="E41" s="7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f t="shared" si="1"/>
        <v>0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/>
      <c r="E42" s="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f t="shared" si="1"/>
        <v>0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/>
      <c r="E43" s="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f t="shared" si="1"/>
        <v>0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/>
      <c r="E44" s="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f t="shared" si="1"/>
        <v>0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/>
      <c r="E45" s="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>
        <f t="shared" si="1"/>
        <v>0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/>
      <c r="E46" s="7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f t="shared" si="1"/>
        <v>0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/>
      <c r="E47" s="7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f t="shared" si="1"/>
        <v>0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/>
      <c r="E48" s="7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>
        <f t="shared" si="1"/>
        <v>0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/>
      <c r="E49" s="7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>
        <f t="shared" si="1"/>
        <v>0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/>
      <c r="E50" s="7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>
        <f t="shared" si="1"/>
        <v>0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/>
      <c r="E51" s="7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f t="shared" si="1"/>
        <v>0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/>
      <c r="E52" s="7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>
        <f t="shared" si="1"/>
        <v>0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/>
      <c r="E53" s="7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>
        <f t="shared" si="1"/>
        <v>0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/>
      <c r="E54" s="7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>
        <f t="shared" si="1"/>
        <v>0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/>
      <c r="E55" s="7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>
        <f t="shared" si="1"/>
        <v>0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/>
      <c r="E56" s="7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f t="shared" si="1"/>
        <v>0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/>
      <c r="E57" s="7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>
        <f t="shared" si="1"/>
        <v>0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/>
      <c r="E58" s="7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f t="shared" si="1"/>
        <v>0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/>
      <c r="E59" s="7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>
        <f t="shared" si="1"/>
        <v>0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/>
      <c r="E60" s="7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>
        <f t="shared" si="1"/>
        <v>0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/>
      <c r="E61" s="7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>
        <f t="shared" si="1"/>
        <v>0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/>
      <c r="E62" s="7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>
        <f t="shared" si="1"/>
        <v>0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/>
      <c r="E63" s="7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>
        <f t="shared" si="1"/>
        <v>0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/>
      <c r="E64" s="7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>
        <f t="shared" si="1"/>
        <v>0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/>
      <c r="E65" s="7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>
        <f t="shared" si="1"/>
        <v>0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/>
      <c r="E66" s="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>
        <f t="shared" si="1"/>
        <v>0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/>
      <c r="E67" s="7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>
        <f t="shared" si="1"/>
        <v>0</v>
      </c>
    </row>
    <row r="68" customHeight="1" spans="1:17">
      <c r="A68" s="7">
        <v>65</v>
      </c>
      <c r="B68" s="7" t="s">
        <v>148</v>
      </c>
      <c r="C68" s="10" t="s">
        <v>149</v>
      </c>
      <c r="D68" s="7"/>
      <c r="E68" s="7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>
        <f t="shared" si="1"/>
        <v>0</v>
      </c>
    </row>
    <row r="69" customHeight="1" spans="1:17">
      <c r="A69" s="7">
        <v>66</v>
      </c>
      <c r="B69" s="7" t="s">
        <v>150</v>
      </c>
      <c r="C69" s="10" t="s">
        <v>151</v>
      </c>
      <c r="D69" s="7"/>
      <c r="E69" s="7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>
        <f t="shared" ref="Q69:Q100" si="2">D69+E69+F69+G69+H69+I69+J69+K69+L69+M69+N69+O69+P69</f>
        <v>0</v>
      </c>
    </row>
    <row r="70" customHeight="1" spans="1:17">
      <c r="A70" s="7">
        <v>67</v>
      </c>
      <c r="B70" s="7" t="s">
        <v>152</v>
      </c>
      <c r="C70" s="10" t="s">
        <v>153</v>
      </c>
      <c r="D70" s="7"/>
      <c r="E70" s="7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>
        <f t="shared" si="2"/>
        <v>0</v>
      </c>
    </row>
    <row r="71" customHeight="1" spans="1:17">
      <c r="A71" s="7">
        <v>68</v>
      </c>
      <c r="B71" s="7" t="s">
        <v>154</v>
      </c>
      <c r="C71" s="10" t="s">
        <v>155</v>
      </c>
      <c r="D71" s="7"/>
      <c r="E71" s="7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>
        <f t="shared" si="2"/>
        <v>0</v>
      </c>
    </row>
    <row r="72" customHeight="1" spans="1:17">
      <c r="A72" s="7">
        <v>69</v>
      </c>
      <c r="B72" s="7" t="s">
        <v>156</v>
      </c>
      <c r="C72" s="10" t="s">
        <v>157</v>
      </c>
      <c r="D72" s="7"/>
      <c r="E72" s="7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>
        <f t="shared" si="2"/>
        <v>0</v>
      </c>
    </row>
    <row r="73" customHeight="1" spans="1:17">
      <c r="A73" s="7">
        <v>70</v>
      </c>
      <c r="B73" s="7" t="s">
        <v>158</v>
      </c>
      <c r="C73" s="10" t="s">
        <v>159</v>
      </c>
      <c r="D73" s="7"/>
      <c r="E73" s="7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>
        <f t="shared" si="2"/>
        <v>0</v>
      </c>
    </row>
    <row r="74" customHeight="1" spans="1:17">
      <c r="A74" s="7">
        <v>71</v>
      </c>
      <c r="B74" s="7" t="s">
        <v>160</v>
      </c>
      <c r="C74" s="10" t="s">
        <v>161</v>
      </c>
      <c r="D74" s="7"/>
      <c r="E74" s="7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>
        <f t="shared" si="2"/>
        <v>0</v>
      </c>
    </row>
    <row r="75" customHeight="1" spans="1:17">
      <c r="A75" s="7">
        <v>72</v>
      </c>
      <c r="B75" s="7" t="s">
        <v>162</v>
      </c>
      <c r="C75" s="10" t="s">
        <v>163</v>
      </c>
      <c r="D75" s="7"/>
      <c r="E75" s="7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>
        <f t="shared" si="2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/>
      <c r="E76" s="7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>
        <f t="shared" si="2"/>
        <v>0</v>
      </c>
    </row>
    <row r="77" customHeight="1" spans="1:17">
      <c r="A77" s="7">
        <v>74</v>
      </c>
      <c r="B77" s="7" t="s">
        <v>166</v>
      </c>
      <c r="C77" s="10" t="s">
        <v>167</v>
      </c>
      <c r="D77" s="7"/>
      <c r="E77" s="7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>
        <f t="shared" si="2"/>
        <v>0</v>
      </c>
    </row>
    <row r="78" customHeight="1" spans="1:17">
      <c r="A78" s="7">
        <v>75</v>
      </c>
      <c r="B78" s="7" t="s">
        <v>168</v>
      </c>
      <c r="C78" s="15" t="s">
        <v>169</v>
      </c>
      <c r="D78" s="7"/>
      <c r="E78" s="7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>
        <f t="shared" si="2"/>
        <v>0</v>
      </c>
    </row>
    <row r="79" customHeight="1" spans="1:17">
      <c r="A79" s="7">
        <v>76</v>
      </c>
      <c r="B79" s="7" t="s">
        <v>170</v>
      </c>
      <c r="C79" s="10" t="s">
        <v>171</v>
      </c>
      <c r="D79" s="7"/>
      <c r="E79" s="7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>
        <f t="shared" si="2"/>
        <v>0</v>
      </c>
    </row>
    <row r="80" customHeight="1" spans="1:17">
      <c r="A80" s="7">
        <v>77</v>
      </c>
      <c r="B80" s="7" t="s">
        <v>172</v>
      </c>
      <c r="C80" s="10" t="s">
        <v>173</v>
      </c>
      <c r="D80" s="7"/>
      <c r="E80" s="7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>
        <f t="shared" si="2"/>
        <v>0</v>
      </c>
    </row>
    <row r="81" customHeight="1" spans="1:17">
      <c r="A81" s="7">
        <v>78</v>
      </c>
      <c r="B81" s="7" t="s">
        <v>174</v>
      </c>
      <c r="C81" s="10" t="s">
        <v>175</v>
      </c>
      <c r="D81" s="7"/>
      <c r="E81" s="7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>
        <f t="shared" si="2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/>
      <c r="E82" s="7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>
        <f t="shared" si="2"/>
        <v>0</v>
      </c>
    </row>
    <row r="83" customHeight="1" spans="1:17">
      <c r="A83" s="7">
        <v>80</v>
      </c>
      <c r="B83" s="7" t="s">
        <v>178</v>
      </c>
      <c r="C83" s="10" t="s">
        <v>179</v>
      </c>
      <c r="D83" s="7"/>
      <c r="E83" s="7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>
        <f t="shared" si="2"/>
        <v>0</v>
      </c>
    </row>
    <row r="84" customHeight="1" spans="1:17">
      <c r="A84" s="7">
        <v>81</v>
      </c>
      <c r="B84" s="7" t="s">
        <v>180</v>
      </c>
      <c r="C84" s="10" t="s">
        <v>181</v>
      </c>
      <c r="D84" s="7"/>
      <c r="E84" s="7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>
        <f t="shared" si="2"/>
        <v>0</v>
      </c>
    </row>
    <row r="85" customHeight="1" spans="1:17">
      <c r="A85" s="7">
        <v>82</v>
      </c>
      <c r="B85" s="7" t="s">
        <v>182</v>
      </c>
      <c r="C85" s="10" t="s">
        <v>183</v>
      </c>
      <c r="D85" s="7"/>
      <c r="E85" s="7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>
        <f t="shared" si="2"/>
        <v>0</v>
      </c>
    </row>
    <row r="86" customHeight="1" spans="1:17">
      <c r="A86" s="7">
        <v>83</v>
      </c>
      <c r="B86" s="7" t="s">
        <v>184</v>
      </c>
      <c r="C86" s="10" t="s">
        <v>185</v>
      </c>
      <c r="D86" s="7"/>
      <c r="E86" s="7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>
        <f t="shared" si="2"/>
        <v>0</v>
      </c>
    </row>
    <row r="87" customHeight="1" spans="1:17">
      <c r="A87" s="7">
        <v>84</v>
      </c>
      <c r="B87" s="7" t="s">
        <v>186</v>
      </c>
      <c r="C87" s="10" t="s">
        <v>187</v>
      </c>
      <c r="D87" s="7"/>
      <c r="E87" s="7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>
        <f t="shared" si="2"/>
        <v>0</v>
      </c>
    </row>
    <row r="88" customHeight="1" spans="1:17">
      <c r="A88" s="7">
        <v>85</v>
      </c>
      <c r="B88" s="7" t="s">
        <v>188</v>
      </c>
      <c r="C88" s="10" t="s">
        <v>189</v>
      </c>
      <c r="D88" s="7"/>
      <c r="E88" s="7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>
        <f t="shared" si="2"/>
        <v>0</v>
      </c>
    </row>
    <row r="89" customHeight="1" spans="1:17">
      <c r="A89" s="7">
        <v>86</v>
      </c>
      <c r="B89" s="7" t="s">
        <v>190</v>
      </c>
      <c r="C89" s="10" t="s">
        <v>191</v>
      </c>
      <c r="D89" s="7"/>
      <c r="E89" s="7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>
        <f t="shared" si="2"/>
        <v>0</v>
      </c>
    </row>
    <row r="90" customHeight="1" spans="1:17">
      <c r="A90" s="7">
        <v>87</v>
      </c>
      <c r="B90" s="7" t="s">
        <v>192</v>
      </c>
      <c r="C90" s="10" t="s">
        <v>193</v>
      </c>
      <c r="D90" s="7"/>
      <c r="E90" s="7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>
        <f t="shared" si="2"/>
        <v>0</v>
      </c>
    </row>
    <row r="91" customHeight="1" spans="1:17">
      <c r="A91" s="7">
        <v>88</v>
      </c>
      <c r="B91" s="7" t="s">
        <v>194</v>
      </c>
      <c r="C91" s="10" t="s">
        <v>195</v>
      </c>
      <c r="D91" s="7"/>
      <c r="E91" s="7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>
        <f t="shared" si="2"/>
        <v>0</v>
      </c>
    </row>
    <row r="92" customHeight="1" spans="1:17">
      <c r="A92" s="7">
        <v>89</v>
      </c>
      <c r="B92" s="7" t="s">
        <v>196</v>
      </c>
      <c r="C92" s="10" t="s">
        <v>197</v>
      </c>
      <c r="D92" s="7"/>
      <c r="E92" s="7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>
        <f t="shared" si="2"/>
        <v>0</v>
      </c>
    </row>
    <row r="93" customHeight="1" spans="1:17">
      <c r="A93" s="7">
        <v>90</v>
      </c>
      <c r="B93" s="7" t="s">
        <v>198</v>
      </c>
      <c r="C93" s="10" t="s">
        <v>199</v>
      </c>
      <c r="D93" s="7"/>
      <c r="E93" s="7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>
        <f t="shared" si="2"/>
        <v>0</v>
      </c>
    </row>
    <row r="94" customHeight="1" spans="1:17">
      <c r="A94" s="7">
        <v>91</v>
      </c>
      <c r="B94" s="7" t="s">
        <v>200</v>
      </c>
      <c r="C94" s="10" t="s">
        <v>201</v>
      </c>
      <c r="D94" s="7"/>
      <c r="E94" s="7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>
        <f t="shared" si="2"/>
        <v>0</v>
      </c>
    </row>
    <row r="95" customHeight="1" spans="1:17">
      <c r="A95" s="7">
        <v>92</v>
      </c>
      <c r="B95" s="7" t="s">
        <v>202</v>
      </c>
      <c r="C95" s="10" t="s">
        <v>203</v>
      </c>
      <c r="D95" s="7"/>
      <c r="E95" s="7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>
        <f t="shared" si="2"/>
        <v>0</v>
      </c>
    </row>
    <row r="96" customHeight="1" spans="1:17">
      <c r="A96" s="7">
        <v>93</v>
      </c>
      <c r="B96" s="7" t="s">
        <v>204</v>
      </c>
      <c r="C96" s="10" t="s">
        <v>205</v>
      </c>
      <c r="D96" s="7"/>
      <c r="E96" s="7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>
        <f t="shared" si="2"/>
        <v>0</v>
      </c>
    </row>
    <row r="97" customHeight="1" spans="1:17">
      <c r="A97" s="7">
        <v>94</v>
      </c>
      <c r="B97" s="7" t="s">
        <v>206</v>
      </c>
      <c r="C97" s="10" t="s">
        <v>207</v>
      </c>
      <c r="D97" s="7"/>
      <c r="E97" s="7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>
        <f t="shared" si="2"/>
        <v>0</v>
      </c>
    </row>
    <row r="98" customHeight="1" spans="1:17">
      <c r="A98" s="7">
        <v>95</v>
      </c>
      <c r="B98" s="7" t="s">
        <v>208</v>
      </c>
      <c r="C98" s="10" t="s">
        <v>209</v>
      </c>
      <c r="D98" s="7"/>
      <c r="E98" s="7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>
        <f t="shared" si="2"/>
        <v>0</v>
      </c>
    </row>
    <row r="99" customHeight="1" spans="1:17">
      <c r="A99" s="7">
        <v>96</v>
      </c>
      <c r="B99" s="7" t="s">
        <v>210</v>
      </c>
      <c r="C99" s="10" t="s">
        <v>211</v>
      </c>
      <c r="D99" s="7"/>
      <c r="E99" s="7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>
        <f t="shared" si="2"/>
        <v>0</v>
      </c>
    </row>
    <row r="100" customHeight="1" spans="1:17">
      <c r="A100" s="7">
        <v>97</v>
      </c>
      <c r="B100" s="7" t="s">
        <v>212</v>
      </c>
      <c r="C100" s="10" t="s">
        <v>213</v>
      </c>
      <c r="D100" s="7"/>
      <c r="E100" s="7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>
        <f t="shared" si="2"/>
        <v>0</v>
      </c>
    </row>
    <row r="101" customHeight="1" spans="1:17">
      <c r="A101" s="7">
        <v>98</v>
      </c>
      <c r="B101" s="7" t="s">
        <v>214</v>
      </c>
      <c r="C101" s="12" t="s">
        <v>215</v>
      </c>
      <c r="D101" s="7"/>
      <c r="E101" s="7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>
        <f t="shared" ref="Q101:Q131" si="3">D101+E101+F101+G101+H101+I101+J101+K101+L101+M101+N101+O101+P101</f>
        <v>0</v>
      </c>
    </row>
    <row r="102" customHeight="1" spans="1:17">
      <c r="A102" s="7">
        <v>99</v>
      </c>
      <c r="B102" s="7" t="s">
        <v>216</v>
      </c>
      <c r="C102" s="10" t="s">
        <v>217</v>
      </c>
      <c r="D102" s="7"/>
      <c r="E102" s="7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>
        <f t="shared" si="3"/>
        <v>0</v>
      </c>
    </row>
    <row r="103" customHeight="1" spans="1:17">
      <c r="A103" s="7">
        <v>100</v>
      </c>
      <c r="B103" s="7" t="s">
        <v>218</v>
      </c>
      <c r="C103" s="10" t="s">
        <v>219</v>
      </c>
      <c r="D103" s="7"/>
      <c r="E103" s="7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>
        <f t="shared" si="3"/>
        <v>0</v>
      </c>
    </row>
    <row r="104" customHeight="1" spans="1:17">
      <c r="A104" s="7">
        <v>101</v>
      </c>
      <c r="B104" s="7" t="s">
        <v>220</v>
      </c>
      <c r="C104" s="10" t="s">
        <v>221</v>
      </c>
      <c r="D104" s="7"/>
      <c r="E104" s="7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>
        <f t="shared" si="3"/>
        <v>0</v>
      </c>
    </row>
    <row r="105" customHeight="1" spans="1:17">
      <c r="A105" s="7">
        <v>102</v>
      </c>
      <c r="B105" s="7" t="s">
        <v>222</v>
      </c>
      <c r="C105" s="10" t="s">
        <v>223</v>
      </c>
      <c r="D105" s="7"/>
      <c r="E105" s="7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>
        <f t="shared" si="3"/>
        <v>0</v>
      </c>
    </row>
    <row r="106" customHeight="1" spans="1:17">
      <c r="A106" s="7">
        <v>103</v>
      </c>
      <c r="B106" s="7" t="s">
        <v>224</v>
      </c>
      <c r="C106" s="10" t="s">
        <v>225</v>
      </c>
      <c r="D106" s="7"/>
      <c r="E106" s="7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>
        <f t="shared" si="3"/>
        <v>0</v>
      </c>
    </row>
    <row r="107" customHeight="1" spans="1:17">
      <c r="A107" s="7">
        <v>104</v>
      </c>
      <c r="B107" s="7" t="s">
        <v>226</v>
      </c>
      <c r="C107" s="10" t="s">
        <v>227</v>
      </c>
      <c r="D107" s="7"/>
      <c r="E107" s="7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>
        <f t="shared" si="3"/>
        <v>0</v>
      </c>
    </row>
    <row r="108" customHeight="1" spans="1:17">
      <c r="A108" s="7">
        <v>105</v>
      </c>
      <c r="B108" s="7" t="s">
        <v>228</v>
      </c>
      <c r="C108" s="10" t="s">
        <v>229</v>
      </c>
      <c r="D108" s="7"/>
      <c r="E108" s="7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>
        <f t="shared" si="3"/>
        <v>0</v>
      </c>
    </row>
    <row r="109" customHeight="1" spans="1:17">
      <c r="A109" s="7">
        <v>106</v>
      </c>
      <c r="B109" s="7" t="s">
        <v>230</v>
      </c>
      <c r="C109" s="10" t="s">
        <v>231</v>
      </c>
      <c r="D109" s="7"/>
      <c r="E109" s="7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>
        <f t="shared" si="3"/>
        <v>0</v>
      </c>
    </row>
    <row r="110" customHeight="1" spans="1:17">
      <c r="A110" s="7">
        <v>107</v>
      </c>
      <c r="B110" s="7" t="s">
        <v>232</v>
      </c>
      <c r="C110" s="10" t="s">
        <v>233</v>
      </c>
      <c r="D110" s="7"/>
      <c r="E110" s="7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>
        <f t="shared" si="3"/>
        <v>0</v>
      </c>
    </row>
    <row r="111" customHeight="1" spans="1:17">
      <c r="A111" s="7">
        <v>108</v>
      </c>
      <c r="B111" s="7" t="s">
        <v>234</v>
      </c>
      <c r="C111" s="10" t="s">
        <v>235</v>
      </c>
      <c r="D111" s="7"/>
      <c r="E111" s="7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>
        <f t="shared" si="3"/>
        <v>0</v>
      </c>
    </row>
    <row r="112" customHeight="1" spans="1:17">
      <c r="A112" s="7">
        <v>109</v>
      </c>
      <c r="B112" s="7" t="s">
        <v>236</v>
      </c>
      <c r="C112" s="10" t="s">
        <v>237</v>
      </c>
      <c r="D112" s="7"/>
      <c r="E112" s="7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>
        <f t="shared" si="3"/>
        <v>0</v>
      </c>
    </row>
    <row r="113" customHeight="1" spans="1:17">
      <c r="A113" s="7">
        <v>110</v>
      </c>
      <c r="B113" s="7" t="s">
        <v>238</v>
      </c>
      <c r="C113" s="10" t="s">
        <v>239</v>
      </c>
      <c r="D113" s="7"/>
      <c r="E113" s="7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>
        <f t="shared" si="3"/>
        <v>0</v>
      </c>
    </row>
    <row r="114" customHeight="1" spans="1:17">
      <c r="A114" s="7">
        <v>111</v>
      </c>
      <c r="B114" s="7" t="s">
        <v>240</v>
      </c>
      <c r="C114" s="10" t="s">
        <v>241</v>
      </c>
      <c r="D114" s="7"/>
      <c r="E114" s="7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>
        <f t="shared" si="3"/>
        <v>0</v>
      </c>
    </row>
    <row r="115" customHeight="1" spans="1:17">
      <c r="A115" s="7">
        <v>112</v>
      </c>
      <c r="B115" s="7" t="s">
        <v>242</v>
      </c>
      <c r="C115" s="10" t="s">
        <v>243</v>
      </c>
      <c r="D115" s="7"/>
      <c r="E115" s="7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>
        <f t="shared" si="3"/>
        <v>0</v>
      </c>
    </row>
    <row r="116" customHeight="1" spans="1:17">
      <c r="A116" s="7">
        <v>113</v>
      </c>
      <c r="B116" s="7" t="s">
        <v>244</v>
      </c>
      <c r="C116" s="10" t="s">
        <v>245</v>
      </c>
      <c r="D116" s="7"/>
      <c r="E116" s="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>
        <f t="shared" si="3"/>
        <v>0</v>
      </c>
    </row>
    <row r="117" customHeight="1" spans="1:17">
      <c r="A117" s="7">
        <v>114</v>
      </c>
      <c r="B117" s="7" t="s">
        <v>246</v>
      </c>
      <c r="C117" s="10" t="s">
        <v>247</v>
      </c>
      <c r="D117" s="7"/>
      <c r="E117" s="7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>
        <f t="shared" si="3"/>
        <v>0</v>
      </c>
    </row>
    <row r="118" customHeight="1" spans="1:17">
      <c r="A118" s="7">
        <v>115</v>
      </c>
      <c r="B118" s="7" t="s">
        <v>248</v>
      </c>
      <c r="C118" s="10" t="s">
        <v>249</v>
      </c>
      <c r="D118" s="7"/>
      <c r="E118" s="7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>
        <f t="shared" si="3"/>
        <v>0</v>
      </c>
    </row>
    <row r="119" customHeight="1" spans="1:17">
      <c r="A119" s="7">
        <v>116</v>
      </c>
      <c r="B119" s="7" t="s">
        <v>250</v>
      </c>
      <c r="C119" s="10" t="s">
        <v>251</v>
      </c>
      <c r="D119" s="7"/>
      <c r="E119" s="7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>
        <f t="shared" si="3"/>
        <v>0</v>
      </c>
    </row>
    <row r="120" customHeight="1" spans="1:17">
      <c r="A120" s="7">
        <v>117</v>
      </c>
      <c r="B120" s="7" t="s">
        <v>252</v>
      </c>
      <c r="C120" s="10" t="s">
        <v>253</v>
      </c>
      <c r="D120" s="7"/>
      <c r="E120" s="7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>
        <f t="shared" si="3"/>
        <v>0</v>
      </c>
    </row>
    <row r="121" customHeight="1" spans="1:17">
      <c r="A121" s="7">
        <v>118</v>
      </c>
      <c r="B121" s="7" t="s">
        <v>254</v>
      </c>
      <c r="C121" s="10" t="s">
        <v>255</v>
      </c>
      <c r="D121" s="7"/>
      <c r="E121" s="7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>
        <f t="shared" si="3"/>
        <v>0</v>
      </c>
    </row>
    <row r="122" customHeight="1" spans="1:17">
      <c r="A122" s="7">
        <v>119</v>
      </c>
      <c r="B122" s="7" t="s">
        <v>256</v>
      </c>
      <c r="C122" s="12" t="s">
        <v>257</v>
      </c>
      <c r="D122" s="7"/>
      <c r="E122" s="7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>
        <f t="shared" si="3"/>
        <v>0</v>
      </c>
    </row>
    <row r="123" customHeight="1" spans="1:17">
      <c r="A123" s="7">
        <v>120</v>
      </c>
      <c r="B123" s="7" t="s">
        <v>258</v>
      </c>
      <c r="C123" s="10" t="s">
        <v>259</v>
      </c>
      <c r="D123" s="7"/>
      <c r="E123" s="7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f t="shared" si="3"/>
        <v>0</v>
      </c>
    </row>
    <row r="124" customHeight="1" spans="1:17">
      <c r="A124" s="7">
        <v>121</v>
      </c>
      <c r="B124" s="7" t="s">
        <v>260</v>
      </c>
      <c r="C124" s="10" t="s">
        <v>261</v>
      </c>
      <c r="D124" s="7"/>
      <c r="E124" s="7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>
        <f t="shared" si="3"/>
        <v>0</v>
      </c>
    </row>
    <row r="125" customHeight="1" spans="1:17">
      <c r="A125" s="7">
        <v>122</v>
      </c>
      <c r="B125" s="7" t="s">
        <v>262</v>
      </c>
      <c r="C125" s="10" t="s">
        <v>263</v>
      </c>
      <c r="D125" s="7"/>
      <c r="E125" s="7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>
        <f t="shared" si="3"/>
        <v>0</v>
      </c>
    </row>
    <row r="126" customHeight="1" spans="1:17">
      <c r="A126" s="7">
        <v>123</v>
      </c>
      <c r="B126" s="7" t="s">
        <v>264</v>
      </c>
      <c r="C126" s="10" t="s">
        <v>265</v>
      </c>
      <c r="D126" s="7"/>
      <c r="E126" s="7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>
        <f t="shared" si="3"/>
        <v>0</v>
      </c>
    </row>
    <row r="127" customHeight="1" spans="1:17">
      <c r="A127" s="7">
        <v>124</v>
      </c>
      <c r="B127" s="7" t="s">
        <v>266</v>
      </c>
      <c r="C127" s="10" t="s">
        <v>267</v>
      </c>
      <c r="D127" s="7"/>
      <c r="E127" s="7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>
        <f t="shared" si="3"/>
        <v>0</v>
      </c>
    </row>
    <row r="128" customHeight="1" spans="1:17">
      <c r="A128" s="7">
        <v>125</v>
      </c>
      <c r="B128" s="7" t="s">
        <v>268</v>
      </c>
      <c r="C128" s="16"/>
      <c r="D128" s="7"/>
      <c r="E128" s="7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>
        <f t="shared" si="3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/>
      <c r="E129" s="7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>
        <f t="shared" si="3"/>
        <v>0</v>
      </c>
    </row>
    <row r="130" customHeight="1" spans="1:17">
      <c r="A130" s="7">
        <v>127</v>
      </c>
      <c r="B130" s="7" t="s">
        <v>271</v>
      </c>
      <c r="C130" s="10" t="s">
        <v>272</v>
      </c>
      <c r="D130" s="7"/>
      <c r="E130" s="7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>
        <f t="shared" si="3"/>
        <v>0</v>
      </c>
    </row>
    <row r="131" customHeight="1" spans="1:17">
      <c r="A131" s="7">
        <v>128</v>
      </c>
      <c r="B131" s="7" t="s">
        <v>273</v>
      </c>
      <c r="C131" s="10" t="s">
        <v>274</v>
      </c>
      <c r="D131" s="7"/>
      <c r="E131" s="7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>
        <f t="shared" si="3"/>
        <v>0</v>
      </c>
    </row>
    <row r="132" customHeight="1" spans="1:17">
      <c r="A132" s="7">
        <v>129</v>
      </c>
      <c r="B132" s="16"/>
      <c r="C132" s="16" t="s">
        <v>275</v>
      </c>
      <c r="D132" s="16">
        <f t="shared" ref="D132:Q132" si="4">SUM(D4:D131)</f>
        <v>0</v>
      </c>
      <c r="E132" s="16">
        <f t="shared" si="4"/>
        <v>0</v>
      </c>
      <c r="F132" s="16">
        <f t="shared" si="4"/>
        <v>0</v>
      </c>
      <c r="G132" s="16">
        <f t="shared" si="4"/>
        <v>0</v>
      </c>
      <c r="H132" s="16">
        <f t="shared" si="4"/>
        <v>0</v>
      </c>
      <c r="I132" s="16">
        <f t="shared" si="4"/>
        <v>0</v>
      </c>
      <c r="J132" s="16">
        <f t="shared" si="4"/>
        <v>0</v>
      </c>
      <c r="K132" s="16">
        <f t="shared" si="4"/>
        <v>0</v>
      </c>
      <c r="L132" s="16">
        <f t="shared" si="4"/>
        <v>0</v>
      </c>
      <c r="M132" s="16">
        <f t="shared" si="4"/>
        <v>0</v>
      </c>
      <c r="N132" s="16">
        <f t="shared" si="4"/>
        <v>0</v>
      </c>
      <c r="O132" s="16">
        <f t="shared" si="4"/>
        <v>0</v>
      </c>
      <c r="P132" s="16">
        <f t="shared" si="4"/>
        <v>0</v>
      </c>
      <c r="Q132" s="16">
        <f t="shared" si="4"/>
        <v>0</v>
      </c>
    </row>
  </sheetData>
  <mergeCells count="3">
    <mergeCell ref="A1:Q1"/>
    <mergeCell ref="A2:D2"/>
    <mergeCell ref="O2:Q2"/>
  </mergeCells>
  <conditionalFormatting sqref="C4:C67">
    <cfRule type="duplicateValues" dxfId="0" priority="3"/>
    <cfRule type="cellIs" dxfId="1" priority="5" operator="equal">
      <formula>0</formula>
    </cfRule>
  </conditionalFormatting>
  <conditionalFormatting sqref="C68:C127 C129:C131">
    <cfRule type="cellIs" dxfId="1" priority="1" operator="equal">
      <formula>0</formula>
    </cfRule>
    <cfRule type="cellIs" dxfId="1" priority="2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2"/>
  <sheetViews>
    <sheetView topLeftCell="A123" workbookViewId="0">
      <selection activeCell="T7" sqref="T7"/>
    </sheetView>
  </sheetViews>
  <sheetFormatPr defaultColWidth="9" defaultRowHeight="35" customHeight="1"/>
  <cols>
    <col min="1" max="2" width="9" style="3"/>
    <col min="3" max="3" width="11.5" style="3" customWidth="1"/>
    <col min="4" max="4" width="17.6333333333333" style="3" customWidth="1"/>
    <col min="5" max="5" width="8.88333333333333" style="3" customWidth="1"/>
    <col min="6" max="6" width="10.5" style="1" customWidth="1"/>
    <col min="7" max="16" width="9" style="1"/>
    <col min="17" max="17" width="11" style="1" customWidth="1"/>
    <col min="18" max="16384" width="9" style="2"/>
  </cols>
  <sheetData>
    <row r="1" customHeight="1" spans="1:17">
      <c r="A1" s="4" t="s">
        <v>276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1" customHeight="1" spans="1:17">
      <c r="A2" s="5" t="s">
        <v>1</v>
      </c>
      <c r="B2" s="5"/>
      <c r="C2" s="5"/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3" t="s">
        <v>2</v>
      </c>
      <c r="P2" s="13"/>
      <c r="Q2" s="13"/>
    </row>
    <row r="3" s="1" customFormat="1" ht="48" customHeight="1" spans="1:17">
      <c r="A3" s="7" t="s">
        <v>3</v>
      </c>
      <c r="B3" s="7" t="s">
        <v>4</v>
      </c>
      <c r="C3" s="7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14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/>
      <c r="E4" s="7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>
        <f t="shared" ref="Q4:Q67" si="0">D4+E4+F4+G4+H4+I4+J4+K4+L4+M4+N4+O4+P4</f>
        <v>0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/>
      <c r="E5" s="7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>
        <f t="shared" si="0"/>
        <v>0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/>
      <c r="E6" s="7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>
        <f t="shared" si="0"/>
        <v>0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/>
      <c r="E7" s="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>
        <f t="shared" si="0"/>
        <v>0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/>
      <c r="E8" s="7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f t="shared" si="0"/>
        <v>0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/>
      <c r="E9" s="7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>
        <f t="shared" si="0"/>
        <v>0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/>
      <c r="E10" s="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>
        <f t="shared" si="0"/>
        <v>0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/>
      <c r="E11" s="7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>
        <f t="shared" si="0"/>
        <v>0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/>
      <c r="E12" s="7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>
        <f t="shared" si="0"/>
        <v>0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/>
      <c r="E13" s="7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>
        <f t="shared" si="0"/>
        <v>0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/>
      <c r="E14" s="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>
        <f t="shared" si="0"/>
        <v>0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/>
      <c r="E15" s="7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>
        <f t="shared" si="0"/>
        <v>0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/>
      <c r="E16" s="7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>
        <f t="shared" si="0"/>
        <v>0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/>
      <c r="E17" s="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/>
      <c r="E18" s="7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/>
      <c r="E19" s="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>
        <f t="shared" si="0"/>
        <v>0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/>
      <c r="E20" s="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>
        <f t="shared" si="0"/>
        <v>0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/>
      <c r="E21" s="7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>
        <f t="shared" si="0"/>
        <v>0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/>
      <c r="E22" s="7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>
        <f t="shared" si="0"/>
        <v>0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/>
      <c r="E23" s="7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>
        <f t="shared" si="0"/>
        <v>0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/>
      <c r="E24" s="7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>
        <f t="shared" si="0"/>
        <v>0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/>
      <c r="E25" s="7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>
        <f t="shared" si="0"/>
        <v>0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/>
      <c r="E26" s="7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>
        <f t="shared" si="0"/>
        <v>0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/>
      <c r="E27" s="7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f t="shared" si="0"/>
        <v>0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/>
      <c r="E28" s="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>
        <f t="shared" si="0"/>
        <v>0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/>
      <c r="E29" s="7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>
        <f t="shared" si="0"/>
        <v>0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/>
      <c r="E30" s="7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>
        <f t="shared" si="0"/>
        <v>0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/>
      <c r="E31" s="7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>
        <f t="shared" si="0"/>
        <v>0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/>
      <c r="E32" s="7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f t="shared" si="0"/>
        <v>0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/>
      <c r="E33" s="7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>
        <f t="shared" si="0"/>
        <v>0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/>
      <c r="E34" s="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>
        <f t="shared" si="0"/>
        <v>0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/>
      <c r="E35" s="7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>
        <f t="shared" si="0"/>
        <v>0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/>
      <c r="E36" s="7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/>
      <c r="E37" s="7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>
        <f t="shared" si="0"/>
        <v>0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/>
      <c r="E38" s="7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f t="shared" si="0"/>
        <v>0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/>
      <c r="E39" s="7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f t="shared" si="0"/>
        <v>0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/>
      <c r="E40" s="7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>
        <f t="shared" si="0"/>
        <v>0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/>
      <c r="E41" s="7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f t="shared" si="0"/>
        <v>0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/>
      <c r="E42" s="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f t="shared" si="0"/>
        <v>0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/>
      <c r="E43" s="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f t="shared" si="0"/>
        <v>0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/>
      <c r="E44" s="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f t="shared" si="0"/>
        <v>0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/>
      <c r="E45" s="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>
        <f t="shared" si="0"/>
        <v>0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/>
      <c r="E46" s="7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f t="shared" si="0"/>
        <v>0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/>
      <c r="E47" s="7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f t="shared" si="0"/>
        <v>0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/>
      <c r="E48" s="7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>
        <f t="shared" si="0"/>
        <v>0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/>
      <c r="E49" s="7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>
        <f t="shared" si="0"/>
        <v>0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/>
      <c r="E50" s="7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>
        <f t="shared" si="0"/>
        <v>0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/>
      <c r="E51" s="7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f t="shared" si="0"/>
        <v>0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/>
      <c r="E52" s="7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>
        <f t="shared" si="0"/>
        <v>0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/>
      <c r="E53" s="7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>
        <f t="shared" si="0"/>
        <v>0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/>
      <c r="E54" s="7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>
        <f t="shared" si="0"/>
        <v>0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/>
      <c r="E55" s="7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>
        <f t="shared" si="0"/>
        <v>0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/>
      <c r="E56" s="7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f t="shared" si="0"/>
        <v>0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/>
      <c r="E57" s="7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>
        <f t="shared" si="0"/>
        <v>0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/>
      <c r="E58" s="7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f t="shared" si="0"/>
        <v>0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/>
      <c r="E59" s="7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>
        <f t="shared" si="0"/>
        <v>0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/>
      <c r="E60" s="7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>
        <f t="shared" si="0"/>
        <v>0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/>
      <c r="E61" s="7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>
        <f t="shared" si="0"/>
        <v>0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/>
      <c r="E62" s="7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>
        <f t="shared" si="0"/>
        <v>0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/>
      <c r="E63" s="7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>
        <f t="shared" si="0"/>
        <v>0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/>
      <c r="E64" s="7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>
        <f t="shared" si="0"/>
        <v>0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/>
      <c r="E65" s="7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>
        <f t="shared" si="0"/>
        <v>0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/>
      <c r="E66" s="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>
        <f t="shared" si="0"/>
        <v>0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/>
      <c r="E67" s="7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>
        <f t="shared" si="0"/>
        <v>0</v>
      </c>
    </row>
    <row r="68" customHeight="1" spans="1:17">
      <c r="A68" s="7">
        <v>65</v>
      </c>
      <c r="B68" s="7" t="s">
        <v>148</v>
      </c>
      <c r="C68" s="10" t="s">
        <v>149</v>
      </c>
      <c r="D68" s="7"/>
      <c r="E68" s="7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>
        <f t="shared" ref="Q68:Q131" si="1">D68+E68+F68+G68+H68+I68+J68+K68+L68+M68+N68+O68+P68</f>
        <v>0</v>
      </c>
    </row>
    <row r="69" customHeight="1" spans="1:17">
      <c r="A69" s="7">
        <v>66</v>
      </c>
      <c r="B69" s="7" t="s">
        <v>150</v>
      </c>
      <c r="C69" s="10" t="s">
        <v>151</v>
      </c>
      <c r="D69" s="7"/>
      <c r="E69" s="7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>
        <f t="shared" si="1"/>
        <v>0</v>
      </c>
    </row>
    <row r="70" customHeight="1" spans="1:17">
      <c r="A70" s="7">
        <v>67</v>
      </c>
      <c r="B70" s="7" t="s">
        <v>152</v>
      </c>
      <c r="C70" s="10" t="s">
        <v>153</v>
      </c>
      <c r="D70" s="7"/>
      <c r="E70" s="7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>
        <f t="shared" si="1"/>
        <v>0</v>
      </c>
    </row>
    <row r="71" customHeight="1" spans="1:17">
      <c r="A71" s="7">
        <v>68</v>
      </c>
      <c r="B71" s="7" t="s">
        <v>154</v>
      </c>
      <c r="C71" s="10" t="s">
        <v>155</v>
      </c>
      <c r="D71" s="7"/>
      <c r="E71" s="7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>
        <f t="shared" si="1"/>
        <v>0</v>
      </c>
    </row>
    <row r="72" customHeight="1" spans="1:17">
      <c r="A72" s="7">
        <v>69</v>
      </c>
      <c r="B72" s="7" t="s">
        <v>156</v>
      </c>
      <c r="C72" s="10" t="s">
        <v>157</v>
      </c>
      <c r="D72" s="7"/>
      <c r="E72" s="7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>
        <f t="shared" si="1"/>
        <v>0</v>
      </c>
    </row>
    <row r="73" customHeight="1" spans="1:17">
      <c r="A73" s="7">
        <v>70</v>
      </c>
      <c r="B73" s="7" t="s">
        <v>158</v>
      </c>
      <c r="C73" s="10" t="s">
        <v>159</v>
      </c>
      <c r="D73" s="7"/>
      <c r="E73" s="7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>
        <f t="shared" si="1"/>
        <v>0</v>
      </c>
    </row>
    <row r="74" customHeight="1" spans="1:17">
      <c r="A74" s="7">
        <v>71</v>
      </c>
      <c r="B74" s="7" t="s">
        <v>160</v>
      </c>
      <c r="C74" s="10" t="s">
        <v>161</v>
      </c>
      <c r="D74" s="7"/>
      <c r="E74" s="7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>
        <f t="shared" si="1"/>
        <v>0</v>
      </c>
    </row>
    <row r="75" customHeight="1" spans="1:17">
      <c r="A75" s="7">
        <v>72</v>
      </c>
      <c r="B75" s="7" t="s">
        <v>162</v>
      </c>
      <c r="C75" s="10" t="s">
        <v>163</v>
      </c>
      <c r="D75" s="7"/>
      <c r="E75" s="7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>
        <f t="shared" si="1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/>
      <c r="E76" s="7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>
        <f t="shared" si="1"/>
        <v>0</v>
      </c>
    </row>
    <row r="77" customHeight="1" spans="1:17">
      <c r="A77" s="7">
        <v>74</v>
      </c>
      <c r="B77" s="7" t="s">
        <v>166</v>
      </c>
      <c r="C77" s="10" t="s">
        <v>167</v>
      </c>
      <c r="D77" s="7"/>
      <c r="E77" s="7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>
        <f t="shared" si="1"/>
        <v>0</v>
      </c>
    </row>
    <row r="78" customHeight="1" spans="1:17">
      <c r="A78" s="7">
        <v>75</v>
      </c>
      <c r="B78" s="7" t="s">
        <v>168</v>
      </c>
      <c r="C78" s="15" t="s">
        <v>169</v>
      </c>
      <c r="D78" s="7"/>
      <c r="E78" s="7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>
        <f t="shared" si="1"/>
        <v>0</v>
      </c>
    </row>
    <row r="79" customHeight="1" spans="1:17">
      <c r="A79" s="7">
        <v>76</v>
      </c>
      <c r="B79" s="7" t="s">
        <v>170</v>
      </c>
      <c r="C79" s="10" t="s">
        <v>171</v>
      </c>
      <c r="D79" s="7"/>
      <c r="E79" s="7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>
        <f t="shared" si="1"/>
        <v>0</v>
      </c>
    </row>
    <row r="80" customHeight="1" spans="1:17">
      <c r="A80" s="7">
        <v>77</v>
      </c>
      <c r="B80" s="7" t="s">
        <v>172</v>
      </c>
      <c r="C80" s="10" t="s">
        <v>173</v>
      </c>
      <c r="D80" s="7"/>
      <c r="E80" s="7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>
        <f t="shared" si="1"/>
        <v>0</v>
      </c>
    </row>
    <row r="81" customHeight="1" spans="1:17">
      <c r="A81" s="7">
        <v>78</v>
      </c>
      <c r="B81" s="7" t="s">
        <v>174</v>
      </c>
      <c r="C81" s="10" t="s">
        <v>175</v>
      </c>
      <c r="D81" s="7"/>
      <c r="E81" s="7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>
        <f t="shared" si="1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/>
      <c r="E82" s="7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>
        <f t="shared" si="1"/>
        <v>0</v>
      </c>
    </row>
    <row r="83" customHeight="1" spans="1:17">
      <c r="A83" s="7">
        <v>80</v>
      </c>
      <c r="B83" s="7" t="s">
        <v>178</v>
      </c>
      <c r="C83" s="10" t="s">
        <v>179</v>
      </c>
      <c r="D83" s="7"/>
      <c r="E83" s="7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>
        <f t="shared" si="1"/>
        <v>0</v>
      </c>
    </row>
    <row r="84" customHeight="1" spans="1:17">
      <c r="A84" s="7">
        <v>81</v>
      </c>
      <c r="B84" s="7" t="s">
        <v>180</v>
      </c>
      <c r="C84" s="10" t="s">
        <v>181</v>
      </c>
      <c r="D84" s="7"/>
      <c r="E84" s="7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>
        <f t="shared" si="1"/>
        <v>0</v>
      </c>
    </row>
    <row r="85" customHeight="1" spans="1:17">
      <c r="A85" s="7">
        <v>82</v>
      </c>
      <c r="B85" s="7" t="s">
        <v>182</v>
      </c>
      <c r="C85" s="10" t="s">
        <v>183</v>
      </c>
      <c r="D85" s="7"/>
      <c r="E85" s="7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>
        <f t="shared" si="1"/>
        <v>0</v>
      </c>
    </row>
    <row r="86" customHeight="1" spans="1:17">
      <c r="A86" s="7">
        <v>83</v>
      </c>
      <c r="B86" s="7" t="s">
        <v>184</v>
      </c>
      <c r="C86" s="10" t="s">
        <v>185</v>
      </c>
      <c r="D86" s="7"/>
      <c r="E86" s="7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>
        <f t="shared" si="1"/>
        <v>0</v>
      </c>
    </row>
    <row r="87" customHeight="1" spans="1:17">
      <c r="A87" s="7">
        <v>84</v>
      </c>
      <c r="B87" s="7" t="s">
        <v>186</v>
      </c>
      <c r="C87" s="10" t="s">
        <v>187</v>
      </c>
      <c r="D87" s="7"/>
      <c r="E87" s="7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>
        <f t="shared" si="1"/>
        <v>0</v>
      </c>
    </row>
    <row r="88" customHeight="1" spans="1:17">
      <c r="A88" s="7">
        <v>85</v>
      </c>
      <c r="B88" s="7" t="s">
        <v>188</v>
      </c>
      <c r="C88" s="10" t="s">
        <v>189</v>
      </c>
      <c r="D88" s="7"/>
      <c r="E88" s="7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>
        <f t="shared" si="1"/>
        <v>0</v>
      </c>
    </row>
    <row r="89" customHeight="1" spans="1:17">
      <c r="A89" s="7">
        <v>86</v>
      </c>
      <c r="B89" s="7" t="s">
        <v>190</v>
      </c>
      <c r="C89" s="10" t="s">
        <v>191</v>
      </c>
      <c r="D89" s="7"/>
      <c r="E89" s="7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>
        <f t="shared" si="1"/>
        <v>0</v>
      </c>
    </row>
    <row r="90" customHeight="1" spans="1:17">
      <c r="A90" s="7">
        <v>87</v>
      </c>
      <c r="B90" s="7" t="s">
        <v>192</v>
      </c>
      <c r="C90" s="10" t="s">
        <v>193</v>
      </c>
      <c r="D90" s="7"/>
      <c r="E90" s="7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>
        <f t="shared" si="1"/>
        <v>0</v>
      </c>
    </row>
    <row r="91" customHeight="1" spans="1:17">
      <c r="A91" s="7">
        <v>88</v>
      </c>
      <c r="B91" s="7" t="s">
        <v>194</v>
      </c>
      <c r="C91" s="10" t="s">
        <v>195</v>
      </c>
      <c r="D91" s="7"/>
      <c r="E91" s="7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>
        <f t="shared" si="1"/>
        <v>0</v>
      </c>
    </row>
    <row r="92" customHeight="1" spans="1:17">
      <c r="A92" s="7">
        <v>89</v>
      </c>
      <c r="B92" s="7" t="s">
        <v>196</v>
      </c>
      <c r="C92" s="10" t="s">
        <v>197</v>
      </c>
      <c r="D92" s="7"/>
      <c r="E92" s="7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>
        <f t="shared" si="1"/>
        <v>0</v>
      </c>
    </row>
    <row r="93" customHeight="1" spans="1:17">
      <c r="A93" s="7">
        <v>90</v>
      </c>
      <c r="B93" s="7" t="s">
        <v>198</v>
      </c>
      <c r="C93" s="10" t="s">
        <v>199</v>
      </c>
      <c r="D93" s="7"/>
      <c r="E93" s="7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>
        <f t="shared" si="1"/>
        <v>0</v>
      </c>
    </row>
    <row r="94" customHeight="1" spans="1:17">
      <c r="A94" s="7">
        <v>91</v>
      </c>
      <c r="B94" s="7" t="s">
        <v>200</v>
      </c>
      <c r="C94" s="10" t="s">
        <v>201</v>
      </c>
      <c r="D94" s="7"/>
      <c r="E94" s="7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>
        <f t="shared" si="1"/>
        <v>0</v>
      </c>
    </row>
    <row r="95" customHeight="1" spans="1:17">
      <c r="A95" s="7">
        <v>92</v>
      </c>
      <c r="B95" s="7" t="s">
        <v>202</v>
      </c>
      <c r="C95" s="10" t="s">
        <v>203</v>
      </c>
      <c r="D95" s="7"/>
      <c r="E95" s="7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>
        <f t="shared" si="1"/>
        <v>0</v>
      </c>
    </row>
    <row r="96" customHeight="1" spans="1:17">
      <c r="A96" s="7">
        <v>93</v>
      </c>
      <c r="B96" s="7" t="s">
        <v>204</v>
      </c>
      <c r="C96" s="10" t="s">
        <v>205</v>
      </c>
      <c r="D96" s="7"/>
      <c r="E96" s="7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>
        <f t="shared" si="1"/>
        <v>0</v>
      </c>
    </row>
    <row r="97" customHeight="1" spans="1:17">
      <c r="A97" s="7">
        <v>94</v>
      </c>
      <c r="B97" s="7" t="s">
        <v>206</v>
      </c>
      <c r="C97" s="10" t="s">
        <v>207</v>
      </c>
      <c r="D97" s="7"/>
      <c r="E97" s="7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>
        <f t="shared" si="1"/>
        <v>0</v>
      </c>
    </row>
    <row r="98" customHeight="1" spans="1:17">
      <c r="A98" s="7">
        <v>95</v>
      </c>
      <c r="B98" s="7" t="s">
        <v>208</v>
      </c>
      <c r="C98" s="10" t="s">
        <v>209</v>
      </c>
      <c r="D98" s="7"/>
      <c r="E98" s="7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>
        <f t="shared" si="1"/>
        <v>0</v>
      </c>
    </row>
    <row r="99" customHeight="1" spans="1:17">
      <c r="A99" s="7">
        <v>96</v>
      </c>
      <c r="B99" s="7" t="s">
        <v>210</v>
      </c>
      <c r="C99" s="10" t="s">
        <v>211</v>
      </c>
      <c r="D99" s="7"/>
      <c r="E99" s="7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>
        <f t="shared" si="1"/>
        <v>0</v>
      </c>
    </row>
    <row r="100" customHeight="1" spans="1:17">
      <c r="A100" s="7">
        <v>97</v>
      </c>
      <c r="B100" s="7" t="s">
        <v>212</v>
      </c>
      <c r="C100" s="10" t="s">
        <v>213</v>
      </c>
      <c r="D100" s="7"/>
      <c r="E100" s="7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>
        <f t="shared" si="1"/>
        <v>0</v>
      </c>
    </row>
    <row r="101" customHeight="1" spans="1:17">
      <c r="A101" s="7">
        <v>98</v>
      </c>
      <c r="B101" s="7" t="s">
        <v>214</v>
      </c>
      <c r="C101" s="12" t="s">
        <v>215</v>
      </c>
      <c r="D101" s="7"/>
      <c r="E101" s="7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>
        <f t="shared" si="1"/>
        <v>0</v>
      </c>
    </row>
    <row r="102" customHeight="1" spans="1:17">
      <c r="A102" s="7">
        <v>99</v>
      </c>
      <c r="B102" s="7" t="s">
        <v>216</v>
      </c>
      <c r="C102" s="10" t="s">
        <v>217</v>
      </c>
      <c r="D102" s="7"/>
      <c r="E102" s="7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>
        <f t="shared" si="1"/>
        <v>0</v>
      </c>
    </row>
    <row r="103" customHeight="1" spans="1:17">
      <c r="A103" s="7">
        <v>100</v>
      </c>
      <c r="B103" s="7" t="s">
        <v>218</v>
      </c>
      <c r="C103" s="10" t="s">
        <v>219</v>
      </c>
      <c r="D103" s="7"/>
      <c r="E103" s="7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>
        <f t="shared" si="1"/>
        <v>0</v>
      </c>
    </row>
    <row r="104" customHeight="1" spans="1:17">
      <c r="A104" s="7">
        <v>101</v>
      </c>
      <c r="B104" s="7" t="s">
        <v>220</v>
      </c>
      <c r="C104" s="10" t="s">
        <v>221</v>
      </c>
      <c r="D104" s="7"/>
      <c r="E104" s="7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>
        <f t="shared" si="1"/>
        <v>0</v>
      </c>
    </row>
    <row r="105" customHeight="1" spans="1:17">
      <c r="A105" s="7">
        <v>102</v>
      </c>
      <c r="B105" s="7" t="s">
        <v>222</v>
      </c>
      <c r="C105" s="10" t="s">
        <v>223</v>
      </c>
      <c r="D105" s="7"/>
      <c r="E105" s="7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>
        <f t="shared" si="1"/>
        <v>0</v>
      </c>
    </row>
    <row r="106" customHeight="1" spans="1:17">
      <c r="A106" s="7">
        <v>103</v>
      </c>
      <c r="B106" s="7" t="s">
        <v>224</v>
      </c>
      <c r="C106" s="10" t="s">
        <v>225</v>
      </c>
      <c r="D106" s="7"/>
      <c r="E106" s="7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>
        <f t="shared" si="1"/>
        <v>0</v>
      </c>
    </row>
    <row r="107" customHeight="1" spans="1:17">
      <c r="A107" s="7">
        <v>104</v>
      </c>
      <c r="B107" s="7" t="s">
        <v>226</v>
      </c>
      <c r="C107" s="10" t="s">
        <v>227</v>
      </c>
      <c r="D107" s="7"/>
      <c r="E107" s="7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>
        <f t="shared" si="1"/>
        <v>0</v>
      </c>
    </row>
    <row r="108" customHeight="1" spans="1:17">
      <c r="A108" s="7">
        <v>105</v>
      </c>
      <c r="B108" s="7" t="s">
        <v>228</v>
      </c>
      <c r="C108" s="10" t="s">
        <v>229</v>
      </c>
      <c r="D108" s="7"/>
      <c r="E108" s="7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>
        <f t="shared" si="1"/>
        <v>0</v>
      </c>
    </row>
    <row r="109" customHeight="1" spans="1:17">
      <c r="A109" s="7">
        <v>106</v>
      </c>
      <c r="B109" s="7" t="s">
        <v>230</v>
      </c>
      <c r="C109" s="10" t="s">
        <v>231</v>
      </c>
      <c r="D109" s="7"/>
      <c r="E109" s="7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>
        <f t="shared" si="1"/>
        <v>0</v>
      </c>
    </row>
    <row r="110" customHeight="1" spans="1:17">
      <c r="A110" s="7">
        <v>107</v>
      </c>
      <c r="B110" s="7" t="s">
        <v>232</v>
      </c>
      <c r="C110" s="10" t="s">
        <v>233</v>
      </c>
      <c r="D110" s="7"/>
      <c r="E110" s="7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>
        <f t="shared" si="1"/>
        <v>0</v>
      </c>
    </row>
    <row r="111" customHeight="1" spans="1:17">
      <c r="A111" s="7">
        <v>108</v>
      </c>
      <c r="B111" s="7" t="s">
        <v>234</v>
      </c>
      <c r="C111" s="10" t="s">
        <v>235</v>
      </c>
      <c r="D111" s="7"/>
      <c r="E111" s="7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>
        <f t="shared" si="1"/>
        <v>0</v>
      </c>
    </row>
    <row r="112" customHeight="1" spans="1:17">
      <c r="A112" s="7">
        <v>109</v>
      </c>
      <c r="B112" s="7" t="s">
        <v>236</v>
      </c>
      <c r="C112" s="10" t="s">
        <v>237</v>
      </c>
      <c r="D112" s="7"/>
      <c r="E112" s="7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>
        <f t="shared" si="1"/>
        <v>0</v>
      </c>
    </row>
    <row r="113" customHeight="1" spans="1:17">
      <c r="A113" s="7">
        <v>110</v>
      </c>
      <c r="B113" s="7" t="s">
        <v>238</v>
      </c>
      <c r="C113" s="10" t="s">
        <v>239</v>
      </c>
      <c r="D113" s="7"/>
      <c r="E113" s="7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>
        <f t="shared" si="1"/>
        <v>0</v>
      </c>
    </row>
    <row r="114" customHeight="1" spans="1:17">
      <c r="A114" s="7">
        <v>111</v>
      </c>
      <c r="B114" s="7" t="s">
        <v>240</v>
      </c>
      <c r="C114" s="10" t="s">
        <v>241</v>
      </c>
      <c r="D114" s="7"/>
      <c r="E114" s="7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>
        <f t="shared" si="1"/>
        <v>0</v>
      </c>
    </row>
    <row r="115" customHeight="1" spans="1:17">
      <c r="A115" s="7">
        <v>112</v>
      </c>
      <c r="B115" s="7" t="s">
        <v>242</v>
      </c>
      <c r="C115" s="10" t="s">
        <v>243</v>
      </c>
      <c r="D115" s="7"/>
      <c r="E115" s="7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>
        <f t="shared" si="1"/>
        <v>0</v>
      </c>
    </row>
    <row r="116" customHeight="1" spans="1:17">
      <c r="A116" s="7">
        <v>113</v>
      </c>
      <c r="B116" s="7" t="s">
        <v>244</v>
      </c>
      <c r="C116" s="10" t="s">
        <v>245</v>
      </c>
      <c r="D116" s="7"/>
      <c r="E116" s="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>
        <f t="shared" si="1"/>
        <v>0</v>
      </c>
    </row>
    <row r="117" customHeight="1" spans="1:17">
      <c r="A117" s="7">
        <v>114</v>
      </c>
      <c r="B117" s="7" t="s">
        <v>246</v>
      </c>
      <c r="C117" s="10" t="s">
        <v>247</v>
      </c>
      <c r="D117" s="7"/>
      <c r="E117" s="7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>
        <f t="shared" si="1"/>
        <v>0</v>
      </c>
    </row>
    <row r="118" customHeight="1" spans="1:17">
      <c r="A118" s="7">
        <v>115</v>
      </c>
      <c r="B118" s="7" t="s">
        <v>248</v>
      </c>
      <c r="C118" s="10" t="s">
        <v>249</v>
      </c>
      <c r="D118" s="7"/>
      <c r="E118" s="7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>
        <f t="shared" si="1"/>
        <v>0</v>
      </c>
    </row>
    <row r="119" customHeight="1" spans="1:17">
      <c r="A119" s="7">
        <v>116</v>
      </c>
      <c r="B119" s="7" t="s">
        <v>250</v>
      </c>
      <c r="C119" s="10" t="s">
        <v>251</v>
      </c>
      <c r="D119" s="7"/>
      <c r="E119" s="7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>
        <f t="shared" si="1"/>
        <v>0</v>
      </c>
    </row>
    <row r="120" customHeight="1" spans="1:17">
      <c r="A120" s="7">
        <v>117</v>
      </c>
      <c r="B120" s="7" t="s">
        <v>252</v>
      </c>
      <c r="C120" s="10" t="s">
        <v>253</v>
      </c>
      <c r="D120" s="7"/>
      <c r="E120" s="7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>
        <f t="shared" si="1"/>
        <v>0</v>
      </c>
    </row>
    <row r="121" customHeight="1" spans="1:17">
      <c r="A121" s="7">
        <v>118</v>
      </c>
      <c r="B121" s="7" t="s">
        <v>254</v>
      </c>
      <c r="C121" s="10" t="s">
        <v>255</v>
      </c>
      <c r="D121" s="7"/>
      <c r="E121" s="7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>
        <f t="shared" si="1"/>
        <v>0</v>
      </c>
    </row>
    <row r="122" customHeight="1" spans="1:17">
      <c r="A122" s="7">
        <v>119</v>
      </c>
      <c r="B122" s="7" t="s">
        <v>256</v>
      </c>
      <c r="C122" s="12" t="s">
        <v>257</v>
      </c>
      <c r="D122" s="7"/>
      <c r="E122" s="7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>
        <f t="shared" si="1"/>
        <v>0</v>
      </c>
    </row>
    <row r="123" customHeight="1" spans="1:17">
      <c r="A123" s="7">
        <v>120</v>
      </c>
      <c r="B123" s="7" t="s">
        <v>258</v>
      </c>
      <c r="C123" s="10" t="s">
        <v>259</v>
      </c>
      <c r="D123" s="7"/>
      <c r="E123" s="7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f t="shared" si="1"/>
        <v>0</v>
      </c>
    </row>
    <row r="124" customHeight="1" spans="1:17">
      <c r="A124" s="7">
        <v>121</v>
      </c>
      <c r="B124" s="7" t="s">
        <v>260</v>
      </c>
      <c r="C124" s="10" t="s">
        <v>261</v>
      </c>
      <c r="D124" s="7"/>
      <c r="E124" s="7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>
        <f t="shared" si="1"/>
        <v>0</v>
      </c>
    </row>
    <row r="125" customHeight="1" spans="1:17">
      <c r="A125" s="7">
        <v>122</v>
      </c>
      <c r="B125" s="7" t="s">
        <v>262</v>
      </c>
      <c r="C125" s="10" t="s">
        <v>263</v>
      </c>
      <c r="D125" s="7"/>
      <c r="E125" s="7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>
        <f t="shared" si="1"/>
        <v>0</v>
      </c>
    </row>
    <row r="126" customHeight="1" spans="1:17">
      <c r="A126" s="7">
        <v>123</v>
      </c>
      <c r="B126" s="7" t="s">
        <v>264</v>
      </c>
      <c r="C126" s="10" t="s">
        <v>265</v>
      </c>
      <c r="D126" s="7"/>
      <c r="E126" s="7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>
        <f t="shared" si="1"/>
        <v>0</v>
      </c>
    </row>
    <row r="127" customHeight="1" spans="1:17">
      <c r="A127" s="7">
        <v>124</v>
      </c>
      <c r="B127" s="7" t="s">
        <v>266</v>
      </c>
      <c r="C127" s="10" t="s">
        <v>267</v>
      </c>
      <c r="D127" s="7"/>
      <c r="E127" s="7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>
        <f t="shared" si="1"/>
        <v>0</v>
      </c>
    </row>
    <row r="128" customHeight="1" spans="1:17">
      <c r="A128" s="7">
        <v>125</v>
      </c>
      <c r="B128" s="7" t="s">
        <v>268</v>
      </c>
      <c r="C128" s="16"/>
      <c r="D128" s="7"/>
      <c r="E128" s="7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>
        <f t="shared" si="1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/>
      <c r="E129" s="7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>
        <f t="shared" si="1"/>
        <v>0</v>
      </c>
    </row>
    <row r="130" customHeight="1" spans="1:17">
      <c r="A130" s="7">
        <v>127</v>
      </c>
      <c r="B130" s="7" t="s">
        <v>271</v>
      </c>
      <c r="C130" s="10" t="s">
        <v>272</v>
      </c>
      <c r="D130" s="7"/>
      <c r="E130" s="7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>
        <f t="shared" si="1"/>
        <v>0</v>
      </c>
    </row>
    <row r="131" customHeight="1" spans="1:17">
      <c r="A131" s="7">
        <v>128</v>
      </c>
      <c r="B131" s="7" t="s">
        <v>273</v>
      </c>
      <c r="C131" s="10" t="s">
        <v>274</v>
      </c>
      <c r="D131" s="7"/>
      <c r="E131" s="7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>
        <f t="shared" si="1"/>
        <v>0</v>
      </c>
    </row>
    <row r="132" customHeight="1" spans="1:17">
      <c r="A132" s="7">
        <v>129</v>
      </c>
      <c r="B132" s="16"/>
      <c r="C132" s="16" t="s">
        <v>275</v>
      </c>
      <c r="D132" s="16">
        <f t="shared" ref="D132:Q132" si="2">SUM(D4:D131)</f>
        <v>0</v>
      </c>
      <c r="E132" s="16">
        <f t="shared" si="2"/>
        <v>0</v>
      </c>
      <c r="F132" s="16">
        <f t="shared" si="2"/>
        <v>0</v>
      </c>
      <c r="G132" s="16">
        <f t="shared" si="2"/>
        <v>0</v>
      </c>
      <c r="H132" s="16">
        <f t="shared" si="2"/>
        <v>0</v>
      </c>
      <c r="I132" s="16">
        <f t="shared" si="2"/>
        <v>0</v>
      </c>
      <c r="J132" s="16">
        <f t="shared" si="2"/>
        <v>0</v>
      </c>
      <c r="K132" s="16">
        <f t="shared" si="2"/>
        <v>0</v>
      </c>
      <c r="L132" s="16">
        <f t="shared" si="2"/>
        <v>0</v>
      </c>
      <c r="M132" s="16">
        <f t="shared" si="2"/>
        <v>0</v>
      </c>
      <c r="N132" s="16">
        <f t="shared" si="2"/>
        <v>0</v>
      </c>
      <c r="O132" s="16">
        <f t="shared" si="2"/>
        <v>0</v>
      </c>
      <c r="P132" s="16">
        <f t="shared" si="2"/>
        <v>0</v>
      </c>
      <c r="Q132" s="16">
        <f t="shared" si="2"/>
        <v>0</v>
      </c>
    </row>
  </sheetData>
  <mergeCells count="3">
    <mergeCell ref="A1:Q1"/>
    <mergeCell ref="A2:D2"/>
    <mergeCell ref="O2:Q2"/>
  </mergeCells>
  <conditionalFormatting sqref="C4:C67">
    <cfRule type="cellIs" dxfId="1" priority="4" operator="equal">
      <formula>0</formula>
    </cfRule>
    <cfRule type="duplicateValues" dxfId="0" priority="3"/>
  </conditionalFormatting>
  <conditionalFormatting sqref="C68:C127 C129:C131">
    <cfRule type="cellIs" dxfId="1" priority="2" operator="equal">
      <formula>0</formula>
    </cfRule>
    <cfRule type="cellIs" dxfId="1" priority="1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3"/>
  <sheetViews>
    <sheetView topLeftCell="A122" workbookViewId="0">
      <selection activeCell="D336" sqref="D336"/>
    </sheetView>
  </sheetViews>
  <sheetFormatPr defaultColWidth="9" defaultRowHeight="35" customHeight="1"/>
  <cols>
    <col min="1" max="2" width="9" style="3"/>
    <col min="3" max="3" width="11.5" style="3" customWidth="1"/>
    <col min="4" max="4" width="17.6333333333333" style="3" customWidth="1"/>
    <col min="5" max="5" width="8.88333333333333" style="3" customWidth="1"/>
    <col min="6" max="6" width="10.5" style="1" customWidth="1"/>
    <col min="7" max="16" width="9" style="1"/>
    <col min="17" max="17" width="11" style="1" customWidth="1"/>
    <col min="18" max="16384" width="9" style="2"/>
  </cols>
  <sheetData>
    <row r="1" customHeight="1" spans="1:17">
      <c r="A1" s="4" t="s">
        <v>277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1" customHeight="1" spans="1:17">
      <c r="A2" s="5" t="s">
        <v>1</v>
      </c>
      <c r="B2" s="5"/>
      <c r="C2" s="5"/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3" t="s">
        <v>2</v>
      </c>
      <c r="P2" s="13"/>
      <c r="Q2" s="13"/>
    </row>
    <row r="3" s="1" customFormat="1" ht="48" customHeight="1" spans="1:17">
      <c r="A3" s="7" t="s">
        <v>3</v>
      </c>
      <c r="B3" s="7" t="s">
        <v>4</v>
      </c>
      <c r="C3" s="7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14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/>
      <c r="E4" s="7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>
        <f t="shared" ref="Q4:Q67" si="0">D4+E4+F4+G4+H4+I4+J4+K4+L4+M4+N4+O4+P4</f>
        <v>0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/>
      <c r="E5" s="7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>
        <f t="shared" si="0"/>
        <v>0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/>
      <c r="E6" s="7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>
        <f t="shared" si="0"/>
        <v>0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/>
      <c r="E7" s="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>
        <f t="shared" si="0"/>
        <v>0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/>
      <c r="E8" s="7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f t="shared" si="0"/>
        <v>0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/>
      <c r="E9" s="7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>
        <f t="shared" si="0"/>
        <v>0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/>
      <c r="E10" s="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>
        <f t="shared" si="0"/>
        <v>0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/>
      <c r="E11" s="7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>
        <f t="shared" si="0"/>
        <v>0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/>
      <c r="E12" s="7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>
        <f t="shared" si="0"/>
        <v>0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/>
      <c r="E13" s="7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>
        <f t="shared" si="0"/>
        <v>0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/>
      <c r="E14" s="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>
        <f t="shared" si="0"/>
        <v>0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/>
      <c r="E15" s="7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>
        <f t="shared" si="0"/>
        <v>0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/>
      <c r="E16" s="7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>
        <f t="shared" si="0"/>
        <v>0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/>
      <c r="E17" s="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/>
      <c r="E18" s="7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/>
      <c r="E19" s="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>
        <f t="shared" si="0"/>
        <v>0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/>
      <c r="E20" s="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>
        <f t="shared" si="0"/>
        <v>0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/>
      <c r="E21" s="7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>
        <f t="shared" si="0"/>
        <v>0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/>
      <c r="E22" s="7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>
        <f t="shared" si="0"/>
        <v>0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/>
      <c r="E23" s="7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>
        <f t="shared" si="0"/>
        <v>0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/>
      <c r="E24" s="7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>
        <f t="shared" si="0"/>
        <v>0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/>
      <c r="E25" s="7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>
        <f t="shared" si="0"/>
        <v>0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/>
      <c r="E26" s="7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>
        <f t="shared" si="0"/>
        <v>0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/>
      <c r="E27" s="7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f t="shared" si="0"/>
        <v>0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/>
      <c r="E28" s="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>
        <f t="shared" si="0"/>
        <v>0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/>
      <c r="E29" s="7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>
        <f t="shared" si="0"/>
        <v>0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/>
      <c r="E30" s="7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>
        <f t="shared" si="0"/>
        <v>0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/>
      <c r="E31" s="7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>
        <f t="shared" si="0"/>
        <v>0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/>
      <c r="E32" s="7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f t="shared" si="0"/>
        <v>0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/>
      <c r="E33" s="7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>
        <f t="shared" si="0"/>
        <v>0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/>
      <c r="E34" s="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>
        <f t="shared" si="0"/>
        <v>0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/>
      <c r="E35" s="7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>
        <f t="shared" si="0"/>
        <v>0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/>
      <c r="E36" s="7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/>
      <c r="E37" s="7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>
        <f t="shared" si="0"/>
        <v>0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/>
      <c r="E38" s="7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f t="shared" si="0"/>
        <v>0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/>
      <c r="E39" s="7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f t="shared" si="0"/>
        <v>0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/>
      <c r="E40" s="7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>
        <f t="shared" si="0"/>
        <v>0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/>
      <c r="E41" s="7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f t="shared" si="0"/>
        <v>0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/>
      <c r="E42" s="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f t="shared" si="0"/>
        <v>0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/>
      <c r="E43" s="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f t="shared" si="0"/>
        <v>0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/>
      <c r="E44" s="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f t="shared" si="0"/>
        <v>0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/>
      <c r="E45" s="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>
        <f t="shared" si="0"/>
        <v>0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/>
      <c r="E46" s="7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f t="shared" si="0"/>
        <v>0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/>
      <c r="E47" s="7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f t="shared" si="0"/>
        <v>0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/>
      <c r="E48" s="7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>
        <f t="shared" si="0"/>
        <v>0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/>
      <c r="E49" s="7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>
        <f t="shared" si="0"/>
        <v>0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/>
      <c r="E50" s="7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>
        <f t="shared" si="0"/>
        <v>0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/>
      <c r="E51" s="7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f t="shared" si="0"/>
        <v>0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/>
      <c r="E52" s="7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>
        <f t="shared" si="0"/>
        <v>0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/>
      <c r="E53" s="7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>
        <f t="shared" si="0"/>
        <v>0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/>
      <c r="E54" s="7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>
        <f t="shared" si="0"/>
        <v>0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/>
      <c r="E55" s="7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>
        <f t="shared" si="0"/>
        <v>0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/>
      <c r="E56" s="7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f t="shared" si="0"/>
        <v>0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/>
      <c r="E57" s="7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>
        <f t="shared" si="0"/>
        <v>0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/>
      <c r="E58" s="7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f t="shared" si="0"/>
        <v>0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/>
      <c r="E59" s="7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>
        <f t="shared" si="0"/>
        <v>0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/>
      <c r="E60" s="7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>
        <f t="shared" si="0"/>
        <v>0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/>
      <c r="E61" s="7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>
        <f t="shared" si="0"/>
        <v>0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/>
      <c r="E62" s="7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>
        <f t="shared" si="0"/>
        <v>0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/>
      <c r="E63" s="7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>
        <f t="shared" si="0"/>
        <v>0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/>
      <c r="E64" s="7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>
        <f t="shared" si="0"/>
        <v>0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/>
      <c r="E65" s="7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>
        <f t="shared" si="0"/>
        <v>0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/>
      <c r="E66" s="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>
        <f t="shared" si="0"/>
        <v>0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/>
      <c r="E67" s="7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>
        <f t="shared" si="0"/>
        <v>0</v>
      </c>
    </row>
    <row r="68" customHeight="1" spans="1:17">
      <c r="A68" s="7">
        <v>65</v>
      </c>
      <c r="B68" s="7" t="s">
        <v>148</v>
      </c>
      <c r="C68" s="10" t="s">
        <v>149</v>
      </c>
      <c r="D68" s="7"/>
      <c r="E68" s="7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>
        <f t="shared" ref="Q68:Q131" si="1">D68+E68+F68+G68+H68+I68+J68+K68+L68+M68+N68+O68+P68</f>
        <v>0</v>
      </c>
    </row>
    <row r="69" customHeight="1" spans="1:17">
      <c r="A69" s="7">
        <v>66</v>
      </c>
      <c r="B69" s="7" t="s">
        <v>150</v>
      </c>
      <c r="C69" s="10" t="s">
        <v>151</v>
      </c>
      <c r="D69" s="7"/>
      <c r="E69" s="7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>
        <f t="shared" si="1"/>
        <v>0</v>
      </c>
    </row>
    <row r="70" customHeight="1" spans="1:17">
      <c r="A70" s="7">
        <v>67</v>
      </c>
      <c r="B70" s="7" t="s">
        <v>152</v>
      </c>
      <c r="C70" s="10" t="s">
        <v>153</v>
      </c>
      <c r="D70" s="7"/>
      <c r="E70" s="7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>
        <f t="shared" si="1"/>
        <v>0</v>
      </c>
    </row>
    <row r="71" customHeight="1" spans="1:17">
      <c r="A71" s="7">
        <v>68</v>
      </c>
      <c r="B71" s="7" t="s">
        <v>154</v>
      </c>
      <c r="C71" s="10" t="s">
        <v>155</v>
      </c>
      <c r="D71" s="7"/>
      <c r="E71" s="7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>
        <f t="shared" si="1"/>
        <v>0</v>
      </c>
    </row>
    <row r="72" customHeight="1" spans="1:17">
      <c r="A72" s="7">
        <v>69</v>
      </c>
      <c r="B72" s="7" t="s">
        <v>156</v>
      </c>
      <c r="C72" s="10" t="s">
        <v>157</v>
      </c>
      <c r="D72" s="7"/>
      <c r="E72" s="7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>
        <f t="shared" si="1"/>
        <v>0</v>
      </c>
    </row>
    <row r="73" customHeight="1" spans="1:17">
      <c r="A73" s="7">
        <v>70</v>
      </c>
      <c r="B73" s="7" t="s">
        <v>158</v>
      </c>
      <c r="C73" s="10" t="s">
        <v>159</v>
      </c>
      <c r="D73" s="7"/>
      <c r="E73" s="7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>
        <f t="shared" si="1"/>
        <v>0</v>
      </c>
    </row>
    <row r="74" customHeight="1" spans="1:17">
      <c r="A74" s="7">
        <v>71</v>
      </c>
      <c r="B74" s="7" t="s">
        <v>160</v>
      </c>
      <c r="C74" s="10" t="s">
        <v>161</v>
      </c>
      <c r="D74" s="7"/>
      <c r="E74" s="7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>
        <f t="shared" si="1"/>
        <v>0</v>
      </c>
    </row>
    <row r="75" customHeight="1" spans="1:17">
      <c r="A75" s="7">
        <v>72</v>
      </c>
      <c r="B75" s="7" t="s">
        <v>162</v>
      </c>
      <c r="C75" s="10" t="s">
        <v>163</v>
      </c>
      <c r="D75" s="7"/>
      <c r="E75" s="7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>
        <f t="shared" si="1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/>
      <c r="E76" s="7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>
        <f t="shared" si="1"/>
        <v>0</v>
      </c>
    </row>
    <row r="77" customHeight="1" spans="1:17">
      <c r="A77" s="7">
        <v>74</v>
      </c>
      <c r="B77" s="7" t="s">
        <v>166</v>
      </c>
      <c r="C77" s="10" t="s">
        <v>167</v>
      </c>
      <c r="D77" s="7"/>
      <c r="E77" s="7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>
        <f t="shared" si="1"/>
        <v>0</v>
      </c>
    </row>
    <row r="78" customHeight="1" spans="1:17">
      <c r="A78" s="7">
        <v>75</v>
      </c>
      <c r="B78" s="7" t="s">
        <v>168</v>
      </c>
      <c r="C78" s="15" t="s">
        <v>169</v>
      </c>
      <c r="D78" s="7"/>
      <c r="E78" s="7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>
        <f t="shared" si="1"/>
        <v>0</v>
      </c>
    </row>
    <row r="79" customHeight="1" spans="1:17">
      <c r="A79" s="7">
        <v>76</v>
      </c>
      <c r="B79" s="7" t="s">
        <v>170</v>
      </c>
      <c r="C79" s="10" t="s">
        <v>171</v>
      </c>
      <c r="D79" s="7"/>
      <c r="E79" s="7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>
        <f t="shared" si="1"/>
        <v>0</v>
      </c>
    </row>
    <row r="80" customHeight="1" spans="1:17">
      <c r="A80" s="7">
        <v>77</v>
      </c>
      <c r="B80" s="7" t="s">
        <v>172</v>
      </c>
      <c r="C80" s="10" t="s">
        <v>173</v>
      </c>
      <c r="D80" s="7"/>
      <c r="E80" s="7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>
        <f t="shared" si="1"/>
        <v>0</v>
      </c>
    </row>
    <row r="81" customHeight="1" spans="1:17">
      <c r="A81" s="7">
        <v>78</v>
      </c>
      <c r="B81" s="7" t="s">
        <v>174</v>
      </c>
      <c r="C81" s="10" t="s">
        <v>175</v>
      </c>
      <c r="D81" s="7"/>
      <c r="E81" s="7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>
        <f t="shared" si="1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/>
      <c r="E82" s="7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>
        <f t="shared" si="1"/>
        <v>0</v>
      </c>
    </row>
    <row r="83" customHeight="1" spans="1:17">
      <c r="A83" s="7">
        <v>80</v>
      </c>
      <c r="B83" s="7" t="s">
        <v>178</v>
      </c>
      <c r="C83" s="10" t="s">
        <v>179</v>
      </c>
      <c r="D83" s="7"/>
      <c r="E83" s="7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>
        <f t="shared" si="1"/>
        <v>0</v>
      </c>
    </row>
    <row r="84" customHeight="1" spans="1:17">
      <c r="A84" s="7">
        <v>81</v>
      </c>
      <c r="B84" s="7" t="s">
        <v>180</v>
      </c>
      <c r="C84" s="10" t="s">
        <v>181</v>
      </c>
      <c r="D84" s="7"/>
      <c r="E84" s="7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>
        <f t="shared" si="1"/>
        <v>0</v>
      </c>
    </row>
    <row r="85" customHeight="1" spans="1:17">
      <c r="A85" s="7">
        <v>82</v>
      </c>
      <c r="B85" s="7" t="s">
        <v>182</v>
      </c>
      <c r="C85" s="10" t="s">
        <v>183</v>
      </c>
      <c r="D85" s="7"/>
      <c r="E85" s="7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>
        <f t="shared" si="1"/>
        <v>0</v>
      </c>
    </row>
    <row r="86" customHeight="1" spans="1:17">
      <c r="A86" s="7">
        <v>83</v>
      </c>
      <c r="B86" s="7" t="s">
        <v>184</v>
      </c>
      <c r="C86" s="10" t="s">
        <v>185</v>
      </c>
      <c r="D86" s="7"/>
      <c r="E86" s="7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>
        <f t="shared" si="1"/>
        <v>0</v>
      </c>
    </row>
    <row r="87" customHeight="1" spans="1:17">
      <c r="A87" s="7">
        <v>84</v>
      </c>
      <c r="B87" s="7" t="s">
        <v>186</v>
      </c>
      <c r="C87" s="10" t="s">
        <v>187</v>
      </c>
      <c r="D87" s="7"/>
      <c r="E87" s="7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>
        <f t="shared" si="1"/>
        <v>0</v>
      </c>
    </row>
    <row r="88" customHeight="1" spans="1:17">
      <c r="A88" s="7">
        <v>85</v>
      </c>
      <c r="B88" s="7" t="s">
        <v>188</v>
      </c>
      <c r="C88" s="10" t="s">
        <v>189</v>
      </c>
      <c r="D88" s="7"/>
      <c r="E88" s="7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>
        <f t="shared" si="1"/>
        <v>0</v>
      </c>
    </row>
    <row r="89" customHeight="1" spans="1:17">
      <c r="A89" s="7">
        <v>86</v>
      </c>
      <c r="B89" s="7" t="s">
        <v>190</v>
      </c>
      <c r="C89" s="10" t="s">
        <v>191</v>
      </c>
      <c r="D89" s="7"/>
      <c r="E89" s="7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>
        <f t="shared" si="1"/>
        <v>0</v>
      </c>
    </row>
    <row r="90" customHeight="1" spans="1:17">
      <c r="A90" s="7">
        <v>87</v>
      </c>
      <c r="B90" s="7" t="s">
        <v>192</v>
      </c>
      <c r="C90" s="10" t="s">
        <v>193</v>
      </c>
      <c r="D90" s="7"/>
      <c r="E90" s="7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>
        <f t="shared" si="1"/>
        <v>0</v>
      </c>
    </row>
    <row r="91" customHeight="1" spans="1:17">
      <c r="A91" s="7">
        <v>88</v>
      </c>
      <c r="B91" s="7" t="s">
        <v>194</v>
      </c>
      <c r="C91" s="10" t="s">
        <v>195</v>
      </c>
      <c r="D91" s="7"/>
      <c r="E91" s="7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>
        <f t="shared" si="1"/>
        <v>0</v>
      </c>
    </row>
    <row r="92" customHeight="1" spans="1:17">
      <c r="A92" s="7">
        <v>89</v>
      </c>
      <c r="B92" s="7" t="s">
        <v>196</v>
      </c>
      <c r="C92" s="10" t="s">
        <v>197</v>
      </c>
      <c r="D92" s="7"/>
      <c r="E92" s="7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>
        <f t="shared" si="1"/>
        <v>0</v>
      </c>
    </row>
    <row r="93" customHeight="1" spans="1:17">
      <c r="A93" s="7">
        <v>90</v>
      </c>
      <c r="B93" s="7" t="s">
        <v>198</v>
      </c>
      <c r="C93" s="10" t="s">
        <v>199</v>
      </c>
      <c r="D93" s="7"/>
      <c r="E93" s="7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>
        <f t="shared" si="1"/>
        <v>0</v>
      </c>
    </row>
    <row r="94" customHeight="1" spans="1:17">
      <c r="A94" s="7">
        <v>91</v>
      </c>
      <c r="B94" s="7" t="s">
        <v>200</v>
      </c>
      <c r="C94" s="10" t="s">
        <v>201</v>
      </c>
      <c r="D94" s="7"/>
      <c r="E94" s="7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>
        <f t="shared" si="1"/>
        <v>0</v>
      </c>
    </row>
    <row r="95" customHeight="1" spans="1:17">
      <c r="A95" s="7">
        <v>92</v>
      </c>
      <c r="B95" s="7" t="s">
        <v>202</v>
      </c>
      <c r="C95" s="10" t="s">
        <v>203</v>
      </c>
      <c r="D95" s="7"/>
      <c r="E95" s="7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>
        <f t="shared" si="1"/>
        <v>0</v>
      </c>
    </row>
    <row r="96" customHeight="1" spans="1:17">
      <c r="A96" s="7">
        <v>93</v>
      </c>
      <c r="B96" s="7" t="s">
        <v>204</v>
      </c>
      <c r="C96" s="10" t="s">
        <v>205</v>
      </c>
      <c r="D96" s="7"/>
      <c r="E96" s="7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>
        <f t="shared" si="1"/>
        <v>0</v>
      </c>
    </row>
    <row r="97" customHeight="1" spans="1:17">
      <c r="A97" s="7">
        <v>94</v>
      </c>
      <c r="B97" s="7" t="s">
        <v>206</v>
      </c>
      <c r="C97" s="10" t="s">
        <v>207</v>
      </c>
      <c r="D97" s="7"/>
      <c r="E97" s="7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>
        <f t="shared" si="1"/>
        <v>0</v>
      </c>
    </row>
    <row r="98" customHeight="1" spans="1:17">
      <c r="A98" s="7">
        <v>95</v>
      </c>
      <c r="B98" s="7" t="s">
        <v>208</v>
      </c>
      <c r="C98" s="10" t="s">
        <v>209</v>
      </c>
      <c r="D98" s="7"/>
      <c r="E98" s="7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>
        <f t="shared" si="1"/>
        <v>0</v>
      </c>
    </row>
    <row r="99" customHeight="1" spans="1:17">
      <c r="A99" s="7">
        <v>96</v>
      </c>
      <c r="B99" s="7" t="s">
        <v>210</v>
      </c>
      <c r="C99" s="10" t="s">
        <v>211</v>
      </c>
      <c r="D99" s="7"/>
      <c r="E99" s="7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>
        <f t="shared" si="1"/>
        <v>0</v>
      </c>
    </row>
    <row r="100" customHeight="1" spans="1:17">
      <c r="A100" s="7">
        <v>97</v>
      </c>
      <c r="B100" s="7" t="s">
        <v>212</v>
      </c>
      <c r="C100" s="10" t="s">
        <v>213</v>
      </c>
      <c r="D100" s="7"/>
      <c r="E100" s="7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>
        <f t="shared" si="1"/>
        <v>0</v>
      </c>
    </row>
    <row r="101" customHeight="1" spans="1:17">
      <c r="A101" s="7">
        <v>98</v>
      </c>
      <c r="B101" s="7" t="s">
        <v>214</v>
      </c>
      <c r="C101" s="12" t="s">
        <v>215</v>
      </c>
      <c r="D101" s="7"/>
      <c r="E101" s="7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>
        <f t="shared" si="1"/>
        <v>0</v>
      </c>
    </row>
    <row r="102" customHeight="1" spans="1:17">
      <c r="A102" s="7">
        <v>99</v>
      </c>
      <c r="B102" s="7" t="s">
        <v>216</v>
      </c>
      <c r="C102" s="10" t="s">
        <v>217</v>
      </c>
      <c r="D102" s="7"/>
      <c r="E102" s="7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>
        <f t="shared" si="1"/>
        <v>0</v>
      </c>
    </row>
    <row r="103" customHeight="1" spans="1:17">
      <c r="A103" s="7">
        <v>100</v>
      </c>
      <c r="B103" s="7" t="s">
        <v>218</v>
      </c>
      <c r="C103" s="10" t="s">
        <v>219</v>
      </c>
      <c r="D103" s="7"/>
      <c r="E103" s="7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>
        <f t="shared" si="1"/>
        <v>0</v>
      </c>
    </row>
    <row r="104" customHeight="1" spans="1:17">
      <c r="A104" s="7">
        <v>101</v>
      </c>
      <c r="B104" s="7" t="s">
        <v>220</v>
      </c>
      <c r="C104" s="10" t="s">
        <v>221</v>
      </c>
      <c r="D104" s="7"/>
      <c r="E104" s="7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>
        <f t="shared" si="1"/>
        <v>0</v>
      </c>
    </row>
    <row r="105" customHeight="1" spans="1:17">
      <c r="A105" s="7">
        <v>102</v>
      </c>
      <c r="B105" s="7" t="s">
        <v>222</v>
      </c>
      <c r="C105" s="10" t="s">
        <v>223</v>
      </c>
      <c r="D105" s="7"/>
      <c r="E105" s="7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>
        <f t="shared" si="1"/>
        <v>0</v>
      </c>
    </row>
    <row r="106" customHeight="1" spans="1:17">
      <c r="A106" s="7">
        <v>103</v>
      </c>
      <c r="B106" s="7" t="s">
        <v>224</v>
      </c>
      <c r="C106" s="10" t="s">
        <v>225</v>
      </c>
      <c r="D106" s="7"/>
      <c r="E106" s="7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>
        <f t="shared" si="1"/>
        <v>0</v>
      </c>
    </row>
    <row r="107" customHeight="1" spans="1:17">
      <c r="A107" s="7">
        <v>104</v>
      </c>
      <c r="B107" s="7" t="s">
        <v>226</v>
      </c>
      <c r="C107" s="10" t="s">
        <v>227</v>
      </c>
      <c r="D107" s="7"/>
      <c r="E107" s="7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>
        <f t="shared" si="1"/>
        <v>0</v>
      </c>
    </row>
    <row r="108" customHeight="1" spans="1:17">
      <c r="A108" s="7">
        <v>105</v>
      </c>
      <c r="B108" s="7" t="s">
        <v>228</v>
      </c>
      <c r="C108" s="10" t="s">
        <v>229</v>
      </c>
      <c r="D108" s="7"/>
      <c r="E108" s="7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>
        <f t="shared" si="1"/>
        <v>0</v>
      </c>
    </row>
    <row r="109" customHeight="1" spans="1:17">
      <c r="A109" s="7">
        <v>106</v>
      </c>
      <c r="B109" s="7" t="s">
        <v>230</v>
      </c>
      <c r="C109" s="10" t="s">
        <v>231</v>
      </c>
      <c r="D109" s="7"/>
      <c r="E109" s="7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>
        <f t="shared" si="1"/>
        <v>0</v>
      </c>
    </row>
    <row r="110" customHeight="1" spans="1:17">
      <c r="A110" s="7">
        <v>107</v>
      </c>
      <c r="B110" s="7" t="s">
        <v>232</v>
      </c>
      <c r="C110" s="10" t="s">
        <v>233</v>
      </c>
      <c r="D110" s="7"/>
      <c r="E110" s="7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>
        <f t="shared" si="1"/>
        <v>0</v>
      </c>
    </row>
    <row r="111" customHeight="1" spans="1:17">
      <c r="A111" s="7">
        <v>108</v>
      </c>
      <c r="B111" s="7" t="s">
        <v>234</v>
      </c>
      <c r="C111" s="10" t="s">
        <v>235</v>
      </c>
      <c r="D111" s="7"/>
      <c r="E111" s="7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>
        <f t="shared" si="1"/>
        <v>0</v>
      </c>
    </row>
    <row r="112" customHeight="1" spans="1:17">
      <c r="A112" s="7">
        <v>109</v>
      </c>
      <c r="B112" s="7" t="s">
        <v>236</v>
      </c>
      <c r="C112" s="10" t="s">
        <v>237</v>
      </c>
      <c r="D112" s="7"/>
      <c r="E112" s="7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>
        <f t="shared" si="1"/>
        <v>0</v>
      </c>
    </row>
    <row r="113" customHeight="1" spans="1:17">
      <c r="A113" s="7">
        <v>110</v>
      </c>
      <c r="B113" s="7" t="s">
        <v>238</v>
      </c>
      <c r="C113" s="10" t="s">
        <v>239</v>
      </c>
      <c r="D113" s="7"/>
      <c r="E113" s="7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>
        <f t="shared" si="1"/>
        <v>0</v>
      </c>
    </row>
    <row r="114" customHeight="1" spans="1:17">
      <c r="A114" s="7">
        <v>111</v>
      </c>
      <c r="B114" s="7" t="s">
        <v>240</v>
      </c>
      <c r="C114" s="10" t="s">
        <v>241</v>
      </c>
      <c r="D114" s="7"/>
      <c r="E114" s="7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>
        <f t="shared" si="1"/>
        <v>0</v>
      </c>
    </row>
    <row r="115" customHeight="1" spans="1:17">
      <c r="A115" s="7">
        <v>112</v>
      </c>
      <c r="B115" s="7" t="s">
        <v>242</v>
      </c>
      <c r="C115" s="10" t="s">
        <v>243</v>
      </c>
      <c r="D115" s="7"/>
      <c r="E115" s="7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>
        <f t="shared" si="1"/>
        <v>0</v>
      </c>
    </row>
    <row r="116" customHeight="1" spans="1:17">
      <c r="A116" s="7">
        <v>113</v>
      </c>
      <c r="B116" s="7" t="s">
        <v>244</v>
      </c>
      <c r="C116" s="10" t="s">
        <v>245</v>
      </c>
      <c r="D116" s="7"/>
      <c r="E116" s="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>
        <f t="shared" si="1"/>
        <v>0</v>
      </c>
    </row>
    <row r="117" customHeight="1" spans="1:17">
      <c r="A117" s="7">
        <v>114</v>
      </c>
      <c r="B117" s="7" t="s">
        <v>246</v>
      </c>
      <c r="C117" s="10" t="s">
        <v>247</v>
      </c>
      <c r="D117" s="7"/>
      <c r="E117" s="7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>
        <f t="shared" si="1"/>
        <v>0</v>
      </c>
    </row>
    <row r="118" customHeight="1" spans="1:17">
      <c r="A118" s="7">
        <v>115</v>
      </c>
      <c r="B118" s="7" t="s">
        <v>248</v>
      </c>
      <c r="C118" s="10" t="s">
        <v>249</v>
      </c>
      <c r="D118" s="7"/>
      <c r="E118" s="7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>
        <f t="shared" si="1"/>
        <v>0</v>
      </c>
    </row>
    <row r="119" customHeight="1" spans="1:17">
      <c r="A119" s="7">
        <v>116</v>
      </c>
      <c r="B119" s="7" t="s">
        <v>250</v>
      </c>
      <c r="C119" s="10" t="s">
        <v>251</v>
      </c>
      <c r="D119" s="7"/>
      <c r="E119" s="7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>
        <f t="shared" si="1"/>
        <v>0</v>
      </c>
    </row>
    <row r="120" customHeight="1" spans="1:17">
      <c r="A120" s="7">
        <v>117</v>
      </c>
      <c r="B120" s="7" t="s">
        <v>252</v>
      </c>
      <c r="C120" s="10" t="s">
        <v>253</v>
      </c>
      <c r="D120" s="7"/>
      <c r="E120" s="7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>
        <f t="shared" si="1"/>
        <v>0</v>
      </c>
    </row>
    <row r="121" customHeight="1" spans="1:17">
      <c r="A121" s="7">
        <v>118</v>
      </c>
      <c r="B121" s="7" t="s">
        <v>254</v>
      </c>
      <c r="C121" s="10" t="s">
        <v>255</v>
      </c>
      <c r="D121" s="7"/>
      <c r="E121" s="7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>
        <f t="shared" si="1"/>
        <v>0</v>
      </c>
    </row>
    <row r="122" customHeight="1" spans="1:17">
      <c r="A122" s="7">
        <v>119</v>
      </c>
      <c r="B122" s="7" t="s">
        <v>256</v>
      </c>
      <c r="C122" s="12" t="s">
        <v>257</v>
      </c>
      <c r="D122" s="7"/>
      <c r="E122" s="7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>
        <f t="shared" si="1"/>
        <v>0</v>
      </c>
    </row>
    <row r="123" customHeight="1" spans="1:17">
      <c r="A123" s="7">
        <v>120</v>
      </c>
      <c r="B123" s="7" t="s">
        <v>258</v>
      </c>
      <c r="C123" s="10" t="s">
        <v>259</v>
      </c>
      <c r="D123" s="7"/>
      <c r="E123" s="7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f t="shared" si="1"/>
        <v>0</v>
      </c>
    </row>
    <row r="124" customHeight="1" spans="1:17">
      <c r="A124" s="7">
        <v>121</v>
      </c>
      <c r="B124" s="7" t="s">
        <v>260</v>
      </c>
      <c r="C124" s="10" t="s">
        <v>261</v>
      </c>
      <c r="D124" s="7"/>
      <c r="E124" s="7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>
        <f t="shared" si="1"/>
        <v>0</v>
      </c>
    </row>
    <row r="125" customHeight="1" spans="1:17">
      <c r="A125" s="7">
        <v>122</v>
      </c>
      <c r="B125" s="7" t="s">
        <v>262</v>
      </c>
      <c r="C125" s="10" t="s">
        <v>263</v>
      </c>
      <c r="D125" s="7"/>
      <c r="E125" s="7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>
        <f t="shared" si="1"/>
        <v>0</v>
      </c>
    </row>
    <row r="126" customHeight="1" spans="1:17">
      <c r="A126" s="7">
        <v>123</v>
      </c>
      <c r="B126" s="7" t="s">
        <v>264</v>
      </c>
      <c r="C126" s="10" t="s">
        <v>265</v>
      </c>
      <c r="D126" s="7"/>
      <c r="E126" s="7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>
        <f t="shared" si="1"/>
        <v>0</v>
      </c>
    </row>
    <row r="127" customHeight="1" spans="1:17">
      <c r="A127" s="7">
        <v>124</v>
      </c>
      <c r="B127" s="7" t="s">
        <v>266</v>
      </c>
      <c r="C127" s="10" t="s">
        <v>267</v>
      </c>
      <c r="D127" s="7"/>
      <c r="E127" s="7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>
        <f t="shared" si="1"/>
        <v>0</v>
      </c>
    </row>
    <row r="128" customHeight="1" spans="1:17">
      <c r="A128" s="7">
        <v>125</v>
      </c>
      <c r="B128" s="7" t="s">
        <v>268</v>
      </c>
      <c r="C128" s="16"/>
      <c r="D128" s="7"/>
      <c r="E128" s="7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>
        <f t="shared" si="1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/>
      <c r="E129" s="7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>
        <f t="shared" si="1"/>
        <v>0</v>
      </c>
    </row>
    <row r="130" customHeight="1" spans="1:17">
      <c r="A130" s="7">
        <v>127</v>
      </c>
      <c r="B130" s="7" t="s">
        <v>271</v>
      </c>
      <c r="C130" s="10" t="s">
        <v>272</v>
      </c>
      <c r="D130" s="7"/>
      <c r="E130" s="7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>
        <f t="shared" si="1"/>
        <v>0</v>
      </c>
    </row>
    <row r="131" customHeight="1" spans="1:17">
      <c r="A131" s="7">
        <v>128</v>
      </c>
      <c r="B131" s="7" t="s">
        <v>273</v>
      </c>
      <c r="C131" s="10" t="s">
        <v>274</v>
      </c>
      <c r="D131" s="7"/>
      <c r="E131" s="7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>
        <f t="shared" si="1"/>
        <v>0</v>
      </c>
    </row>
    <row r="132" customHeight="1" spans="1:17">
      <c r="A132" s="7">
        <v>129</v>
      </c>
      <c r="B132" s="16"/>
      <c r="C132" s="16" t="s">
        <v>275</v>
      </c>
      <c r="D132" s="16">
        <f t="shared" ref="D132:Q132" si="2">SUM(D4:D131)</f>
        <v>0</v>
      </c>
      <c r="E132" s="16">
        <f t="shared" si="2"/>
        <v>0</v>
      </c>
      <c r="F132" s="16">
        <f t="shared" si="2"/>
        <v>0</v>
      </c>
      <c r="G132" s="16">
        <f t="shared" si="2"/>
        <v>0</v>
      </c>
      <c r="H132" s="16">
        <f t="shared" si="2"/>
        <v>0</v>
      </c>
      <c r="I132" s="16">
        <f t="shared" si="2"/>
        <v>0</v>
      </c>
      <c r="J132" s="16">
        <f t="shared" si="2"/>
        <v>0</v>
      </c>
      <c r="K132" s="16">
        <f t="shared" si="2"/>
        <v>0</v>
      </c>
      <c r="L132" s="16">
        <f t="shared" si="2"/>
        <v>0</v>
      </c>
      <c r="M132" s="16">
        <f t="shared" si="2"/>
        <v>0</v>
      </c>
      <c r="N132" s="16">
        <f t="shared" si="2"/>
        <v>0</v>
      </c>
      <c r="O132" s="16">
        <f t="shared" si="2"/>
        <v>0</v>
      </c>
      <c r="P132" s="16">
        <f t="shared" si="2"/>
        <v>0</v>
      </c>
      <c r="Q132" s="16">
        <f t="shared" si="2"/>
        <v>0</v>
      </c>
    </row>
    <row r="133" customHeight="1" spans="4:4">
      <c r="D133" s="47">
        <v>19746</v>
      </c>
    </row>
  </sheetData>
  <mergeCells count="3">
    <mergeCell ref="A1:Q1"/>
    <mergeCell ref="A2:D2"/>
    <mergeCell ref="O2:Q2"/>
  </mergeCells>
  <conditionalFormatting sqref="C4:C67">
    <cfRule type="cellIs" dxfId="1" priority="4" operator="equal">
      <formula>0</formula>
    </cfRule>
    <cfRule type="duplicateValues" dxfId="0" priority="3"/>
  </conditionalFormatting>
  <conditionalFormatting sqref="C68:C127 C129:C131">
    <cfRule type="cellIs" dxfId="1" priority="2" operator="equal">
      <formula>0</formula>
    </cfRule>
    <cfRule type="cellIs" dxfId="1" priority="1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3"/>
  <sheetViews>
    <sheetView topLeftCell="A120" workbookViewId="0">
      <selection activeCell="I357" sqref="I357"/>
    </sheetView>
  </sheetViews>
  <sheetFormatPr defaultColWidth="9" defaultRowHeight="25" customHeight="1"/>
  <cols>
    <col min="1" max="16" width="8.275" style="3" customWidth="1"/>
    <col min="17" max="17" width="9.55833333333333" style="3" customWidth="1"/>
    <col min="18" max="18" width="9" style="2"/>
    <col min="19" max="19" width="7.275" style="2" customWidth="1"/>
    <col min="20" max="16384" width="9" style="2"/>
  </cols>
  <sheetData>
    <row r="1" customHeight="1" spans="1:17">
      <c r="A1" s="66" t="s">
        <v>278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</row>
    <row r="2" customFormat="1" customHeight="1" spans="1:17">
      <c r="A2" s="67" t="s">
        <v>1</v>
      </c>
      <c r="B2" s="67"/>
      <c r="C2" s="67"/>
      <c r="D2" s="67"/>
      <c r="E2" s="6"/>
      <c r="F2" s="3"/>
      <c r="G2" s="3"/>
      <c r="H2" s="3"/>
      <c r="I2" s="3"/>
      <c r="J2" s="3"/>
      <c r="K2" s="3"/>
      <c r="L2" s="3"/>
      <c r="M2" s="3"/>
      <c r="N2" s="3"/>
      <c r="O2" s="3" t="s">
        <v>2</v>
      </c>
      <c r="P2" s="3"/>
      <c r="Q2" s="3"/>
    </row>
    <row r="3" s="1" customFormat="1" customHeight="1" spans="1:17">
      <c r="A3" s="7" t="s">
        <v>3</v>
      </c>
      <c r="B3" s="7" t="s">
        <v>4</v>
      </c>
      <c r="C3" s="7" t="s">
        <v>5</v>
      </c>
      <c r="D3" s="9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16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/>
      <c r="E4" s="7"/>
      <c r="F4" s="16"/>
      <c r="G4" s="16"/>
      <c r="H4" s="16">
        <v>162.38</v>
      </c>
      <c r="I4" s="16"/>
      <c r="J4" s="16"/>
      <c r="K4" s="16"/>
      <c r="L4" s="16"/>
      <c r="M4" s="16"/>
      <c r="N4" s="16">
        <v>235.86</v>
      </c>
      <c r="O4" s="16"/>
      <c r="P4" s="16"/>
      <c r="Q4" s="16">
        <f t="shared" ref="Q4:Q67" si="0">D4+E4+F4+G4+H4+I4+J4+K4+L4+M4+N4+O4+P4</f>
        <v>398.24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/>
      <c r="E5" s="7"/>
      <c r="F5" s="16"/>
      <c r="G5" s="16"/>
      <c r="H5" s="16">
        <v>162.38</v>
      </c>
      <c r="I5" s="16"/>
      <c r="J5" s="16"/>
      <c r="K5" s="16"/>
      <c r="L5" s="16"/>
      <c r="M5" s="16"/>
      <c r="N5" s="16">
        <v>235.86</v>
      </c>
      <c r="O5" s="16"/>
      <c r="P5" s="16"/>
      <c r="Q5" s="16">
        <f t="shared" si="0"/>
        <v>398.24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/>
      <c r="E6" s="7"/>
      <c r="F6" s="16">
        <v>162.38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>
        <f t="shared" si="0"/>
        <v>162.38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/>
      <c r="E7" s="7"/>
      <c r="F7" s="16"/>
      <c r="G7" s="16"/>
      <c r="H7" s="16">
        <v>162.38</v>
      </c>
      <c r="I7" s="16"/>
      <c r="J7" s="16"/>
      <c r="K7" s="16"/>
      <c r="L7" s="16"/>
      <c r="M7" s="16"/>
      <c r="N7" s="16">
        <v>235.86</v>
      </c>
      <c r="O7" s="16"/>
      <c r="P7" s="16"/>
      <c r="Q7" s="16">
        <f t="shared" si="0"/>
        <v>398.24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/>
      <c r="E8" s="7"/>
      <c r="F8" s="16">
        <v>162.38</v>
      </c>
      <c r="G8" s="16"/>
      <c r="H8" s="16"/>
      <c r="I8" s="16"/>
      <c r="J8" s="16"/>
      <c r="K8" s="16"/>
      <c r="L8" s="16"/>
      <c r="M8" s="16"/>
      <c r="N8" s="16"/>
      <c r="O8" s="16">
        <v>235.86</v>
      </c>
      <c r="P8" s="16"/>
      <c r="Q8" s="16">
        <f t="shared" si="0"/>
        <v>398.24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/>
      <c r="E9" s="7"/>
      <c r="F9" s="16"/>
      <c r="G9" s="16"/>
      <c r="H9" s="16">
        <v>162.38</v>
      </c>
      <c r="I9" s="16"/>
      <c r="J9" s="16"/>
      <c r="K9" s="16"/>
      <c r="L9" s="16"/>
      <c r="M9" s="16"/>
      <c r="N9" s="16"/>
      <c r="O9" s="16">
        <v>235.86</v>
      </c>
      <c r="P9" s="16"/>
      <c r="Q9" s="16">
        <f t="shared" si="0"/>
        <v>398.24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/>
      <c r="E10" s="7"/>
      <c r="F10" s="16">
        <v>162.38</v>
      </c>
      <c r="G10" s="16"/>
      <c r="H10" s="16"/>
      <c r="I10" s="16"/>
      <c r="J10" s="16"/>
      <c r="K10" s="16"/>
      <c r="L10" s="16"/>
      <c r="M10" s="16"/>
      <c r="N10" s="16"/>
      <c r="O10" s="16">
        <v>235.86</v>
      </c>
      <c r="P10" s="16"/>
      <c r="Q10" s="16">
        <f t="shared" si="0"/>
        <v>398.24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/>
      <c r="E11" s="7"/>
      <c r="F11" s="16">
        <v>162.38</v>
      </c>
      <c r="G11" s="16"/>
      <c r="H11" s="16"/>
      <c r="I11" s="16"/>
      <c r="J11" s="16"/>
      <c r="K11" s="16"/>
      <c r="L11" s="16"/>
      <c r="M11" s="16"/>
      <c r="N11" s="16">
        <v>235.86</v>
      </c>
      <c r="O11" s="16"/>
      <c r="P11" s="16"/>
      <c r="Q11" s="16">
        <f t="shared" si="0"/>
        <v>398.24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/>
      <c r="E12" s="7"/>
      <c r="F12" s="16"/>
      <c r="G12" s="16"/>
      <c r="H12" s="16"/>
      <c r="I12" s="16">
        <v>162.38</v>
      </c>
      <c r="J12" s="16"/>
      <c r="K12" s="16"/>
      <c r="L12" s="16"/>
      <c r="M12" s="16"/>
      <c r="N12" s="16"/>
      <c r="O12" s="16"/>
      <c r="P12" s="16"/>
      <c r="Q12" s="16">
        <f t="shared" si="0"/>
        <v>162.38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/>
      <c r="E13" s="7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>
        <f t="shared" si="0"/>
        <v>0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/>
      <c r="E14" s="7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>
        <f t="shared" si="0"/>
        <v>0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/>
      <c r="E15" s="7">
        <v>162.38</v>
      </c>
      <c r="F15" s="16"/>
      <c r="G15" s="16"/>
      <c r="H15" s="16"/>
      <c r="I15" s="16"/>
      <c r="J15" s="16"/>
      <c r="K15" s="16"/>
      <c r="L15" s="16"/>
      <c r="M15" s="16"/>
      <c r="N15" s="16">
        <v>235.86</v>
      </c>
      <c r="O15" s="16"/>
      <c r="P15" s="16"/>
      <c r="Q15" s="16">
        <f t="shared" si="0"/>
        <v>398.24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/>
      <c r="E16" s="7">
        <v>162.38</v>
      </c>
      <c r="F16" s="16"/>
      <c r="G16" s="16"/>
      <c r="H16" s="16"/>
      <c r="I16" s="16"/>
      <c r="J16" s="16"/>
      <c r="K16" s="16"/>
      <c r="L16" s="16"/>
      <c r="M16" s="16"/>
      <c r="N16" s="16">
        <v>235.86</v>
      </c>
      <c r="O16" s="16"/>
      <c r="P16" s="16"/>
      <c r="Q16" s="16">
        <f t="shared" si="0"/>
        <v>398.24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/>
      <c r="E17" s="7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/>
      <c r="E18" s="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/>
      <c r="E19" s="7">
        <v>162.38</v>
      </c>
      <c r="F19" s="16"/>
      <c r="G19" s="16"/>
      <c r="H19" s="16"/>
      <c r="I19" s="16"/>
      <c r="J19" s="16"/>
      <c r="K19" s="16"/>
      <c r="L19" s="16"/>
      <c r="M19" s="16"/>
      <c r="N19" s="16">
        <v>235.86</v>
      </c>
      <c r="O19" s="16"/>
      <c r="P19" s="16"/>
      <c r="Q19" s="16">
        <f t="shared" si="0"/>
        <v>398.24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/>
      <c r="E20" s="7"/>
      <c r="F20" s="16"/>
      <c r="G20" s="16"/>
      <c r="H20" s="16">
        <v>163</v>
      </c>
      <c r="I20" s="16"/>
      <c r="J20" s="16"/>
      <c r="K20" s="16"/>
      <c r="L20" s="16"/>
      <c r="M20" s="16"/>
      <c r="N20" s="16"/>
      <c r="O20" s="16"/>
      <c r="P20" s="16">
        <v>235.24</v>
      </c>
      <c r="Q20" s="16">
        <f t="shared" si="0"/>
        <v>398.24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/>
      <c r="E21" s="7"/>
      <c r="F21" s="16"/>
      <c r="G21" s="16"/>
      <c r="H21" s="16">
        <v>161.38</v>
      </c>
      <c r="I21" s="16"/>
      <c r="J21" s="16"/>
      <c r="K21" s="16"/>
      <c r="L21" s="16"/>
      <c r="M21" s="16"/>
      <c r="N21" s="16"/>
      <c r="O21" s="16"/>
      <c r="P21" s="16">
        <v>235.86</v>
      </c>
      <c r="Q21" s="16">
        <f t="shared" si="0"/>
        <v>397.24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/>
      <c r="E22" s="7"/>
      <c r="F22" s="16"/>
      <c r="G22" s="16"/>
      <c r="H22" s="16">
        <v>162.38</v>
      </c>
      <c r="I22" s="16"/>
      <c r="J22" s="16"/>
      <c r="K22" s="16"/>
      <c r="L22" s="16"/>
      <c r="M22" s="16"/>
      <c r="N22" s="16">
        <v>235.86</v>
      </c>
      <c r="O22" s="16"/>
      <c r="P22" s="16"/>
      <c r="Q22" s="16">
        <f t="shared" si="0"/>
        <v>398.24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/>
      <c r="E23" s="7"/>
      <c r="F23" s="16"/>
      <c r="G23" s="16"/>
      <c r="H23" s="16">
        <v>162.38</v>
      </c>
      <c r="I23" s="16"/>
      <c r="J23" s="16"/>
      <c r="K23" s="16"/>
      <c r="L23" s="16"/>
      <c r="M23" s="16"/>
      <c r="N23" s="16">
        <v>235.86</v>
      </c>
      <c r="O23" s="16"/>
      <c r="P23" s="16"/>
      <c r="Q23" s="16">
        <f t="shared" si="0"/>
        <v>398.24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/>
      <c r="E24" s="7"/>
      <c r="F24" s="16"/>
      <c r="G24" s="16"/>
      <c r="H24" s="16">
        <v>162.38</v>
      </c>
      <c r="I24" s="16"/>
      <c r="J24" s="16"/>
      <c r="K24" s="16"/>
      <c r="L24" s="16"/>
      <c r="M24" s="16"/>
      <c r="N24" s="16"/>
      <c r="O24" s="16"/>
      <c r="P24" s="16"/>
      <c r="Q24" s="16">
        <f t="shared" si="0"/>
        <v>162.38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/>
      <c r="E25" s="7"/>
      <c r="F25" s="16"/>
      <c r="G25" s="16"/>
      <c r="H25" s="16">
        <v>162.38</v>
      </c>
      <c r="I25" s="16"/>
      <c r="J25" s="16"/>
      <c r="K25" s="16"/>
      <c r="L25" s="16"/>
      <c r="M25" s="16"/>
      <c r="N25" s="16"/>
      <c r="O25" s="16">
        <v>235.86</v>
      </c>
      <c r="P25" s="16"/>
      <c r="Q25" s="16">
        <f t="shared" si="0"/>
        <v>398.24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/>
      <c r="E26" s="7"/>
      <c r="F26" s="16"/>
      <c r="G26" s="16"/>
      <c r="H26" s="16">
        <v>162.38</v>
      </c>
      <c r="I26" s="16"/>
      <c r="J26" s="16"/>
      <c r="K26" s="16"/>
      <c r="L26" s="16"/>
      <c r="M26" s="16"/>
      <c r="N26" s="16"/>
      <c r="O26" s="16"/>
      <c r="P26" s="16">
        <v>235.86</v>
      </c>
      <c r="Q26" s="16">
        <f t="shared" si="0"/>
        <v>398.24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/>
      <c r="E27" s="7"/>
      <c r="F27" s="16"/>
      <c r="G27" s="16"/>
      <c r="H27" s="16"/>
      <c r="I27" s="16">
        <v>162.38</v>
      </c>
      <c r="J27" s="16"/>
      <c r="K27" s="16"/>
      <c r="L27" s="16"/>
      <c r="M27" s="16"/>
      <c r="N27" s="16"/>
      <c r="O27" s="16"/>
      <c r="P27" s="16"/>
      <c r="Q27" s="16">
        <f t="shared" si="0"/>
        <v>162.38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/>
      <c r="E28" s="7"/>
      <c r="F28" s="16"/>
      <c r="G28" s="16"/>
      <c r="H28" s="16">
        <v>162.38</v>
      </c>
      <c r="I28" s="16"/>
      <c r="J28" s="16"/>
      <c r="K28" s="16"/>
      <c r="L28" s="16"/>
      <c r="M28" s="16"/>
      <c r="N28" s="16"/>
      <c r="O28" s="16">
        <v>235.86</v>
      </c>
      <c r="P28" s="16"/>
      <c r="Q28" s="16">
        <f t="shared" si="0"/>
        <v>398.24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/>
      <c r="E29" s="7"/>
      <c r="F29" s="16"/>
      <c r="G29" s="16"/>
      <c r="H29" s="16">
        <v>162.38</v>
      </c>
      <c r="I29" s="16"/>
      <c r="J29" s="16"/>
      <c r="K29" s="16"/>
      <c r="L29" s="16"/>
      <c r="M29" s="16"/>
      <c r="N29" s="16"/>
      <c r="O29" s="16"/>
      <c r="P29" s="16">
        <v>235.86</v>
      </c>
      <c r="Q29" s="16">
        <f t="shared" si="0"/>
        <v>398.24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/>
      <c r="E30" s="7"/>
      <c r="F30" s="16"/>
      <c r="G30" s="16"/>
      <c r="H30" s="16">
        <v>162.5</v>
      </c>
      <c r="I30" s="16"/>
      <c r="J30" s="16"/>
      <c r="K30" s="16"/>
      <c r="L30" s="16"/>
      <c r="M30" s="16"/>
      <c r="N30" s="16"/>
      <c r="O30" s="16"/>
      <c r="P30" s="16"/>
      <c r="Q30" s="16">
        <f t="shared" si="0"/>
        <v>162.5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/>
      <c r="E31" s="7"/>
      <c r="F31" s="16"/>
      <c r="G31" s="16"/>
      <c r="H31" s="16"/>
      <c r="I31" s="16">
        <v>162.38</v>
      </c>
      <c r="J31" s="16"/>
      <c r="K31" s="16"/>
      <c r="L31" s="16"/>
      <c r="M31" s="16"/>
      <c r="N31" s="16"/>
      <c r="O31" s="16"/>
      <c r="P31" s="16"/>
      <c r="Q31" s="16">
        <f t="shared" si="0"/>
        <v>162.38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/>
      <c r="E32" s="7"/>
      <c r="F32" s="16"/>
      <c r="G32" s="16"/>
      <c r="H32" s="16">
        <v>162.38</v>
      </c>
      <c r="I32" s="16"/>
      <c r="J32" s="16"/>
      <c r="K32" s="16"/>
      <c r="L32" s="16"/>
      <c r="M32" s="16"/>
      <c r="N32" s="16"/>
      <c r="O32" s="16">
        <v>235.86</v>
      </c>
      <c r="P32" s="16"/>
      <c r="Q32" s="16">
        <f t="shared" si="0"/>
        <v>398.24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/>
      <c r="E33" s="7"/>
      <c r="F33" s="16"/>
      <c r="G33" s="16"/>
      <c r="H33" s="16">
        <v>162.38</v>
      </c>
      <c r="I33" s="16"/>
      <c r="J33" s="16"/>
      <c r="K33" s="16"/>
      <c r="L33" s="16"/>
      <c r="M33" s="16"/>
      <c r="N33" s="16">
        <v>235.86</v>
      </c>
      <c r="O33" s="16"/>
      <c r="P33" s="16"/>
      <c r="Q33" s="16">
        <f t="shared" si="0"/>
        <v>398.24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/>
      <c r="E34" s="7"/>
      <c r="F34" s="16"/>
      <c r="G34" s="16"/>
      <c r="H34" s="16">
        <v>162.38</v>
      </c>
      <c r="I34" s="16"/>
      <c r="J34" s="16"/>
      <c r="K34" s="16"/>
      <c r="L34" s="16"/>
      <c r="M34" s="16"/>
      <c r="N34" s="16">
        <v>235.86</v>
      </c>
      <c r="O34" s="16"/>
      <c r="P34" s="16"/>
      <c r="Q34" s="16">
        <f t="shared" si="0"/>
        <v>398.24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/>
      <c r="E35" s="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>
        <f t="shared" si="0"/>
        <v>0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/>
      <c r="E36" s="7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/>
      <c r="E37" s="7"/>
      <c r="F37" s="16"/>
      <c r="G37" s="16"/>
      <c r="H37" s="16">
        <v>163.28</v>
      </c>
      <c r="I37" s="16"/>
      <c r="J37" s="16"/>
      <c r="K37" s="16"/>
      <c r="L37" s="16"/>
      <c r="M37" s="16"/>
      <c r="N37" s="16">
        <v>234.96</v>
      </c>
      <c r="O37" s="16"/>
      <c r="P37" s="16"/>
      <c r="Q37" s="16">
        <f t="shared" si="0"/>
        <v>398.24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/>
      <c r="E38" s="7">
        <v>162.38</v>
      </c>
      <c r="F38" s="16"/>
      <c r="G38" s="16"/>
      <c r="H38" s="16"/>
      <c r="I38" s="16"/>
      <c r="J38" s="16"/>
      <c r="K38" s="16"/>
      <c r="L38" s="16"/>
      <c r="M38" s="16"/>
      <c r="N38" s="16"/>
      <c r="O38" s="16">
        <v>235.86</v>
      </c>
      <c r="P38" s="16"/>
      <c r="Q38" s="16">
        <f t="shared" si="0"/>
        <v>398.24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/>
      <c r="E39" s="7"/>
      <c r="F39" s="16"/>
      <c r="G39" s="16"/>
      <c r="H39" s="16">
        <v>162.38</v>
      </c>
      <c r="I39" s="16"/>
      <c r="J39" s="16"/>
      <c r="K39" s="16"/>
      <c r="L39" s="16"/>
      <c r="M39" s="16"/>
      <c r="N39" s="16">
        <v>235.86</v>
      </c>
      <c r="O39" s="16"/>
      <c r="P39" s="16"/>
      <c r="Q39" s="16">
        <f t="shared" si="0"/>
        <v>398.24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/>
      <c r="E40" s="7"/>
      <c r="F40" s="16"/>
      <c r="G40" s="16"/>
      <c r="H40" s="16">
        <v>162.38</v>
      </c>
      <c r="I40" s="16"/>
      <c r="J40" s="16"/>
      <c r="K40" s="16"/>
      <c r="L40" s="16"/>
      <c r="M40" s="16"/>
      <c r="N40" s="16">
        <v>235.86</v>
      </c>
      <c r="O40" s="16"/>
      <c r="P40" s="16"/>
      <c r="Q40" s="16">
        <f t="shared" si="0"/>
        <v>398.24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/>
      <c r="E41" s="7">
        <v>162.38</v>
      </c>
      <c r="F41" s="16"/>
      <c r="G41" s="16"/>
      <c r="H41" s="16"/>
      <c r="I41" s="16"/>
      <c r="J41" s="16"/>
      <c r="K41" s="16"/>
      <c r="L41" s="16"/>
      <c r="M41" s="16"/>
      <c r="N41" s="16">
        <v>235.86</v>
      </c>
      <c r="O41" s="16"/>
      <c r="P41" s="16"/>
      <c r="Q41" s="16">
        <f t="shared" si="0"/>
        <v>398.24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/>
      <c r="E42" s="7"/>
      <c r="F42" s="16"/>
      <c r="G42" s="16"/>
      <c r="H42" s="16">
        <v>162.38</v>
      </c>
      <c r="I42" s="16"/>
      <c r="J42" s="16"/>
      <c r="K42" s="16"/>
      <c r="L42" s="16"/>
      <c r="M42" s="16"/>
      <c r="N42" s="16">
        <v>235.86</v>
      </c>
      <c r="O42" s="16"/>
      <c r="P42" s="16"/>
      <c r="Q42" s="16">
        <f t="shared" si="0"/>
        <v>398.24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/>
      <c r="E43" s="7"/>
      <c r="F43" s="16"/>
      <c r="G43" s="16"/>
      <c r="H43" s="16">
        <v>162.4</v>
      </c>
      <c r="I43" s="16"/>
      <c r="J43" s="16"/>
      <c r="K43" s="16"/>
      <c r="L43" s="16"/>
      <c r="M43" s="16"/>
      <c r="N43" s="16"/>
      <c r="O43" s="16"/>
      <c r="P43" s="16">
        <v>235.84</v>
      </c>
      <c r="Q43" s="16">
        <f t="shared" si="0"/>
        <v>398.24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/>
      <c r="E44" s="7"/>
      <c r="F44" s="16"/>
      <c r="G44" s="16"/>
      <c r="H44" s="16">
        <v>162.38</v>
      </c>
      <c r="I44" s="16"/>
      <c r="J44" s="16"/>
      <c r="K44" s="16"/>
      <c r="L44" s="16"/>
      <c r="M44" s="16"/>
      <c r="N44" s="16">
        <v>235.86</v>
      </c>
      <c r="O44" s="16"/>
      <c r="P44" s="16"/>
      <c r="Q44" s="16">
        <f t="shared" si="0"/>
        <v>398.24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/>
      <c r="E45" s="7"/>
      <c r="F45" s="16"/>
      <c r="G45" s="16"/>
      <c r="H45" s="16"/>
      <c r="I45" s="16"/>
      <c r="J45" s="16">
        <v>162.38</v>
      </c>
      <c r="K45" s="16"/>
      <c r="L45" s="16"/>
      <c r="M45" s="16"/>
      <c r="N45" s="16">
        <v>235.86</v>
      </c>
      <c r="O45" s="16"/>
      <c r="P45" s="16"/>
      <c r="Q45" s="16">
        <f t="shared" si="0"/>
        <v>398.24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/>
      <c r="E46" s="7">
        <v>162.38</v>
      </c>
      <c r="F46" s="16"/>
      <c r="G46" s="16"/>
      <c r="H46" s="16"/>
      <c r="I46" s="16"/>
      <c r="J46" s="16"/>
      <c r="K46" s="16"/>
      <c r="L46" s="16"/>
      <c r="M46" s="16"/>
      <c r="N46" s="16">
        <v>235.86</v>
      </c>
      <c r="O46" s="16"/>
      <c r="P46" s="16"/>
      <c r="Q46" s="16">
        <f t="shared" si="0"/>
        <v>398.24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/>
      <c r="E47" s="7"/>
      <c r="F47" s="16"/>
      <c r="G47" s="16"/>
      <c r="H47" s="16"/>
      <c r="I47" s="16">
        <v>200</v>
      </c>
      <c r="J47" s="16"/>
      <c r="K47" s="16"/>
      <c r="L47" s="16"/>
      <c r="M47" s="16"/>
      <c r="N47" s="16">
        <v>198.24</v>
      </c>
      <c r="O47" s="16"/>
      <c r="P47" s="16"/>
      <c r="Q47" s="16">
        <f t="shared" si="0"/>
        <v>398.24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/>
      <c r="E48" s="7"/>
      <c r="F48" s="16"/>
      <c r="G48" s="16"/>
      <c r="H48" s="16">
        <v>162.38</v>
      </c>
      <c r="I48" s="16"/>
      <c r="J48" s="16"/>
      <c r="K48" s="16"/>
      <c r="L48" s="16"/>
      <c r="M48" s="16"/>
      <c r="N48" s="16">
        <v>235.86</v>
      </c>
      <c r="O48" s="16"/>
      <c r="P48" s="16"/>
      <c r="Q48" s="16">
        <f t="shared" si="0"/>
        <v>398.24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/>
      <c r="E49" s="7"/>
      <c r="F49" s="16"/>
      <c r="G49" s="16"/>
      <c r="H49" s="16">
        <v>162.38</v>
      </c>
      <c r="I49" s="16"/>
      <c r="J49" s="16"/>
      <c r="K49" s="16"/>
      <c r="L49" s="16"/>
      <c r="M49" s="16"/>
      <c r="N49" s="16">
        <v>235.86</v>
      </c>
      <c r="O49" s="16"/>
      <c r="P49" s="16"/>
      <c r="Q49" s="16">
        <f t="shared" si="0"/>
        <v>398.24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/>
      <c r="E50" s="7"/>
      <c r="F50" s="16"/>
      <c r="G50" s="16"/>
      <c r="H50" s="16">
        <v>162.38</v>
      </c>
      <c r="I50" s="16"/>
      <c r="J50" s="16"/>
      <c r="K50" s="16"/>
      <c r="L50" s="16"/>
      <c r="M50" s="16"/>
      <c r="N50" s="16"/>
      <c r="O50" s="16"/>
      <c r="P50" s="16"/>
      <c r="Q50" s="16">
        <f t="shared" si="0"/>
        <v>162.38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/>
      <c r="E51" s="7"/>
      <c r="F51" s="16"/>
      <c r="G51" s="16"/>
      <c r="H51" s="16">
        <v>162.38</v>
      </c>
      <c r="I51" s="16"/>
      <c r="J51" s="16"/>
      <c r="K51" s="16"/>
      <c r="L51" s="16"/>
      <c r="M51" s="16"/>
      <c r="N51" s="16"/>
      <c r="O51" s="16">
        <v>235.86</v>
      </c>
      <c r="P51" s="16"/>
      <c r="Q51" s="16">
        <f t="shared" si="0"/>
        <v>398.24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/>
      <c r="E52" s="7"/>
      <c r="F52" s="16">
        <v>162.38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>
        <f t="shared" si="0"/>
        <v>162.38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/>
      <c r="E53" s="7"/>
      <c r="F53" s="16">
        <v>162.38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>
        <f t="shared" si="0"/>
        <v>162.38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/>
      <c r="E54" s="7"/>
      <c r="F54" s="16"/>
      <c r="G54" s="16"/>
      <c r="H54" s="16">
        <v>162.38</v>
      </c>
      <c r="I54" s="16"/>
      <c r="J54" s="16"/>
      <c r="K54" s="16"/>
      <c r="L54" s="16"/>
      <c r="M54" s="16"/>
      <c r="N54" s="16"/>
      <c r="O54" s="16">
        <v>235.86</v>
      </c>
      <c r="P54" s="16"/>
      <c r="Q54" s="16">
        <f t="shared" si="0"/>
        <v>398.24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/>
      <c r="E55" s="7"/>
      <c r="F55" s="16"/>
      <c r="G55" s="16"/>
      <c r="H55" s="16">
        <v>162.38</v>
      </c>
      <c r="I55" s="16"/>
      <c r="J55" s="16"/>
      <c r="K55" s="16"/>
      <c r="L55" s="16"/>
      <c r="M55" s="16"/>
      <c r="N55" s="16"/>
      <c r="O55" s="16">
        <v>235.86</v>
      </c>
      <c r="P55" s="16"/>
      <c r="Q55" s="16">
        <f t="shared" si="0"/>
        <v>398.24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/>
      <c r="E56" s="7"/>
      <c r="F56" s="16"/>
      <c r="G56" s="16"/>
      <c r="H56" s="16">
        <v>162.34</v>
      </c>
      <c r="I56" s="16"/>
      <c r="J56" s="16"/>
      <c r="K56" s="16"/>
      <c r="L56" s="16"/>
      <c r="M56" s="16"/>
      <c r="N56" s="16">
        <v>235.86</v>
      </c>
      <c r="O56" s="16"/>
      <c r="P56" s="16"/>
      <c r="Q56" s="16">
        <f t="shared" si="0"/>
        <v>398.2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/>
      <c r="E57" s="7"/>
      <c r="F57" s="16"/>
      <c r="G57" s="16"/>
      <c r="H57" s="16">
        <v>162.38</v>
      </c>
      <c r="I57" s="16"/>
      <c r="J57" s="16"/>
      <c r="K57" s="16"/>
      <c r="L57" s="16"/>
      <c r="M57" s="16"/>
      <c r="N57" s="16">
        <v>235.86</v>
      </c>
      <c r="O57" s="16"/>
      <c r="P57" s="16"/>
      <c r="Q57" s="16">
        <f t="shared" si="0"/>
        <v>398.24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/>
      <c r="E58" s="7">
        <v>162.38</v>
      </c>
      <c r="F58" s="16"/>
      <c r="G58" s="16"/>
      <c r="H58" s="16"/>
      <c r="I58" s="16"/>
      <c r="J58" s="16"/>
      <c r="K58" s="16"/>
      <c r="L58" s="16"/>
      <c r="M58" s="16"/>
      <c r="N58" s="16">
        <v>235.86</v>
      </c>
      <c r="O58" s="16"/>
      <c r="P58" s="16"/>
      <c r="Q58" s="16">
        <f t="shared" si="0"/>
        <v>398.24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/>
      <c r="E59" s="7"/>
      <c r="F59" s="16"/>
      <c r="G59" s="16"/>
      <c r="H59" s="16">
        <v>162.38</v>
      </c>
      <c r="I59" s="16"/>
      <c r="J59" s="16"/>
      <c r="K59" s="16"/>
      <c r="L59" s="16"/>
      <c r="M59" s="16"/>
      <c r="N59" s="16">
        <v>235.86</v>
      </c>
      <c r="O59" s="16"/>
      <c r="P59" s="16"/>
      <c r="Q59" s="16">
        <f t="shared" si="0"/>
        <v>398.24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/>
      <c r="E60" s="7">
        <v>162.38</v>
      </c>
      <c r="F60" s="16"/>
      <c r="G60" s="16"/>
      <c r="H60" s="16"/>
      <c r="I60" s="16"/>
      <c r="J60" s="16"/>
      <c r="K60" s="16"/>
      <c r="L60" s="16"/>
      <c r="M60" s="16"/>
      <c r="N60" s="16">
        <v>235.86</v>
      </c>
      <c r="O60" s="16"/>
      <c r="P60" s="16"/>
      <c r="Q60" s="16">
        <f t="shared" si="0"/>
        <v>398.24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/>
      <c r="E61" s="7"/>
      <c r="F61" s="16"/>
      <c r="G61" s="16"/>
      <c r="H61" s="16">
        <v>162.38</v>
      </c>
      <c r="I61" s="16"/>
      <c r="J61" s="16"/>
      <c r="K61" s="16"/>
      <c r="L61" s="16"/>
      <c r="M61" s="16"/>
      <c r="N61" s="16">
        <v>235.86</v>
      </c>
      <c r="O61" s="16"/>
      <c r="P61" s="16"/>
      <c r="Q61" s="16">
        <f t="shared" si="0"/>
        <v>398.24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/>
      <c r="E62" s="7"/>
      <c r="F62" s="16"/>
      <c r="G62" s="16"/>
      <c r="H62" s="16">
        <v>162.38</v>
      </c>
      <c r="I62" s="16"/>
      <c r="J62" s="16"/>
      <c r="K62" s="16"/>
      <c r="L62" s="16"/>
      <c r="M62" s="16"/>
      <c r="N62" s="16"/>
      <c r="O62" s="16"/>
      <c r="P62" s="16"/>
      <c r="Q62" s="16">
        <f t="shared" si="0"/>
        <v>162.38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/>
      <c r="E63" s="7"/>
      <c r="F63" s="16"/>
      <c r="G63" s="16"/>
      <c r="H63" s="16">
        <v>162.38</v>
      </c>
      <c r="I63" s="16"/>
      <c r="J63" s="16"/>
      <c r="K63" s="16"/>
      <c r="L63" s="16"/>
      <c r="M63" s="16"/>
      <c r="N63" s="16">
        <v>235.86</v>
      </c>
      <c r="O63" s="16"/>
      <c r="P63" s="16"/>
      <c r="Q63" s="16">
        <f t="shared" si="0"/>
        <v>398.24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/>
      <c r="E64" s="7"/>
      <c r="F64" s="16"/>
      <c r="G64" s="16"/>
      <c r="H64" s="16"/>
      <c r="I64" s="16">
        <v>162.38</v>
      </c>
      <c r="J64" s="16"/>
      <c r="K64" s="16"/>
      <c r="L64" s="16"/>
      <c r="M64" s="16"/>
      <c r="N64" s="16">
        <v>235.86</v>
      </c>
      <c r="O64" s="16"/>
      <c r="P64" s="16"/>
      <c r="Q64" s="16">
        <f t="shared" si="0"/>
        <v>398.24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/>
      <c r="E65" s="7"/>
      <c r="F65" s="16"/>
      <c r="G65" s="16"/>
      <c r="H65" s="16">
        <v>162.38</v>
      </c>
      <c r="I65" s="16"/>
      <c r="J65" s="16"/>
      <c r="K65" s="16"/>
      <c r="L65" s="16"/>
      <c r="M65" s="16"/>
      <c r="N65" s="16"/>
      <c r="O65" s="16"/>
      <c r="P65" s="16">
        <v>235.86</v>
      </c>
      <c r="Q65" s="16">
        <f t="shared" si="0"/>
        <v>398.24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/>
      <c r="E66" s="7"/>
      <c r="F66" s="16"/>
      <c r="G66" s="16"/>
      <c r="H66" s="16">
        <v>162.38</v>
      </c>
      <c r="I66" s="16"/>
      <c r="J66" s="16"/>
      <c r="K66" s="16"/>
      <c r="L66" s="16"/>
      <c r="M66" s="16"/>
      <c r="N66" s="16">
        <v>235.86</v>
      </c>
      <c r="O66" s="16"/>
      <c r="P66" s="16"/>
      <c r="Q66" s="16">
        <f t="shared" si="0"/>
        <v>398.24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/>
      <c r="E67" s="7"/>
      <c r="F67" s="16"/>
      <c r="G67" s="16"/>
      <c r="H67" s="16">
        <v>162.38</v>
      </c>
      <c r="I67" s="16"/>
      <c r="J67" s="16"/>
      <c r="K67" s="16"/>
      <c r="L67" s="16"/>
      <c r="M67" s="16"/>
      <c r="N67" s="16"/>
      <c r="O67" s="16"/>
      <c r="P67" s="16"/>
      <c r="Q67" s="16">
        <f t="shared" si="0"/>
        <v>162.38</v>
      </c>
    </row>
    <row r="68" customHeight="1" spans="1:17">
      <c r="A68" s="7">
        <v>65</v>
      </c>
      <c r="B68" s="7" t="s">
        <v>148</v>
      </c>
      <c r="C68" s="10" t="s">
        <v>149</v>
      </c>
      <c r="D68" s="7"/>
      <c r="E68" s="7"/>
      <c r="F68" s="16">
        <v>198.76</v>
      </c>
      <c r="G68" s="16"/>
      <c r="H68" s="16"/>
      <c r="I68" s="16"/>
      <c r="J68" s="16"/>
      <c r="K68" s="16"/>
      <c r="L68" s="16"/>
      <c r="M68" s="16"/>
      <c r="N68" s="16">
        <v>359.65</v>
      </c>
      <c r="O68" s="16"/>
      <c r="P68" s="16"/>
      <c r="Q68" s="16">
        <f t="shared" ref="Q68:Q131" si="1">D68+E68+F68+G68+H68+I68+J68+K68+L68+M68+N68+O68+P68</f>
        <v>558.41</v>
      </c>
    </row>
    <row r="69" customHeight="1" spans="1:17">
      <c r="A69" s="7">
        <v>66</v>
      </c>
      <c r="B69" s="7" t="s">
        <v>150</v>
      </c>
      <c r="C69" s="10" t="s">
        <v>151</v>
      </c>
      <c r="D69" s="7"/>
      <c r="E69" s="7"/>
      <c r="F69" s="16"/>
      <c r="G69" s="16"/>
      <c r="H69" s="16"/>
      <c r="I69" s="16">
        <v>198.76</v>
      </c>
      <c r="J69" s="16"/>
      <c r="K69" s="16"/>
      <c r="L69" s="16"/>
      <c r="M69" s="16"/>
      <c r="N69" s="16"/>
      <c r="O69" s="16"/>
      <c r="P69" s="16"/>
      <c r="Q69" s="16">
        <f t="shared" si="1"/>
        <v>198.76</v>
      </c>
    </row>
    <row r="70" customHeight="1" spans="1:17">
      <c r="A70" s="7">
        <v>67</v>
      </c>
      <c r="B70" s="7" t="s">
        <v>152</v>
      </c>
      <c r="C70" s="10" t="s">
        <v>153</v>
      </c>
      <c r="D70" s="7"/>
      <c r="E70" s="7">
        <v>198.76</v>
      </c>
      <c r="F70" s="16"/>
      <c r="G70" s="16"/>
      <c r="H70" s="16"/>
      <c r="I70" s="16"/>
      <c r="J70" s="16"/>
      <c r="K70" s="16"/>
      <c r="L70" s="16"/>
      <c r="M70" s="16"/>
      <c r="N70" s="16">
        <v>359.65</v>
      </c>
      <c r="O70" s="16"/>
      <c r="P70" s="16"/>
      <c r="Q70" s="16">
        <f t="shared" si="1"/>
        <v>558.41</v>
      </c>
    </row>
    <row r="71" customHeight="1" spans="1:17">
      <c r="A71" s="7">
        <v>68</v>
      </c>
      <c r="B71" s="7" t="s">
        <v>154</v>
      </c>
      <c r="C71" s="10" t="s">
        <v>155</v>
      </c>
      <c r="D71" s="7"/>
      <c r="E71" s="7"/>
      <c r="F71" s="16"/>
      <c r="G71" s="16"/>
      <c r="H71" s="16">
        <v>198.76</v>
      </c>
      <c r="I71" s="16"/>
      <c r="J71" s="16"/>
      <c r="K71" s="16"/>
      <c r="L71" s="16"/>
      <c r="M71" s="16"/>
      <c r="N71" s="16">
        <v>359.65</v>
      </c>
      <c r="O71" s="16"/>
      <c r="P71" s="16"/>
      <c r="Q71" s="16">
        <f t="shared" si="1"/>
        <v>558.41</v>
      </c>
    </row>
    <row r="72" customHeight="1" spans="1:17">
      <c r="A72" s="7">
        <v>69</v>
      </c>
      <c r="B72" s="7" t="s">
        <v>156</v>
      </c>
      <c r="C72" s="10" t="s">
        <v>157</v>
      </c>
      <c r="D72" s="7"/>
      <c r="E72" s="7"/>
      <c r="F72" s="16"/>
      <c r="G72" s="16"/>
      <c r="H72" s="16">
        <v>198.76</v>
      </c>
      <c r="I72" s="16"/>
      <c r="J72" s="16"/>
      <c r="K72" s="16"/>
      <c r="L72" s="16"/>
      <c r="M72" s="16"/>
      <c r="N72" s="16">
        <v>359.65</v>
      </c>
      <c r="O72" s="16"/>
      <c r="P72" s="16"/>
      <c r="Q72" s="16">
        <f t="shared" si="1"/>
        <v>558.41</v>
      </c>
    </row>
    <row r="73" customHeight="1" spans="1:17">
      <c r="A73" s="7">
        <v>70</v>
      </c>
      <c r="B73" s="7" t="s">
        <v>158</v>
      </c>
      <c r="C73" s="10" t="s">
        <v>159</v>
      </c>
      <c r="D73" s="7"/>
      <c r="E73" s="7"/>
      <c r="F73" s="16">
        <v>198.76</v>
      </c>
      <c r="G73" s="16"/>
      <c r="H73" s="16"/>
      <c r="I73" s="16"/>
      <c r="J73" s="16"/>
      <c r="K73" s="16"/>
      <c r="L73" s="16"/>
      <c r="M73" s="16"/>
      <c r="N73" s="16">
        <v>359.65</v>
      </c>
      <c r="O73" s="16"/>
      <c r="P73" s="16"/>
      <c r="Q73" s="16">
        <f t="shared" si="1"/>
        <v>558.41</v>
      </c>
    </row>
    <row r="74" customHeight="1" spans="1:17">
      <c r="A74" s="7">
        <v>71</v>
      </c>
      <c r="B74" s="7" t="s">
        <v>160</v>
      </c>
      <c r="C74" s="10" t="s">
        <v>161</v>
      </c>
      <c r="D74" s="7"/>
      <c r="E74" s="7"/>
      <c r="F74" s="16"/>
      <c r="G74" s="16"/>
      <c r="H74" s="16">
        <v>198.76</v>
      </c>
      <c r="I74" s="16"/>
      <c r="J74" s="16"/>
      <c r="K74" s="16"/>
      <c r="L74" s="16"/>
      <c r="M74" s="16"/>
      <c r="N74" s="16"/>
      <c r="O74" s="16">
        <v>359.65</v>
      </c>
      <c r="P74" s="16"/>
      <c r="Q74" s="16">
        <f t="shared" si="1"/>
        <v>558.41</v>
      </c>
    </row>
    <row r="75" customHeight="1" spans="1:17">
      <c r="A75" s="7">
        <v>72</v>
      </c>
      <c r="B75" s="7" t="s">
        <v>162</v>
      </c>
      <c r="C75" s="10" t="s">
        <v>163</v>
      </c>
      <c r="D75" s="7"/>
      <c r="E75" s="7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>
        <f t="shared" si="1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/>
      <c r="E76" s="7">
        <v>198.76</v>
      </c>
      <c r="F76" s="16"/>
      <c r="G76" s="16"/>
      <c r="H76" s="16"/>
      <c r="I76" s="16"/>
      <c r="J76" s="16"/>
      <c r="K76" s="16"/>
      <c r="L76" s="16"/>
      <c r="M76" s="16"/>
      <c r="N76" s="16">
        <v>359.65</v>
      </c>
      <c r="O76" s="16"/>
      <c r="P76" s="16"/>
      <c r="Q76" s="16">
        <f t="shared" si="1"/>
        <v>558.41</v>
      </c>
    </row>
    <row r="77" customHeight="1" spans="1:17">
      <c r="A77" s="7">
        <v>74</v>
      </c>
      <c r="B77" s="7" t="s">
        <v>166</v>
      </c>
      <c r="C77" s="10" t="s">
        <v>167</v>
      </c>
      <c r="D77" s="7"/>
      <c r="E77" s="7"/>
      <c r="F77" s="16"/>
      <c r="G77" s="16"/>
      <c r="H77" s="16">
        <v>198.76</v>
      </c>
      <c r="I77" s="16"/>
      <c r="J77" s="16"/>
      <c r="K77" s="16"/>
      <c r="L77" s="16"/>
      <c r="M77" s="16"/>
      <c r="N77" s="16">
        <v>359.65</v>
      </c>
      <c r="O77" s="16"/>
      <c r="P77" s="16"/>
      <c r="Q77" s="16">
        <f t="shared" si="1"/>
        <v>558.41</v>
      </c>
    </row>
    <row r="78" customHeight="1" spans="1:17">
      <c r="A78" s="7">
        <v>75</v>
      </c>
      <c r="B78" s="7" t="s">
        <v>168</v>
      </c>
      <c r="C78" s="15" t="s">
        <v>169</v>
      </c>
      <c r="D78" s="7"/>
      <c r="E78" s="7">
        <v>198.67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>
        <f t="shared" si="1"/>
        <v>198.67</v>
      </c>
    </row>
    <row r="79" customHeight="1" spans="1:17">
      <c r="A79" s="7">
        <v>76</v>
      </c>
      <c r="B79" s="7" t="s">
        <v>170</v>
      </c>
      <c r="C79" s="10" t="s">
        <v>171</v>
      </c>
      <c r="D79" s="7"/>
      <c r="E79" s="7">
        <v>198.76</v>
      </c>
      <c r="F79" s="16"/>
      <c r="G79" s="16"/>
      <c r="H79" s="16"/>
      <c r="I79" s="16"/>
      <c r="J79" s="16"/>
      <c r="K79" s="16"/>
      <c r="L79" s="16"/>
      <c r="M79" s="16"/>
      <c r="N79" s="16">
        <v>359.65</v>
      </c>
      <c r="O79" s="16"/>
      <c r="P79" s="16"/>
      <c r="Q79" s="16">
        <f t="shared" si="1"/>
        <v>558.41</v>
      </c>
    </row>
    <row r="80" customHeight="1" spans="1:17">
      <c r="A80" s="7">
        <v>77</v>
      </c>
      <c r="B80" s="7" t="s">
        <v>172</v>
      </c>
      <c r="C80" s="10" t="s">
        <v>173</v>
      </c>
      <c r="D80" s="7"/>
      <c r="E80" s="7"/>
      <c r="F80" s="16"/>
      <c r="G80" s="16"/>
      <c r="H80" s="16">
        <v>199</v>
      </c>
      <c r="I80" s="16"/>
      <c r="J80" s="16"/>
      <c r="K80" s="16"/>
      <c r="L80" s="16"/>
      <c r="M80" s="16"/>
      <c r="N80" s="16">
        <v>359.41</v>
      </c>
      <c r="O80" s="16"/>
      <c r="P80" s="16"/>
      <c r="Q80" s="16">
        <f t="shared" si="1"/>
        <v>558.41</v>
      </c>
    </row>
    <row r="81" customHeight="1" spans="1:17">
      <c r="A81" s="7">
        <v>78</v>
      </c>
      <c r="B81" s="7" t="s">
        <v>174</v>
      </c>
      <c r="C81" s="10" t="s">
        <v>175</v>
      </c>
      <c r="D81" s="7"/>
      <c r="E81" s="7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>
        <f t="shared" si="1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/>
      <c r="E82" s="7"/>
      <c r="F82" s="16"/>
      <c r="G82" s="16"/>
      <c r="H82" s="16">
        <v>198.76</v>
      </c>
      <c r="I82" s="16"/>
      <c r="J82" s="16"/>
      <c r="K82" s="16"/>
      <c r="L82" s="16"/>
      <c r="M82" s="16"/>
      <c r="N82" s="16"/>
      <c r="O82" s="16"/>
      <c r="P82" s="16"/>
      <c r="Q82" s="16">
        <f t="shared" si="1"/>
        <v>198.76</v>
      </c>
    </row>
    <row r="83" customHeight="1" spans="1:17">
      <c r="A83" s="7">
        <v>80</v>
      </c>
      <c r="B83" s="7" t="s">
        <v>178</v>
      </c>
      <c r="C83" s="10" t="s">
        <v>179</v>
      </c>
      <c r="D83" s="7"/>
      <c r="E83" s="7"/>
      <c r="F83" s="16"/>
      <c r="G83" s="16"/>
      <c r="H83" s="16">
        <v>198.76</v>
      </c>
      <c r="I83" s="16"/>
      <c r="J83" s="16"/>
      <c r="K83" s="16"/>
      <c r="L83" s="16"/>
      <c r="M83" s="16"/>
      <c r="N83" s="16">
        <v>359.65</v>
      </c>
      <c r="O83" s="16"/>
      <c r="P83" s="16"/>
      <c r="Q83" s="16">
        <f t="shared" si="1"/>
        <v>558.41</v>
      </c>
    </row>
    <row r="84" customHeight="1" spans="1:17">
      <c r="A84" s="7">
        <v>81</v>
      </c>
      <c r="B84" s="7" t="s">
        <v>180</v>
      </c>
      <c r="C84" s="10" t="s">
        <v>181</v>
      </c>
      <c r="D84" s="7"/>
      <c r="E84" s="7"/>
      <c r="F84" s="16">
        <v>198.76</v>
      </c>
      <c r="G84" s="16"/>
      <c r="H84" s="16"/>
      <c r="I84" s="16"/>
      <c r="J84" s="16"/>
      <c r="K84" s="16"/>
      <c r="L84" s="16"/>
      <c r="M84" s="16"/>
      <c r="N84" s="16">
        <v>359.65</v>
      </c>
      <c r="O84" s="16"/>
      <c r="P84" s="16"/>
      <c r="Q84" s="16">
        <f t="shared" si="1"/>
        <v>558.41</v>
      </c>
    </row>
    <row r="85" customHeight="1" spans="1:17">
      <c r="A85" s="7">
        <v>82</v>
      </c>
      <c r="B85" s="7" t="s">
        <v>182</v>
      </c>
      <c r="C85" s="10" t="s">
        <v>183</v>
      </c>
      <c r="D85" s="7"/>
      <c r="E85" s="7">
        <v>198.76</v>
      </c>
      <c r="F85" s="16"/>
      <c r="G85" s="16"/>
      <c r="H85" s="16"/>
      <c r="I85" s="16"/>
      <c r="J85" s="16"/>
      <c r="K85" s="16"/>
      <c r="L85" s="16"/>
      <c r="M85" s="16"/>
      <c r="N85" s="16">
        <v>359.65</v>
      </c>
      <c r="O85" s="16"/>
      <c r="P85" s="16"/>
      <c r="Q85" s="16">
        <f t="shared" si="1"/>
        <v>558.41</v>
      </c>
    </row>
    <row r="86" customHeight="1" spans="1:17">
      <c r="A86" s="7">
        <v>83</v>
      </c>
      <c r="B86" s="7" t="s">
        <v>184</v>
      </c>
      <c r="C86" s="10" t="s">
        <v>185</v>
      </c>
      <c r="D86" s="7"/>
      <c r="E86" s="7"/>
      <c r="F86" s="16"/>
      <c r="G86" s="16"/>
      <c r="H86" s="16">
        <v>198.76</v>
      </c>
      <c r="I86" s="16"/>
      <c r="J86" s="16"/>
      <c r="K86" s="16"/>
      <c r="L86" s="16"/>
      <c r="M86" s="16"/>
      <c r="N86" s="16">
        <v>359.65</v>
      </c>
      <c r="O86" s="16"/>
      <c r="P86" s="16"/>
      <c r="Q86" s="16">
        <f t="shared" si="1"/>
        <v>558.41</v>
      </c>
    </row>
    <row r="87" customHeight="1" spans="1:17">
      <c r="A87" s="7">
        <v>84</v>
      </c>
      <c r="B87" s="7" t="s">
        <v>186</v>
      </c>
      <c r="C87" s="10" t="s">
        <v>187</v>
      </c>
      <c r="D87" s="7"/>
      <c r="E87" s="7"/>
      <c r="F87" s="16">
        <v>198.76</v>
      </c>
      <c r="G87" s="16"/>
      <c r="H87" s="16"/>
      <c r="I87" s="16"/>
      <c r="J87" s="16"/>
      <c r="K87" s="16"/>
      <c r="L87" s="16"/>
      <c r="M87" s="16"/>
      <c r="N87" s="16">
        <v>359.65</v>
      </c>
      <c r="O87" s="16"/>
      <c r="P87" s="16"/>
      <c r="Q87" s="16">
        <f t="shared" si="1"/>
        <v>558.41</v>
      </c>
    </row>
    <row r="88" customHeight="1" spans="1:17">
      <c r="A88" s="7">
        <v>85</v>
      </c>
      <c r="B88" s="7" t="s">
        <v>188</v>
      </c>
      <c r="C88" s="10" t="s">
        <v>189</v>
      </c>
      <c r="D88" s="7"/>
      <c r="E88" s="7"/>
      <c r="F88" s="16"/>
      <c r="G88" s="16"/>
      <c r="H88" s="16">
        <v>198.76</v>
      </c>
      <c r="I88" s="16"/>
      <c r="J88" s="16"/>
      <c r="K88" s="16"/>
      <c r="L88" s="16"/>
      <c r="M88" s="16"/>
      <c r="N88" s="16">
        <v>359.65</v>
      </c>
      <c r="O88" s="16"/>
      <c r="P88" s="16"/>
      <c r="Q88" s="16">
        <f t="shared" si="1"/>
        <v>558.41</v>
      </c>
    </row>
    <row r="89" customHeight="1" spans="1:17">
      <c r="A89" s="7">
        <v>86</v>
      </c>
      <c r="B89" s="7" t="s">
        <v>190</v>
      </c>
      <c r="C89" s="10" t="s">
        <v>191</v>
      </c>
      <c r="D89" s="7"/>
      <c r="E89" s="7"/>
      <c r="F89" s="16"/>
      <c r="G89" s="16"/>
      <c r="H89" s="16">
        <v>198.76</v>
      </c>
      <c r="I89" s="16"/>
      <c r="J89" s="16"/>
      <c r="K89" s="16"/>
      <c r="L89" s="16"/>
      <c r="M89" s="16"/>
      <c r="N89" s="16">
        <v>359.65</v>
      </c>
      <c r="O89" s="16"/>
      <c r="P89" s="16"/>
      <c r="Q89" s="16">
        <f t="shared" si="1"/>
        <v>558.41</v>
      </c>
    </row>
    <row r="90" customHeight="1" spans="1:17">
      <c r="A90" s="7">
        <v>87</v>
      </c>
      <c r="B90" s="7" t="s">
        <v>192</v>
      </c>
      <c r="C90" s="10" t="s">
        <v>193</v>
      </c>
      <c r="D90" s="7"/>
      <c r="E90" s="7"/>
      <c r="F90" s="16"/>
      <c r="G90" s="16"/>
      <c r="H90" s="16">
        <v>198.76</v>
      </c>
      <c r="I90" s="16"/>
      <c r="J90" s="16"/>
      <c r="K90" s="16"/>
      <c r="L90" s="16"/>
      <c r="M90" s="16"/>
      <c r="N90" s="16">
        <v>359.65</v>
      </c>
      <c r="O90" s="16"/>
      <c r="P90" s="16"/>
      <c r="Q90" s="16">
        <f t="shared" si="1"/>
        <v>558.41</v>
      </c>
    </row>
    <row r="91" customHeight="1" spans="1:17">
      <c r="A91" s="7">
        <v>88</v>
      </c>
      <c r="B91" s="7" t="s">
        <v>194</v>
      </c>
      <c r="C91" s="10" t="s">
        <v>195</v>
      </c>
      <c r="D91" s="7"/>
      <c r="E91" s="7"/>
      <c r="F91" s="16"/>
      <c r="G91" s="16"/>
      <c r="H91" s="16">
        <v>198.76</v>
      </c>
      <c r="I91" s="16"/>
      <c r="J91" s="16"/>
      <c r="K91" s="16"/>
      <c r="L91" s="16"/>
      <c r="M91" s="16"/>
      <c r="N91" s="16">
        <v>359.65</v>
      </c>
      <c r="O91" s="16"/>
      <c r="P91" s="16"/>
      <c r="Q91" s="16">
        <f t="shared" si="1"/>
        <v>558.41</v>
      </c>
    </row>
    <row r="92" customHeight="1" spans="1:17">
      <c r="A92" s="7">
        <v>89</v>
      </c>
      <c r="B92" s="7" t="s">
        <v>196</v>
      </c>
      <c r="C92" s="10" t="s">
        <v>197</v>
      </c>
      <c r="D92" s="7"/>
      <c r="E92" s="7"/>
      <c r="F92" s="16"/>
      <c r="G92" s="16"/>
      <c r="H92" s="16">
        <v>198.76</v>
      </c>
      <c r="I92" s="16"/>
      <c r="J92" s="16"/>
      <c r="K92" s="16"/>
      <c r="L92" s="16"/>
      <c r="M92" s="16"/>
      <c r="N92" s="16">
        <v>359.65</v>
      </c>
      <c r="O92" s="16"/>
      <c r="P92" s="16"/>
      <c r="Q92" s="16">
        <f t="shared" si="1"/>
        <v>558.41</v>
      </c>
    </row>
    <row r="93" customHeight="1" spans="1:17">
      <c r="A93" s="7">
        <v>90</v>
      </c>
      <c r="B93" s="7" t="s">
        <v>198</v>
      </c>
      <c r="C93" s="10" t="s">
        <v>199</v>
      </c>
      <c r="D93" s="7"/>
      <c r="E93" s="7">
        <v>198.76</v>
      </c>
      <c r="F93" s="16"/>
      <c r="G93" s="16"/>
      <c r="H93" s="16"/>
      <c r="I93" s="16"/>
      <c r="J93" s="16"/>
      <c r="K93" s="16"/>
      <c r="L93" s="16"/>
      <c r="M93" s="16"/>
      <c r="N93" s="16">
        <v>359.65</v>
      </c>
      <c r="O93" s="16"/>
      <c r="P93" s="16"/>
      <c r="Q93" s="16">
        <f t="shared" si="1"/>
        <v>558.41</v>
      </c>
    </row>
    <row r="94" customHeight="1" spans="1:17">
      <c r="A94" s="7">
        <v>91</v>
      </c>
      <c r="B94" s="7" t="s">
        <v>200</v>
      </c>
      <c r="C94" s="10" t="s">
        <v>201</v>
      </c>
      <c r="D94" s="7"/>
      <c r="E94" s="7"/>
      <c r="F94" s="16"/>
      <c r="G94" s="16"/>
      <c r="H94" s="16"/>
      <c r="I94" s="16"/>
      <c r="J94" s="16"/>
      <c r="K94" s="16"/>
      <c r="L94" s="16"/>
      <c r="M94" s="16"/>
      <c r="N94" s="16">
        <v>45</v>
      </c>
      <c r="O94" s="16"/>
      <c r="P94" s="16"/>
      <c r="Q94" s="16">
        <f t="shared" si="1"/>
        <v>45</v>
      </c>
    </row>
    <row r="95" customHeight="1" spans="1:17">
      <c r="A95" s="7">
        <v>92</v>
      </c>
      <c r="B95" s="7" t="s">
        <v>202</v>
      </c>
      <c r="C95" s="10" t="s">
        <v>203</v>
      </c>
      <c r="D95" s="7"/>
      <c r="E95" s="7"/>
      <c r="F95" s="16"/>
      <c r="G95" s="16"/>
      <c r="H95" s="16"/>
      <c r="I95" s="16"/>
      <c r="J95" s="16"/>
      <c r="K95" s="16"/>
      <c r="L95" s="16"/>
      <c r="M95" s="16">
        <v>198.76</v>
      </c>
      <c r="N95" s="16"/>
      <c r="O95" s="16">
        <v>359.65</v>
      </c>
      <c r="P95" s="16"/>
      <c r="Q95" s="16">
        <f t="shared" si="1"/>
        <v>558.41</v>
      </c>
    </row>
    <row r="96" customHeight="1" spans="1:17">
      <c r="A96" s="7">
        <v>93</v>
      </c>
      <c r="B96" s="7" t="s">
        <v>204</v>
      </c>
      <c r="C96" s="10" t="s">
        <v>205</v>
      </c>
      <c r="D96" s="7"/>
      <c r="E96" s="7">
        <v>198.76</v>
      </c>
      <c r="F96" s="16"/>
      <c r="G96" s="16"/>
      <c r="H96" s="16">
        <v>198.76</v>
      </c>
      <c r="I96" s="16"/>
      <c r="J96" s="16"/>
      <c r="K96" s="16"/>
      <c r="L96" s="16"/>
      <c r="M96" s="16"/>
      <c r="N96" s="16">
        <v>160.89</v>
      </c>
      <c r="O96" s="16"/>
      <c r="P96" s="16"/>
      <c r="Q96" s="16">
        <f t="shared" si="1"/>
        <v>558.41</v>
      </c>
    </row>
    <row r="97" customHeight="1" spans="1:17">
      <c r="A97" s="7">
        <v>94</v>
      </c>
      <c r="B97" s="7" t="s">
        <v>206</v>
      </c>
      <c r="C97" s="10" t="s">
        <v>207</v>
      </c>
      <c r="D97" s="7"/>
      <c r="E97" s="7"/>
      <c r="F97" s="16"/>
      <c r="G97" s="16"/>
      <c r="H97" s="16">
        <v>199</v>
      </c>
      <c r="I97" s="16"/>
      <c r="J97" s="16"/>
      <c r="K97" s="16"/>
      <c r="L97" s="16"/>
      <c r="M97" s="16"/>
      <c r="N97" s="16"/>
      <c r="O97" s="16"/>
      <c r="P97" s="16">
        <v>359.41</v>
      </c>
      <c r="Q97" s="16">
        <f t="shared" si="1"/>
        <v>558.41</v>
      </c>
    </row>
    <row r="98" customHeight="1" spans="1:17">
      <c r="A98" s="7">
        <v>95</v>
      </c>
      <c r="B98" s="7" t="s">
        <v>208</v>
      </c>
      <c r="C98" s="10" t="s">
        <v>209</v>
      </c>
      <c r="D98" s="7"/>
      <c r="E98" s="7"/>
      <c r="F98" s="16"/>
      <c r="G98" s="16"/>
      <c r="H98" s="16">
        <v>198</v>
      </c>
      <c r="I98" s="16"/>
      <c r="J98" s="16"/>
      <c r="K98" s="16"/>
      <c r="L98" s="16"/>
      <c r="M98" s="16"/>
      <c r="N98" s="16">
        <v>359.65</v>
      </c>
      <c r="O98" s="16">
        <v>0.76</v>
      </c>
      <c r="P98" s="16"/>
      <c r="Q98" s="16">
        <f t="shared" si="1"/>
        <v>558.41</v>
      </c>
    </row>
    <row r="99" customHeight="1" spans="1:17">
      <c r="A99" s="7">
        <v>96</v>
      </c>
      <c r="B99" s="7" t="s">
        <v>210</v>
      </c>
      <c r="C99" s="10" t="s">
        <v>211</v>
      </c>
      <c r="D99" s="7"/>
      <c r="E99" s="7"/>
      <c r="F99" s="16"/>
      <c r="G99" s="16"/>
      <c r="H99" s="16">
        <v>198.76</v>
      </c>
      <c r="I99" s="16"/>
      <c r="J99" s="16"/>
      <c r="K99" s="16"/>
      <c r="L99" s="16"/>
      <c r="M99" s="16"/>
      <c r="N99" s="16">
        <v>359.65</v>
      </c>
      <c r="O99" s="16"/>
      <c r="P99" s="16"/>
      <c r="Q99" s="16">
        <f t="shared" si="1"/>
        <v>558.41</v>
      </c>
    </row>
    <row r="100" customHeight="1" spans="1:17">
      <c r="A100" s="7">
        <v>97</v>
      </c>
      <c r="B100" s="7" t="s">
        <v>212</v>
      </c>
      <c r="C100" s="10" t="s">
        <v>213</v>
      </c>
      <c r="D100" s="7"/>
      <c r="E100" s="7"/>
      <c r="F100" s="16"/>
      <c r="G100" s="16"/>
      <c r="H100" s="16">
        <v>198.76</v>
      </c>
      <c r="I100" s="16"/>
      <c r="J100" s="16"/>
      <c r="K100" s="16"/>
      <c r="L100" s="16"/>
      <c r="M100" s="16"/>
      <c r="N100" s="16"/>
      <c r="O100" s="16"/>
      <c r="P100" s="16">
        <v>359.65</v>
      </c>
      <c r="Q100" s="16">
        <f t="shared" si="1"/>
        <v>558.41</v>
      </c>
    </row>
    <row r="101" customHeight="1" spans="1:17">
      <c r="A101" s="7">
        <v>98</v>
      </c>
      <c r="B101" s="7" t="s">
        <v>214</v>
      </c>
      <c r="C101" s="12" t="s">
        <v>215</v>
      </c>
      <c r="D101" s="7"/>
      <c r="E101" s="7">
        <v>198.76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>
        <v>359.65</v>
      </c>
      <c r="P101" s="16"/>
      <c r="Q101" s="16">
        <f t="shared" si="1"/>
        <v>558.41</v>
      </c>
    </row>
    <row r="102" customHeight="1" spans="1:17">
      <c r="A102" s="7">
        <v>99</v>
      </c>
      <c r="B102" s="7" t="s">
        <v>216</v>
      </c>
      <c r="C102" s="10" t="s">
        <v>217</v>
      </c>
      <c r="D102" s="7"/>
      <c r="E102" s="7">
        <v>198.68</v>
      </c>
      <c r="F102" s="16"/>
      <c r="G102" s="16"/>
      <c r="H102" s="16"/>
      <c r="I102" s="16"/>
      <c r="J102" s="16"/>
      <c r="K102" s="16"/>
      <c r="L102" s="16"/>
      <c r="M102" s="16"/>
      <c r="N102" s="16">
        <v>359.63</v>
      </c>
      <c r="O102" s="16"/>
      <c r="P102" s="16"/>
      <c r="Q102" s="16">
        <f t="shared" si="1"/>
        <v>558.31</v>
      </c>
    </row>
    <row r="103" customHeight="1" spans="1:17">
      <c r="A103" s="7">
        <v>100</v>
      </c>
      <c r="B103" s="7" t="s">
        <v>218</v>
      </c>
      <c r="C103" s="10" t="s">
        <v>219</v>
      </c>
      <c r="D103" s="7"/>
      <c r="E103" s="7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>
        <f t="shared" si="1"/>
        <v>0</v>
      </c>
    </row>
    <row r="104" customHeight="1" spans="1:17">
      <c r="A104" s="7">
        <v>101</v>
      </c>
      <c r="B104" s="7" t="s">
        <v>220</v>
      </c>
      <c r="C104" s="10" t="s">
        <v>221</v>
      </c>
      <c r="D104" s="7"/>
      <c r="E104" s="7"/>
      <c r="F104" s="16"/>
      <c r="G104" s="16"/>
      <c r="H104" s="16">
        <v>198.76</v>
      </c>
      <c r="I104" s="16"/>
      <c r="J104" s="16"/>
      <c r="K104" s="16"/>
      <c r="L104" s="16"/>
      <c r="M104" s="16"/>
      <c r="N104" s="16">
        <v>359.65</v>
      </c>
      <c r="O104" s="16"/>
      <c r="P104" s="16"/>
      <c r="Q104" s="16">
        <f t="shared" si="1"/>
        <v>558.41</v>
      </c>
    </row>
    <row r="105" customHeight="1" spans="1:17">
      <c r="A105" s="7">
        <v>102</v>
      </c>
      <c r="B105" s="7" t="s">
        <v>222</v>
      </c>
      <c r="C105" s="10" t="s">
        <v>223</v>
      </c>
      <c r="D105" s="7"/>
      <c r="E105" s="7"/>
      <c r="F105" s="16"/>
      <c r="G105" s="16"/>
      <c r="H105" s="16">
        <v>199</v>
      </c>
      <c r="I105" s="16"/>
      <c r="J105" s="16"/>
      <c r="K105" s="16"/>
      <c r="L105" s="16"/>
      <c r="M105" s="16"/>
      <c r="N105" s="16"/>
      <c r="O105" s="16"/>
      <c r="P105" s="16"/>
      <c r="Q105" s="16">
        <f t="shared" si="1"/>
        <v>199</v>
      </c>
    </row>
    <row r="106" customHeight="1" spans="1:17">
      <c r="A106" s="7">
        <v>103</v>
      </c>
      <c r="B106" s="7" t="s">
        <v>224</v>
      </c>
      <c r="C106" s="10" t="s">
        <v>225</v>
      </c>
      <c r="D106" s="7"/>
      <c r="E106" s="7">
        <v>198.76</v>
      </c>
      <c r="F106" s="16"/>
      <c r="G106" s="16"/>
      <c r="H106" s="16"/>
      <c r="I106" s="16"/>
      <c r="J106" s="16"/>
      <c r="K106" s="16"/>
      <c r="L106" s="16"/>
      <c r="M106" s="16"/>
      <c r="N106" s="16">
        <v>359.65</v>
      </c>
      <c r="O106" s="16"/>
      <c r="P106" s="16"/>
      <c r="Q106" s="16">
        <f t="shared" si="1"/>
        <v>558.41</v>
      </c>
    </row>
    <row r="107" customHeight="1" spans="1:17">
      <c r="A107" s="7">
        <v>104</v>
      </c>
      <c r="B107" s="7" t="s">
        <v>226</v>
      </c>
      <c r="C107" s="10" t="s">
        <v>227</v>
      </c>
      <c r="D107" s="7"/>
      <c r="E107" s="7">
        <v>198.67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>
        <f t="shared" si="1"/>
        <v>198.67</v>
      </c>
    </row>
    <row r="108" customHeight="1" spans="1:17">
      <c r="A108" s="7">
        <v>105</v>
      </c>
      <c r="B108" s="7" t="s">
        <v>228</v>
      </c>
      <c r="C108" s="10" t="s">
        <v>229</v>
      </c>
      <c r="D108" s="7"/>
      <c r="E108" s="7"/>
      <c r="F108" s="16">
        <v>198.76</v>
      </c>
      <c r="G108" s="16"/>
      <c r="H108" s="16"/>
      <c r="I108" s="16"/>
      <c r="J108" s="16"/>
      <c r="K108" s="16"/>
      <c r="L108" s="16"/>
      <c r="M108" s="16"/>
      <c r="N108" s="16"/>
      <c r="O108" s="16">
        <v>359.19</v>
      </c>
      <c r="P108" s="16">
        <v>0.46</v>
      </c>
      <c r="Q108" s="16">
        <f t="shared" si="1"/>
        <v>558.41</v>
      </c>
    </row>
    <row r="109" customHeight="1" spans="1:17">
      <c r="A109" s="7">
        <v>106</v>
      </c>
      <c r="B109" s="7" t="s">
        <v>230</v>
      </c>
      <c r="C109" s="10" t="s">
        <v>231</v>
      </c>
      <c r="D109" s="7"/>
      <c r="E109" s="7"/>
      <c r="F109" s="16"/>
      <c r="G109" s="16"/>
      <c r="H109" s="16">
        <v>198.76</v>
      </c>
      <c r="I109" s="16"/>
      <c r="J109" s="16"/>
      <c r="K109" s="16"/>
      <c r="L109" s="16"/>
      <c r="M109" s="16"/>
      <c r="N109" s="16">
        <v>359.65</v>
      </c>
      <c r="O109" s="16"/>
      <c r="P109" s="16"/>
      <c r="Q109" s="16">
        <f t="shared" si="1"/>
        <v>558.41</v>
      </c>
    </row>
    <row r="110" customHeight="1" spans="1:17">
      <c r="A110" s="7">
        <v>107</v>
      </c>
      <c r="B110" s="7" t="s">
        <v>232</v>
      </c>
      <c r="C110" s="10" t="s">
        <v>233</v>
      </c>
      <c r="D110" s="7"/>
      <c r="E110" s="7">
        <v>198.76</v>
      </c>
      <c r="F110" s="16"/>
      <c r="G110" s="16"/>
      <c r="H110" s="16"/>
      <c r="I110" s="16"/>
      <c r="J110" s="16"/>
      <c r="K110" s="16"/>
      <c r="L110" s="16"/>
      <c r="M110" s="16"/>
      <c r="N110" s="16">
        <v>359.65</v>
      </c>
      <c r="O110" s="16"/>
      <c r="P110" s="16"/>
      <c r="Q110" s="16">
        <f t="shared" si="1"/>
        <v>558.41</v>
      </c>
    </row>
    <row r="111" customHeight="1" spans="1:17">
      <c r="A111" s="7">
        <v>108</v>
      </c>
      <c r="B111" s="7" t="s">
        <v>234</v>
      </c>
      <c r="C111" s="10" t="s">
        <v>235</v>
      </c>
      <c r="D111" s="7"/>
      <c r="E111" s="7"/>
      <c r="F111" s="16"/>
      <c r="G111" s="16"/>
      <c r="H111" s="16">
        <v>198.76</v>
      </c>
      <c r="I111" s="16"/>
      <c r="J111" s="16"/>
      <c r="K111" s="16"/>
      <c r="L111" s="16"/>
      <c r="M111" s="16"/>
      <c r="N111" s="16"/>
      <c r="O111" s="16"/>
      <c r="P111" s="16"/>
      <c r="Q111" s="16">
        <f t="shared" si="1"/>
        <v>198.76</v>
      </c>
    </row>
    <row r="112" customHeight="1" spans="1:17">
      <c r="A112" s="7">
        <v>109</v>
      </c>
      <c r="B112" s="7" t="s">
        <v>236</v>
      </c>
      <c r="C112" s="10" t="s">
        <v>237</v>
      </c>
      <c r="D112" s="7"/>
      <c r="E112" s="7"/>
      <c r="F112" s="16"/>
      <c r="G112" s="16"/>
      <c r="H112" s="16">
        <v>198.76</v>
      </c>
      <c r="I112" s="16"/>
      <c r="J112" s="16"/>
      <c r="K112" s="16"/>
      <c r="L112" s="16"/>
      <c r="M112" s="16"/>
      <c r="N112" s="16"/>
      <c r="O112" s="16"/>
      <c r="P112" s="16">
        <v>359.65</v>
      </c>
      <c r="Q112" s="16">
        <f t="shared" si="1"/>
        <v>558.41</v>
      </c>
    </row>
    <row r="113" customHeight="1" spans="1:17">
      <c r="A113" s="7">
        <v>110</v>
      </c>
      <c r="B113" s="7" t="s">
        <v>238</v>
      </c>
      <c r="C113" s="10" t="s">
        <v>239</v>
      </c>
      <c r="D113" s="7"/>
      <c r="E113" s="7"/>
      <c r="F113" s="16"/>
      <c r="G113" s="16"/>
      <c r="H113" s="16">
        <v>198.76</v>
      </c>
      <c r="I113" s="16"/>
      <c r="J113" s="16"/>
      <c r="K113" s="16"/>
      <c r="L113" s="16"/>
      <c r="M113" s="16"/>
      <c r="N113" s="16">
        <v>359.65</v>
      </c>
      <c r="O113" s="16"/>
      <c r="P113" s="16"/>
      <c r="Q113" s="16">
        <f t="shared" si="1"/>
        <v>558.41</v>
      </c>
    </row>
    <row r="114" customHeight="1" spans="1:17">
      <c r="A114" s="7">
        <v>111</v>
      </c>
      <c r="B114" s="7" t="s">
        <v>240</v>
      </c>
      <c r="C114" s="10" t="s">
        <v>241</v>
      </c>
      <c r="D114" s="7"/>
      <c r="E114" s="7"/>
      <c r="F114" s="16"/>
      <c r="G114" s="16"/>
      <c r="H114" s="16">
        <v>198.76</v>
      </c>
      <c r="I114" s="16"/>
      <c r="J114" s="16"/>
      <c r="K114" s="16"/>
      <c r="L114" s="16"/>
      <c r="M114" s="16"/>
      <c r="N114" s="16">
        <v>359.65</v>
      </c>
      <c r="O114" s="16"/>
      <c r="P114" s="16"/>
      <c r="Q114" s="16">
        <f t="shared" si="1"/>
        <v>558.41</v>
      </c>
    </row>
    <row r="115" customHeight="1" spans="1:17">
      <c r="A115" s="7">
        <v>112</v>
      </c>
      <c r="B115" s="7" t="s">
        <v>242</v>
      </c>
      <c r="C115" s="10" t="s">
        <v>243</v>
      </c>
      <c r="D115" s="7"/>
      <c r="E115" s="7"/>
      <c r="F115" s="16"/>
      <c r="G115" s="16"/>
      <c r="H115" s="16">
        <v>198.76</v>
      </c>
      <c r="I115" s="16"/>
      <c r="J115" s="16"/>
      <c r="K115" s="16"/>
      <c r="L115" s="16"/>
      <c r="M115" s="16"/>
      <c r="N115" s="16">
        <v>359.65</v>
      </c>
      <c r="O115" s="16"/>
      <c r="P115" s="16"/>
      <c r="Q115" s="16">
        <f t="shared" si="1"/>
        <v>558.41</v>
      </c>
    </row>
    <row r="116" customHeight="1" spans="1:17">
      <c r="A116" s="7">
        <v>113</v>
      </c>
      <c r="B116" s="7" t="s">
        <v>244</v>
      </c>
      <c r="C116" s="10" t="s">
        <v>245</v>
      </c>
      <c r="D116" s="7"/>
      <c r="E116" s="7"/>
      <c r="F116" s="16"/>
      <c r="G116" s="16"/>
      <c r="H116" s="16"/>
      <c r="I116" s="16">
        <v>198.76</v>
      </c>
      <c r="J116" s="16"/>
      <c r="K116" s="16"/>
      <c r="L116" s="16"/>
      <c r="M116" s="16"/>
      <c r="N116" s="16">
        <v>359.65</v>
      </c>
      <c r="O116" s="16"/>
      <c r="P116" s="16"/>
      <c r="Q116" s="16">
        <f t="shared" si="1"/>
        <v>558.41</v>
      </c>
    </row>
    <row r="117" customHeight="1" spans="1:17">
      <c r="A117" s="7">
        <v>114</v>
      </c>
      <c r="B117" s="7" t="s">
        <v>246</v>
      </c>
      <c r="C117" s="10" t="s">
        <v>247</v>
      </c>
      <c r="D117" s="7"/>
      <c r="E117" s="7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>
        <f t="shared" si="1"/>
        <v>0</v>
      </c>
    </row>
    <row r="118" customHeight="1" spans="1:17">
      <c r="A118" s="7">
        <v>115</v>
      </c>
      <c r="B118" s="7" t="s">
        <v>248</v>
      </c>
      <c r="C118" s="10" t="s">
        <v>249</v>
      </c>
      <c r="D118" s="7"/>
      <c r="E118" s="7"/>
      <c r="F118" s="16"/>
      <c r="G118" s="16"/>
      <c r="H118" s="16"/>
      <c r="I118" s="16"/>
      <c r="J118" s="16">
        <v>198.76</v>
      </c>
      <c r="K118" s="16"/>
      <c r="L118" s="16"/>
      <c r="M118" s="16"/>
      <c r="N118" s="16"/>
      <c r="O118" s="16"/>
      <c r="P118" s="16"/>
      <c r="Q118" s="16">
        <f t="shared" si="1"/>
        <v>198.76</v>
      </c>
    </row>
    <row r="119" customHeight="1" spans="1:17">
      <c r="A119" s="7">
        <v>116</v>
      </c>
      <c r="B119" s="7" t="s">
        <v>250</v>
      </c>
      <c r="C119" s="10" t="s">
        <v>251</v>
      </c>
      <c r="D119" s="7"/>
      <c r="E119" s="7"/>
      <c r="F119" s="16"/>
      <c r="G119" s="16"/>
      <c r="H119" s="16">
        <v>199</v>
      </c>
      <c r="I119" s="16"/>
      <c r="J119" s="16"/>
      <c r="K119" s="16"/>
      <c r="L119" s="16"/>
      <c r="M119" s="16"/>
      <c r="N119" s="16"/>
      <c r="O119" s="16">
        <v>359.41</v>
      </c>
      <c r="P119" s="16"/>
      <c r="Q119" s="16">
        <f t="shared" si="1"/>
        <v>558.41</v>
      </c>
    </row>
    <row r="120" customHeight="1" spans="1:17">
      <c r="A120" s="7">
        <v>117</v>
      </c>
      <c r="B120" s="7" t="s">
        <v>252</v>
      </c>
      <c r="C120" s="10" t="s">
        <v>253</v>
      </c>
      <c r="D120" s="7"/>
      <c r="E120" s="7"/>
      <c r="F120" s="16"/>
      <c r="G120" s="16"/>
      <c r="H120" s="16">
        <v>198.76</v>
      </c>
      <c r="I120" s="16"/>
      <c r="J120" s="16"/>
      <c r="K120" s="16"/>
      <c r="L120" s="16"/>
      <c r="M120" s="16"/>
      <c r="N120" s="16"/>
      <c r="O120" s="16">
        <v>359.65</v>
      </c>
      <c r="P120" s="16"/>
      <c r="Q120" s="16">
        <f t="shared" si="1"/>
        <v>558.41</v>
      </c>
    </row>
    <row r="121" customHeight="1" spans="1:17">
      <c r="A121" s="7">
        <v>118</v>
      </c>
      <c r="B121" s="7" t="s">
        <v>254</v>
      </c>
      <c r="C121" s="10" t="s">
        <v>255</v>
      </c>
      <c r="D121" s="7"/>
      <c r="E121" s="7"/>
      <c r="F121" s="16"/>
      <c r="G121" s="16"/>
      <c r="H121" s="16">
        <v>198.76</v>
      </c>
      <c r="I121" s="16"/>
      <c r="J121" s="16"/>
      <c r="K121" s="16"/>
      <c r="L121" s="16"/>
      <c r="M121" s="16"/>
      <c r="N121" s="16">
        <v>359.65</v>
      </c>
      <c r="O121" s="16"/>
      <c r="P121" s="16"/>
      <c r="Q121" s="16">
        <f t="shared" si="1"/>
        <v>558.41</v>
      </c>
    </row>
    <row r="122" customHeight="1" spans="1:17">
      <c r="A122" s="7">
        <v>119</v>
      </c>
      <c r="B122" s="7" t="s">
        <v>256</v>
      </c>
      <c r="C122" s="12" t="s">
        <v>257</v>
      </c>
      <c r="D122" s="7"/>
      <c r="E122" s="7"/>
      <c r="F122" s="16"/>
      <c r="G122" s="16"/>
      <c r="H122" s="16">
        <v>198.76</v>
      </c>
      <c r="I122" s="16"/>
      <c r="J122" s="16"/>
      <c r="K122" s="16"/>
      <c r="L122" s="16"/>
      <c r="M122" s="16"/>
      <c r="N122" s="16"/>
      <c r="O122" s="16"/>
      <c r="P122" s="16">
        <v>359.65</v>
      </c>
      <c r="Q122" s="16">
        <f t="shared" si="1"/>
        <v>558.41</v>
      </c>
    </row>
    <row r="123" customHeight="1" spans="1:17">
      <c r="A123" s="7">
        <v>120</v>
      </c>
      <c r="B123" s="7" t="s">
        <v>258</v>
      </c>
      <c r="C123" s="10" t="s">
        <v>259</v>
      </c>
      <c r="D123" s="7"/>
      <c r="E123" s="7"/>
      <c r="F123" s="16"/>
      <c r="G123" s="16"/>
      <c r="H123" s="16">
        <v>198.76</v>
      </c>
      <c r="I123" s="16"/>
      <c r="J123" s="16"/>
      <c r="K123" s="16"/>
      <c r="L123" s="16"/>
      <c r="M123" s="16"/>
      <c r="N123" s="16"/>
      <c r="O123" s="16">
        <v>359.65</v>
      </c>
      <c r="P123" s="16"/>
      <c r="Q123" s="16">
        <f t="shared" si="1"/>
        <v>558.41</v>
      </c>
    </row>
    <row r="124" customHeight="1" spans="1:17">
      <c r="A124" s="7">
        <v>121</v>
      </c>
      <c r="B124" s="7" t="s">
        <v>260</v>
      </c>
      <c r="C124" s="10" t="s">
        <v>261</v>
      </c>
      <c r="D124" s="7"/>
      <c r="E124" s="7">
        <v>198.78</v>
      </c>
      <c r="F124" s="16"/>
      <c r="G124" s="16"/>
      <c r="H124" s="16"/>
      <c r="I124" s="16"/>
      <c r="J124" s="16"/>
      <c r="K124" s="16"/>
      <c r="L124" s="16"/>
      <c r="M124" s="16"/>
      <c r="N124" s="16">
        <v>359.65</v>
      </c>
      <c r="O124" s="16"/>
      <c r="P124" s="16"/>
      <c r="Q124" s="16">
        <f t="shared" si="1"/>
        <v>558.43</v>
      </c>
    </row>
    <row r="125" customHeight="1" spans="1:17">
      <c r="A125" s="7">
        <v>122</v>
      </c>
      <c r="B125" s="7" t="s">
        <v>262</v>
      </c>
      <c r="C125" s="10" t="s">
        <v>263</v>
      </c>
      <c r="D125" s="7"/>
      <c r="E125" s="7"/>
      <c r="F125" s="16"/>
      <c r="G125" s="16"/>
      <c r="H125" s="16">
        <v>198.76</v>
      </c>
      <c r="I125" s="16"/>
      <c r="J125" s="16"/>
      <c r="K125" s="16"/>
      <c r="L125" s="16"/>
      <c r="M125" s="16"/>
      <c r="N125" s="16"/>
      <c r="O125" s="16"/>
      <c r="P125" s="16">
        <v>359.65</v>
      </c>
      <c r="Q125" s="16">
        <f t="shared" si="1"/>
        <v>558.41</v>
      </c>
    </row>
    <row r="126" customHeight="1" spans="1:17">
      <c r="A126" s="7">
        <v>123</v>
      </c>
      <c r="B126" s="7" t="s">
        <v>264</v>
      </c>
      <c r="C126" s="10" t="s">
        <v>265</v>
      </c>
      <c r="D126" s="7"/>
      <c r="E126" s="7"/>
      <c r="F126" s="16"/>
      <c r="G126" s="16"/>
      <c r="H126" s="16">
        <v>198.76</v>
      </c>
      <c r="I126" s="16"/>
      <c r="J126" s="16"/>
      <c r="K126" s="16"/>
      <c r="L126" s="16"/>
      <c r="M126" s="16"/>
      <c r="N126" s="16">
        <v>359.65</v>
      </c>
      <c r="O126" s="16"/>
      <c r="P126" s="16"/>
      <c r="Q126" s="16">
        <f t="shared" si="1"/>
        <v>558.41</v>
      </c>
    </row>
    <row r="127" customHeight="1" spans="1:17">
      <c r="A127" s="7">
        <v>124</v>
      </c>
      <c r="B127" s="7" t="s">
        <v>266</v>
      </c>
      <c r="C127" s="10" t="s">
        <v>267</v>
      </c>
      <c r="D127" s="7"/>
      <c r="E127" s="7"/>
      <c r="F127" s="16"/>
      <c r="G127" s="16"/>
      <c r="H127" s="16">
        <v>198.76</v>
      </c>
      <c r="I127" s="16"/>
      <c r="J127" s="16"/>
      <c r="K127" s="16"/>
      <c r="L127" s="16"/>
      <c r="M127" s="16"/>
      <c r="N127" s="16">
        <v>359.65</v>
      </c>
      <c r="O127" s="16"/>
      <c r="P127" s="16"/>
      <c r="Q127" s="16">
        <f t="shared" si="1"/>
        <v>558.41</v>
      </c>
    </row>
    <row r="128" customHeight="1" spans="1:17">
      <c r="A128" s="7">
        <v>125</v>
      </c>
      <c r="B128" s="7" t="s">
        <v>268</v>
      </c>
      <c r="C128" s="16"/>
      <c r="D128" s="7"/>
      <c r="E128" s="7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>
        <f t="shared" si="1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/>
      <c r="E129" s="7"/>
      <c r="F129" s="16"/>
      <c r="G129" s="16"/>
      <c r="H129" s="16">
        <v>198.76</v>
      </c>
      <c r="I129" s="16"/>
      <c r="J129" s="16"/>
      <c r="K129" s="16"/>
      <c r="L129" s="16"/>
      <c r="M129" s="16"/>
      <c r="N129" s="16">
        <v>359.65</v>
      </c>
      <c r="O129" s="16"/>
      <c r="P129" s="16"/>
      <c r="Q129" s="16">
        <f t="shared" si="1"/>
        <v>558.41</v>
      </c>
    </row>
    <row r="130" customHeight="1" spans="1:17">
      <c r="A130" s="7">
        <v>127</v>
      </c>
      <c r="B130" s="7" t="s">
        <v>271</v>
      </c>
      <c r="C130" s="10" t="s">
        <v>272</v>
      </c>
      <c r="D130" s="7"/>
      <c r="E130" s="7"/>
      <c r="F130" s="16"/>
      <c r="G130" s="16"/>
      <c r="H130" s="16">
        <v>198.76</v>
      </c>
      <c r="I130" s="16"/>
      <c r="J130" s="16"/>
      <c r="K130" s="16"/>
      <c r="L130" s="16"/>
      <c r="M130" s="16"/>
      <c r="N130" s="16"/>
      <c r="O130" s="16"/>
      <c r="P130" s="16"/>
      <c r="Q130" s="16">
        <f t="shared" si="1"/>
        <v>198.76</v>
      </c>
    </row>
    <row r="131" customHeight="1" spans="1:17">
      <c r="A131" s="7">
        <v>128</v>
      </c>
      <c r="B131" s="7" t="s">
        <v>273</v>
      </c>
      <c r="C131" s="10" t="s">
        <v>274</v>
      </c>
      <c r="D131" s="7"/>
      <c r="E131" s="7"/>
      <c r="F131" s="16"/>
      <c r="G131" s="16"/>
      <c r="H131" s="16">
        <v>198.76</v>
      </c>
      <c r="I131" s="16"/>
      <c r="J131" s="16"/>
      <c r="K131" s="16"/>
      <c r="L131" s="16"/>
      <c r="M131" s="16"/>
      <c r="N131" s="16"/>
      <c r="O131" s="16"/>
      <c r="P131" s="16"/>
      <c r="Q131" s="16">
        <f t="shared" si="1"/>
        <v>198.76</v>
      </c>
    </row>
    <row r="132" customHeight="1" spans="1:17">
      <c r="A132" s="7">
        <v>129</v>
      </c>
      <c r="B132" s="16"/>
      <c r="C132" s="16" t="s">
        <v>275</v>
      </c>
      <c r="D132" s="16">
        <f t="shared" ref="D132:Q132" si="2">SUM(D4:D131)</f>
        <v>0</v>
      </c>
      <c r="E132" s="16">
        <f t="shared" si="2"/>
        <v>3882.68</v>
      </c>
      <c r="F132" s="16">
        <f t="shared" si="2"/>
        <v>1968.08</v>
      </c>
      <c r="G132" s="16">
        <f t="shared" si="2"/>
        <v>0</v>
      </c>
      <c r="H132" s="16">
        <f t="shared" si="2"/>
        <v>13525.38</v>
      </c>
      <c r="I132" s="16">
        <f t="shared" si="2"/>
        <v>1247.04</v>
      </c>
      <c r="J132" s="16">
        <f t="shared" si="2"/>
        <v>361.14</v>
      </c>
      <c r="K132" s="16">
        <f t="shared" si="2"/>
        <v>0</v>
      </c>
      <c r="L132" s="16">
        <f t="shared" si="2"/>
        <v>0</v>
      </c>
      <c r="M132" s="16">
        <f t="shared" si="2"/>
        <v>198.76</v>
      </c>
      <c r="N132" s="16">
        <f t="shared" si="2"/>
        <v>20426.17</v>
      </c>
      <c r="O132" s="16">
        <f t="shared" si="2"/>
        <v>4876.21</v>
      </c>
      <c r="P132" s="16">
        <f t="shared" si="2"/>
        <v>3212.99</v>
      </c>
      <c r="Q132" s="16">
        <f t="shared" si="2"/>
        <v>49698.4500000001</v>
      </c>
    </row>
    <row r="133" customHeight="1" spans="4:4">
      <c r="D133" s="47">
        <v>47685</v>
      </c>
    </row>
  </sheetData>
  <mergeCells count="3">
    <mergeCell ref="A1:Q1"/>
    <mergeCell ref="A2:D2"/>
    <mergeCell ref="O2:Q2"/>
  </mergeCells>
  <conditionalFormatting sqref="C4:C67">
    <cfRule type="cellIs" dxfId="1" priority="4" operator="equal">
      <formula>0</formula>
    </cfRule>
    <cfRule type="duplicateValues" dxfId="0" priority="3"/>
  </conditionalFormatting>
  <conditionalFormatting sqref="C68:C127 C129:C131">
    <cfRule type="cellIs" dxfId="1" priority="2" operator="equal">
      <formula>0</formula>
    </cfRule>
    <cfRule type="cellIs" dxfId="1" priority="1" operator="equal">
      <formula>0</formula>
    </cfRule>
  </conditionalFormatting>
  <printOptions horizontalCentered="1"/>
  <pageMargins left="0.306944444444444" right="0.109722222222222" top="0.554861111111111" bottom="0.357638888888889" header="0.298611111111111" footer="0.298611111111111"/>
  <pageSetup paperSize="9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3"/>
  <sheetViews>
    <sheetView topLeftCell="A132" workbookViewId="0">
      <selection activeCell="D372" sqref="D372"/>
    </sheetView>
  </sheetViews>
  <sheetFormatPr defaultColWidth="9" defaultRowHeight="35" customHeight="1"/>
  <cols>
    <col min="1" max="2" width="9" style="3"/>
    <col min="3" max="3" width="11.5" style="3" customWidth="1"/>
    <col min="4" max="4" width="17.8833333333333" style="3" customWidth="1"/>
    <col min="5" max="5" width="8.88333333333333" style="3" customWidth="1"/>
    <col min="6" max="6" width="10.5" style="3" customWidth="1"/>
    <col min="7" max="15" width="9" style="3"/>
    <col min="16" max="16" width="9" style="61"/>
    <col min="17" max="17" width="11" style="1" customWidth="1"/>
    <col min="18" max="16384" width="9" style="2"/>
  </cols>
  <sheetData>
    <row r="1" customHeight="1" spans="1:17">
      <c r="A1" s="4" t="s">
        <v>279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62"/>
      <c r="Q1" s="4"/>
    </row>
    <row r="2" customFormat="1" customHeight="1" spans="1:17">
      <c r="A2" s="5" t="s">
        <v>1</v>
      </c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50" t="s">
        <v>2</v>
      </c>
      <c r="P2" s="63"/>
      <c r="Q2" s="13"/>
    </row>
    <row r="3" s="1" customFormat="1" ht="48" customHeight="1" spans="1:17">
      <c r="A3" s="7" t="s">
        <v>3</v>
      </c>
      <c r="B3" s="7" t="s">
        <v>4</v>
      </c>
      <c r="C3" s="7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64" t="s">
        <v>18</v>
      </c>
      <c r="Q3" s="14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/>
      <c r="E4" s="7"/>
      <c r="F4" s="16"/>
      <c r="G4" s="16">
        <v>320.26</v>
      </c>
      <c r="H4" s="16"/>
      <c r="I4" s="16"/>
      <c r="J4" s="16"/>
      <c r="K4" s="16"/>
      <c r="L4" s="16">
        <v>109.92</v>
      </c>
      <c r="M4" s="16"/>
      <c r="N4" s="16"/>
      <c r="O4" s="16"/>
      <c r="P4" s="65"/>
      <c r="Q4" s="11">
        <f t="shared" ref="Q4:Q67" si="0">D4+E4+F4+G4+H4+I4+J4+K4+L4+M4+N4+O4+P4</f>
        <v>430.18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/>
      <c r="E5" s="7"/>
      <c r="F5" s="16"/>
      <c r="G5" s="16">
        <v>321</v>
      </c>
      <c r="H5" s="16"/>
      <c r="I5" s="16"/>
      <c r="J5" s="16"/>
      <c r="K5" s="16"/>
      <c r="L5" s="16"/>
      <c r="M5" s="16">
        <v>109.92</v>
      </c>
      <c r="N5" s="16"/>
      <c r="O5" s="16"/>
      <c r="P5" s="65"/>
      <c r="Q5" s="11">
        <f t="shared" si="0"/>
        <v>430.92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/>
      <c r="E6" s="7"/>
      <c r="F6" s="16"/>
      <c r="G6" s="16">
        <v>556.12</v>
      </c>
      <c r="H6" s="16"/>
      <c r="I6" s="16"/>
      <c r="J6" s="16"/>
      <c r="K6" s="16">
        <v>109.92</v>
      </c>
      <c r="L6" s="16"/>
      <c r="M6" s="16"/>
      <c r="N6" s="16"/>
      <c r="O6" s="16"/>
      <c r="P6" s="65"/>
      <c r="Q6" s="11">
        <f t="shared" si="0"/>
        <v>666.04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/>
      <c r="E7" s="7"/>
      <c r="F7" s="16"/>
      <c r="G7" s="16">
        <v>320.26</v>
      </c>
      <c r="H7" s="16"/>
      <c r="I7" s="16"/>
      <c r="J7" s="16"/>
      <c r="K7" s="16">
        <v>109.92</v>
      </c>
      <c r="L7" s="16"/>
      <c r="M7" s="16"/>
      <c r="N7" s="16"/>
      <c r="O7" s="16"/>
      <c r="P7" s="65"/>
      <c r="Q7" s="11">
        <f t="shared" si="0"/>
        <v>430.18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/>
      <c r="E8" s="7"/>
      <c r="F8" s="16"/>
      <c r="G8" s="16"/>
      <c r="H8" s="16">
        <v>320.26</v>
      </c>
      <c r="I8" s="16"/>
      <c r="J8" s="16"/>
      <c r="K8" s="16">
        <v>109.92</v>
      </c>
      <c r="L8" s="16"/>
      <c r="M8" s="16"/>
      <c r="N8" s="16"/>
      <c r="O8" s="16"/>
      <c r="P8" s="65"/>
      <c r="Q8" s="11">
        <f t="shared" si="0"/>
        <v>430.18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/>
      <c r="E9" s="7"/>
      <c r="F9" s="16"/>
      <c r="G9" s="16">
        <v>320.26</v>
      </c>
      <c r="H9" s="16"/>
      <c r="I9" s="16"/>
      <c r="J9" s="16"/>
      <c r="K9" s="16">
        <v>109.92</v>
      </c>
      <c r="L9" s="16"/>
      <c r="M9" s="16"/>
      <c r="N9" s="16"/>
      <c r="O9" s="16"/>
      <c r="P9" s="65"/>
      <c r="Q9" s="11">
        <f t="shared" si="0"/>
        <v>430.18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/>
      <c r="E10" s="7"/>
      <c r="F10" s="16"/>
      <c r="G10" s="16"/>
      <c r="H10" s="16"/>
      <c r="I10" s="16"/>
      <c r="J10" s="16"/>
      <c r="K10" s="16"/>
      <c r="L10" s="16">
        <v>109.92</v>
      </c>
      <c r="M10" s="16"/>
      <c r="N10" s="16"/>
      <c r="O10" s="16"/>
      <c r="P10" s="65"/>
      <c r="Q10" s="11">
        <f t="shared" si="0"/>
        <v>109.92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/>
      <c r="E11" s="7"/>
      <c r="F11" s="16"/>
      <c r="G11" s="16">
        <v>320.26</v>
      </c>
      <c r="H11" s="16"/>
      <c r="I11" s="16"/>
      <c r="J11" s="16"/>
      <c r="K11" s="16">
        <v>109.92</v>
      </c>
      <c r="L11" s="16"/>
      <c r="M11" s="16"/>
      <c r="N11" s="16"/>
      <c r="O11" s="16"/>
      <c r="P11" s="65"/>
      <c r="Q11" s="11">
        <f t="shared" si="0"/>
        <v>430.18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/>
      <c r="E12" s="7"/>
      <c r="F12" s="16"/>
      <c r="G12" s="16"/>
      <c r="H12" s="16">
        <v>556.12</v>
      </c>
      <c r="I12" s="16"/>
      <c r="J12" s="16"/>
      <c r="K12" s="16"/>
      <c r="L12" s="16">
        <v>109.92</v>
      </c>
      <c r="M12" s="16"/>
      <c r="N12" s="16"/>
      <c r="O12" s="16"/>
      <c r="P12" s="65"/>
      <c r="Q12" s="11">
        <f t="shared" si="0"/>
        <v>666.04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/>
      <c r="E13" s="7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65"/>
      <c r="Q13" s="11">
        <f t="shared" si="0"/>
        <v>0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/>
      <c r="E14" s="7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65"/>
      <c r="Q14" s="11">
        <f t="shared" si="0"/>
        <v>0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/>
      <c r="E15" s="7"/>
      <c r="F15" s="16"/>
      <c r="G15" s="16">
        <v>320.26</v>
      </c>
      <c r="H15" s="16"/>
      <c r="I15" s="16"/>
      <c r="J15" s="16">
        <v>109.92</v>
      </c>
      <c r="K15" s="16"/>
      <c r="L15" s="16"/>
      <c r="M15" s="16"/>
      <c r="N15" s="16"/>
      <c r="O15" s="16"/>
      <c r="P15" s="65"/>
      <c r="Q15" s="11">
        <f t="shared" si="0"/>
        <v>430.18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/>
      <c r="E16" s="7"/>
      <c r="F16" s="16"/>
      <c r="G16" s="16">
        <v>320.2</v>
      </c>
      <c r="H16" s="16"/>
      <c r="I16" s="16"/>
      <c r="J16" s="16"/>
      <c r="K16" s="16">
        <v>109.92</v>
      </c>
      <c r="L16" s="16"/>
      <c r="M16" s="16"/>
      <c r="N16" s="16"/>
      <c r="O16" s="16"/>
      <c r="P16" s="65">
        <v>109.92</v>
      </c>
      <c r="Q16" s="11">
        <f t="shared" si="0"/>
        <v>540.04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/>
      <c r="E17" s="7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65"/>
      <c r="Q17" s="11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/>
      <c r="E18" s="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65"/>
      <c r="Q18" s="11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/>
      <c r="E19" s="7"/>
      <c r="F19" s="16"/>
      <c r="G19" s="16">
        <v>320.2</v>
      </c>
      <c r="H19" s="16"/>
      <c r="I19" s="16"/>
      <c r="J19" s="16"/>
      <c r="K19" s="16">
        <v>109.92</v>
      </c>
      <c r="L19" s="16"/>
      <c r="M19" s="16"/>
      <c r="N19" s="16"/>
      <c r="O19" s="16"/>
      <c r="P19" s="65"/>
      <c r="Q19" s="11">
        <f t="shared" si="0"/>
        <v>430.12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/>
      <c r="E20" s="7"/>
      <c r="F20" s="16"/>
      <c r="G20" s="16"/>
      <c r="H20" s="16"/>
      <c r="I20" s="16">
        <v>320.26</v>
      </c>
      <c r="J20" s="16"/>
      <c r="K20" s="16"/>
      <c r="L20" s="16">
        <v>109.92</v>
      </c>
      <c r="M20" s="16"/>
      <c r="N20" s="16"/>
      <c r="O20" s="16"/>
      <c r="P20" s="65"/>
      <c r="Q20" s="11">
        <f t="shared" si="0"/>
        <v>430.18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/>
      <c r="E21" s="7"/>
      <c r="F21" s="16"/>
      <c r="G21" s="16"/>
      <c r="H21" s="16"/>
      <c r="I21" s="16">
        <v>321.26</v>
      </c>
      <c r="J21" s="16"/>
      <c r="K21" s="16"/>
      <c r="L21" s="16"/>
      <c r="M21" s="16"/>
      <c r="N21" s="16">
        <v>109.92</v>
      </c>
      <c r="O21" s="16"/>
      <c r="P21" s="65"/>
      <c r="Q21" s="11">
        <f t="shared" si="0"/>
        <v>431.18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/>
      <c r="E22" s="7"/>
      <c r="F22" s="16"/>
      <c r="G22" s="16">
        <v>320.26</v>
      </c>
      <c r="H22" s="16"/>
      <c r="I22" s="16"/>
      <c r="J22" s="16"/>
      <c r="K22" s="16">
        <v>109.92</v>
      </c>
      <c r="L22" s="16"/>
      <c r="M22" s="16">
        <v>109.92</v>
      </c>
      <c r="N22" s="16"/>
      <c r="O22" s="16"/>
      <c r="P22" s="65"/>
      <c r="Q22" s="11">
        <f t="shared" si="0"/>
        <v>540.1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/>
      <c r="E23" s="7"/>
      <c r="F23" s="16"/>
      <c r="G23" s="16">
        <v>320.26</v>
      </c>
      <c r="H23" s="16"/>
      <c r="I23" s="16"/>
      <c r="J23" s="16"/>
      <c r="K23" s="16">
        <v>109.92</v>
      </c>
      <c r="L23" s="16"/>
      <c r="M23" s="16"/>
      <c r="N23" s="16"/>
      <c r="O23" s="16"/>
      <c r="P23" s="65"/>
      <c r="Q23" s="11">
        <f t="shared" si="0"/>
        <v>430.18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/>
      <c r="E24" s="7"/>
      <c r="F24" s="16"/>
      <c r="G24" s="16"/>
      <c r="H24" s="16">
        <v>556.12</v>
      </c>
      <c r="I24" s="16"/>
      <c r="J24" s="16"/>
      <c r="K24" s="16">
        <v>109.92</v>
      </c>
      <c r="L24" s="16"/>
      <c r="M24" s="16"/>
      <c r="N24" s="16"/>
      <c r="O24" s="16"/>
      <c r="P24" s="65"/>
      <c r="Q24" s="11">
        <f t="shared" si="0"/>
        <v>666.04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/>
      <c r="E25" s="7"/>
      <c r="F25" s="16"/>
      <c r="G25" s="16"/>
      <c r="H25" s="16">
        <v>320.26</v>
      </c>
      <c r="I25" s="16"/>
      <c r="J25" s="16"/>
      <c r="K25" s="16"/>
      <c r="L25" s="16"/>
      <c r="M25" s="16"/>
      <c r="N25" s="16"/>
      <c r="O25" s="16">
        <v>109.92</v>
      </c>
      <c r="P25" s="65"/>
      <c r="Q25" s="11">
        <f t="shared" si="0"/>
        <v>430.18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/>
      <c r="E26" s="7"/>
      <c r="F26" s="16"/>
      <c r="G26" s="16"/>
      <c r="H26" s="16"/>
      <c r="I26" s="16">
        <v>320.26</v>
      </c>
      <c r="J26" s="16"/>
      <c r="K26" s="16"/>
      <c r="L26" s="16"/>
      <c r="M26" s="16"/>
      <c r="N26" s="16"/>
      <c r="O26" s="16"/>
      <c r="P26" s="65">
        <v>109.92</v>
      </c>
      <c r="Q26" s="11">
        <f t="shared" si="0"/>
        <v>430.18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/>
      <c r="E27" s="7"/>
      <c r="F27" s="16"/>
      <c r="G27" s="16"/>
      <c r="H27" s="16">
        <v>556.2</v>
      </c>
      <c r="I27" s="16"/>
      <c r="J27" s="16"/>
      <c r="K27" s="16"/>
      <c r="L27" s="16"/>
      <c r="M27" s="16"/>
      <c r="N27" s="16"/>
      <c r="O27" s="16"/>
      <c r="P27" s="65">
        <v>109.92</v>
      </c>
      <c r="Q27" s="11">
        <f t="shared" si="0"/>
        <v>666.12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/>
      <c r="E28" s="7"/>
      <c r="F28" s="16"/>
      <c r="G28" s="16"/>
      <c r="H28" s="16">
        <v>320.26</v>
      </c>
      <c r="I28" s="16"/>
      <c r="J28" s="16"/>
      <c r="K28" s="16"/>
      <c r="L28" s="16"/>
      <c r="M28" s="16">
        <v>109.92</v>
      </c>
      <c r="N28" s="16"/>
      <c r="O28" s="16"/>
      <c r="P28" s="65"/>
      <c r="Q28" s="11">
        <f t="shared" si="0"/>
        <v>430.18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/>
      <c r="E29" s="7"/>
      <c r="F29" s="16"/>
      <c r="G29" s="16"/>
      <c r="H29" s="16"/>
      <c r="I29" s="16"/>
      <c r="J29" s="16"/>
      <c r="K29" s="16">
        <v>109.92</v>
      </c>
      <c r="L29" s="16"/>
      <c r="M29" s="16"/>
      <c r="N29" s="16"/>
      <c r="O29" s="16"/>
      <c r="P29" s="65"/>
      <c r="Q29" s="11">
        <f t="shared" si="0"/>
        <v>109.92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/>
      <c r="E30" s="7"/>
      <c r="F30" s="16"/>
      <c r="G30" s="16">
        <v>235.74</v>
      </c>
      <c r="H30" s="16"/>
      <c r="I30" s="16"/>
      <c r="J30" s="16"/>
      <c r="K30" s="16">
        <v>109.92</v>
      </c>
      <c r="L30" s="16"/>
      <c r="M30" s="16"/>
      <c r="N30" s="16"/>
      <c r="O30" s="16"/>
      <c r="P30" s="65"/>
      <c r="Q30" s="11">
        <f t="shared" si="0"/>
        <v>345.66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/>
      <c r="E31" s="7"/>
      <c r="F31" s="16"/>
      <c r="G31" s="16"/>
      <c r="H31" s="16"/>
      <c r="I31" s="16">
        <v>556.12</v>
      </c>
      <c r="J31" s="16"/>
      <c r="K31" s="16"/>
      <c r="L31" s="16"/>
      <c r="M31" s="16">
        <v>109.92</v>
      </c>
      <c r="N31" s="16"/>
      <c r="O31" s="16"/>
      <c r="P31" s="65"/>
      <c r="Q31" s="11">
        <f t="shared" si="0"/>
        <v>666.04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/>
      <c r="E32" s="7"/>
      <c r="F32" s="16"/>
      <c r="G32" s="16">
        <v>320.26</v>
      </c>
      <c r="H32" s="16"/>
      <c r="I32" s="16"/>
      <c r="J32" s="16"/>
      <c r="K32" s="16">
        <v>109.92</v>
      </c>
      <c r="L32" s="16"/>
      <c r="M32" s="16"/>
      <c r="N32" s="16"/>
      <c r="O32" s="16"/>
      <c r="P32" s="65"/>
      <c r="Q32" s="11">
        <f t="shared" si="0"/>
        <v>430.18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/>
      <c r="E33" s="7"/>
      <c r="F33" s="16"/>
      <c r="G33" s="16">
        <v>320.26</v>
      </c>
      <c r="H33" s="16"/>
      <c r="I33" s="16"/>
      <c r="J33" s="16"/>
      <c r="K33" s="16"/>
      <c r="L33" s="16">
        <v>109.92</v>
      </c>
      <c r="M33" s="16"/>
      <c r="N33" s="16"/>
      <c r="O33" s="16"/>
      <c r="P33" s="65"/>
      <c r="Q33" s="11">
        <f t="shared" si="0"/>
        <v>430.18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/>
      <c r="E34" s="7"/>
      <c r="F34" s="16"/>
      <c r="G34" s="16">
        <v>320.26</v>
      </c>
      <c r="H34" s="16"/>
      <c r="I34" s="16"/>
      <c r="J34" s="16"/>
      <c r="K34" s="16"/>
      <c r="L34" s="16"/>
      <c r="M34" s="16"/>
      <c r="N34" s="16"/>
      <c r="O34" s="16"/>
      <c r="P34" s="65">
        <v>109.92</v>
      </c>
      <c r="Q34" s="11">
        <f t="shared" si="0"/>
        <v>430.18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/>
      <c r="E35" s="7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65">
        <v>109.92</v>
      </c>
      <c r="Q35" s="11">
        <f t="shared" si="0"/>
        <v>109.92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/>
      <c r="E36" s="7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65"/>
      <c r="Q36" s="11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/>
      <c r="E37" s="7"/>
      <c r="F37" s="16"/>
      <c r="G37" s="16">
        <v>320.26</v>
      </c>
      <c r="H37" s="16"/>
      <c r="I37" s="16"/>
      <c r="J37" s="16"/>
      <c r="K37" s="16"/>
      <c r="L37" s="16">
        <v>109.92</v>
      </c>
      <c r="M37" s="16"/>
      <c r="N37" s="16"/>
      <c r="O37" s="16"/>
      <c r="P37" s="65"/>
      <c r="Q37" s="11">
        <f t="shared" si="0"/>
        <v>430.18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/>
      <c r="E38" s="7"/>
      <c r="F38" s="16"/>
      <c r="G38" s="16"/>
      <c r="H38" s="16">
        <v>320.26</v>
      </c>
      <c r="I38" s="16"/>
      <c r="J38" s="16"/>
      <c r="K38" s="16"/>
      <c r="L38" s="16">
        <v>109.92</v>
      </c>
      <c r="M38" s="16"/>
      <c r="N38" s="16"/>
      <c r="O38" s="16"/>
      <c r="P38" s="65"/>
      <c r="Q38" s="11">
        <f t="shared" si="0"/>
        <v>430.18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/>
      <c r="E39" s="7"/>
      <c r="F39" s="16"/>
      <c r="G39" s="16">
        <v>320.26</v>
      </c>
      <c r="H39" s="16"/>
      <c r="I39" s="16"/>
      <c r="J39" s="16"/>
      <c r="K39" s="16"/>
      <c r="L39" s="16"/>
      <c r="M39" s="16"/>
      <c r="N39" s="16"/>
      <c r="O39" s="16"/>
      <c r="P39" s="65">
        <v>109.92</v>
      </c>
      <c r="Q39" s="11">
        <f t="shared" si="0"/>
        <v>430.18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/>
      <c r="E40" s="7"/>
      <c r="F40" s="16"/>
      <c r="G40" s="16">
        <v>320.26</v>
      </c>
      <c r="H40" s="16"/>
      <c r="I40" s="16"/>
      <c r="J40" s="16"/>
      <c r="K40" s="16">
        <v>109.92</v>
      </c>
      <c r="L40" s="16">
        <v>109.92</v>
      </c>
      <c r="M40" s="16"/>
      <c r="N40" s="16"/>
      <c r="O40" s="16"/>
      <c r="P40" s="65"/>
      <c r="Q40" s="11">
        <f t="shared" si="0"/>
        <v>540.1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/>
      <c r="E41" s="7"/>
      <c r="F41" s="16"/>
      <c r="G41" s="16">
        <v>320.26</v>
      </c>
      <c r="H41" s="16"/>
      <c r="I41" s="16"/>
      <c r="J41" s="16"/>
      <c r="K41" s="16">
        <v>109.92</v>
      </c>
      <c r="L41" s="16"/>
      <c r="M41" s="16"/>
      <c r="N41" s="16"/>
      <c r="O41" s="16"/>
      <c r="P41" s="65"/>
      <c r="Q41" s="11">
        <f t="shared" si="0"/>
        <v>430.18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/>
      <c r="E42" s="7"/>
      <c r="F42" s="16"/>
      <c r="G42" s="16">
        <v>320.26</v>
      </c>
      <c r="H42" s="16"/>
      <c r="I42" s="16"/>
      <c r="J42" s="16"/>
      <c r="K42" s="16">
        <v>109.92</v>
      </c>
      <c r="L42" s="16"/>
      <c r="M42" s="16"/>
      <c r="N42" s="16"/>
      <c r="O42" s="16"/>
      <c r="P42" s="65"/>
      <c r="Q42" s="11">
        <f t="shared" si="0"/>
        <v>430.18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/>
      <c r="E43" s="7"/>
      <c r="F43" s="16"/>
      <c r="G43" s="16"/>
      <c r="H43" s="16"/>
      <c r="I43" s="16"/>
      <c r="J43" s="16"/>
      <c r="K43" s="16">
        <v>109.92</v>
      </c>
      <c r="L43" s="16"/>
      <c r="M43" s="16"/>
      <c r="N43" s="16"/>
      <c r="O43" s="16">
        <v>109.92</v>
      </c>
      <c r="P43" s="65"/>
      <c r="Q43" s="11">
        <f t="shared" si="0"/>
        <v>219.84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/>
      <c r="E44" s="7"/>
      <c r="F44" s="16"/>
      <c r="G44" s="16">
        <v>320.26</v>
      </c>
      <c r="H44" s="16"/>
      <c r="I44" s="16"/>
      <c r="J44" s="16"/>
      <c r="K44" s="16"/>
      <c r="L44" s="16"/>
      <c r="M44" s="16"/>
      <c r="N44" s="16"/>
      <c r="O44" s="16"/>
      <c r="P44" s="65">
        <v>109.92</v>
      </c>
      <c r="Q44" s="11">
        <f t="shared" si="0"/>
        <v>430.18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/>
      <c r="E45" s="7"/>
      <c r="F45" s="16"/>
      <c r="G45" s="16">
        <v>320.26</v>
      </c>
      <c r="H45" s="16"/>
      <c r="I45" s="16"/>
      <c r="J45" s="16"/>
      <c r="K45" s="16">
        <v>109.92</v>
      </c>
      <c r="L45" s="16"/>
      <c r="M45" s="16"/>
      <c r="N45" s="16"/>
      <c r="O45" s="16"/>
      <c r="P45" s="65"/>
      <c r="Q45" s="11">
        <f t="shared" si="0"/>
        <v>430.18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/>
      <c r="E46" s="7"/>
      <c r="F46" s="16"/>
      <c r="G46" s="16"/>
      <c r="H46" s="16">
        <v>320.26</v>
      </c>
      <c r="I46" s="16"/>
      <c r="J46" s="16"/>
      <c r="K46" s="16"/>
      <c r="L46" s="16"/>
      <c r="M46" s="16">
        <v>109.92</v>
      </c>
      <c r="N46" s="16"/>
      <c r="O46" s="16"/>
      <c r="P46" s="65"/>
      <c r="Q46" s="11">
        <f t="shared" si="0"/>
        <v>430.18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/>
      <c r="E47" s="7"/>
      <c r="F47" s="16"/>
      <c r="G47" s="16">
        <v>320.26</v>
      </c>
      <c r="H47" s="16"/>
      <c r="I47" s="16"/>
      <c r="J47" s="16"/>
      <c r="K47" s="16"/>
      <c r="L47" s="16">
        <v>109.92</v>
      </c>
      <c r="M47" s="16"/>
      <c r="N47" s="16"/>
      <c r="O47" s="16"/>
      <c r="P47" s="65"/>
      <c r="Q47" s="11">
        <f t="shared" si="0"/>
        <v>430.18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/>
      <c r="E48" s="7"/>
      <c r="F48" s="16"/>
      <c r="G48" s="16">
        <v>320.26</v>
      </c>
      <c r="H48" s="16"/>
      <c r="I48" s="16"/>
      <c r="J48" s="16">
        <v>109.92</v>
      </c>
      <c r="K48" s="16"/>
      <c r="L48" s="16"/>
      <c r="M48" s="16"/>
      <c r="N48" s="16">
        <v>109.92</v>
      </c>
      <c r="O48" s="16"/>
      <c r="P48" s="65"/>
      <c r="Q48" s="11">
        <f t="shared" si="0"/>
        <v>540.1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/>
      <c r="E49" s="7"/>
      <c r="F49" s="16"/>
      <c r="G49" s="16"/>
      <c r="H49" s="16">
        <v>320.26</v>
      </c>
      <c r="I49" s="16"/>
      <c r="J49" s="16"/>
      <c r="K49" s="16"/>
      <c r="L49" s="16"/>
      <c r="M49" s="16">
        <v>109.92</v>
      </c>
      <c r="N49" s="16"/>
      <c r="O49" s="16"/>
      <c r="P49" s="65"/>
      <c r="Q49" s="11">
        <f t="shared" si="0"/>
        <v>430.18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/>
      <c r="E50" s="7"/>
      <c r="F50" s="16"/>
      <c r="G50" s="16"/>
      <c r="H50" s="16">
        <v>556.12</v>
      </c>
      <c r="I50" s="16"/>
      <c r="J50" s="16"/>
      <c r="K50" s="16"/>
      <c r="L50" s="16"/>
      <c r="M50" s="16">
        <v>109.92</v>
      </c>
      <c r="N50" s="16"/>
      <c r="O50" s="16"/>
      <c r="P50" s="65"/>
      <c r="Q50" s="11">
        <f t="shared" si="0"/>
        <v>666.04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/>
      <c r="E51" s="7"/>
      <c r="F51" s="16"/>
      <c r="G51" s="16">
        <v>320.26</v>
      </c>
      <c r="H51" s="16"/>
      <c r="I51" s="16"/>
      <c r="J51" s="16"/>
      <c r="K51" s="16"/>
      <c r="L51" s="16">
        <v>109.92</v>
      </c>
      <c r="M51" s="16"/>
      <c r="N51" s="16"/>
      <c r="O51" s="16"/>
      <c r="P51" s="65"/>
      <c r="Q51" s="11">
        <f t="shared" si="0"/>
        <v>430.18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/>
      <c r="E52" s="7"/>
      <c r="F52" s="16">
        <v>235.86</v>
      </c>
      <c r="G52" s="16"/>
      <c r="H52" s="16">
        <v>320.26</v>
      </c>
      <c r="I52" s="16"/>
      <c r="J52" s="16"/>
      <c r="K52" s="16"/>
      <c r="L52" s="16"/>
      <c r="M52" s="16"/>
      <c r="N52" s="16"/>
      <c r="O52" s="16">
        <v>109.92</v>
      </c>
      <c r="P52" s="65"/>
      <c r="Q52" s="11">
        <f t="shared" si="0"/>
        <v>666.04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/>
      <c r="E53" s="7"/>
      <c r="F53" s="16"/>
      <c r="G53" s="16">
        <v>556.12</v>
      </c>
      <c r="H53" s="16"/>
      <c r="I53" s="16"/>
      <c r="J53" s="16"/>
      <c r="K53" s="16"/>
      <c r="L53" s="16">
        <v>109.92</v>
      </c>
      <c r="M53" s="16"/>
      <c r="N53" s="16"/>
      <c r="O53" s="16"/>
      <c r="P53" s="65"/>
      <c r="Q53" s="11">
        <f t="shared" si="0"/>
        <v>666.04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/>
      <c r="E54" s="7"/>
      <c r="F54" s="16"/>
      <c r="G54" s="16">
        <v>320.26</v>
      </c>
      <c r="H54" s="16"/>
      <c r="I54" s="16"/>
      <c r="J54" s="16"/>
      <c r="K54" s="16"/>
      <c r="L54" s="16">
        <v>109.92</v>
      </c>
      <c r="M54" s="16"/>
      <c r="N54" s="16"/>
      <c r="O54" s="16"/>
      <c r="P54" s="65"/>
      <c r="Q54" s="11">
        <f t="shared" si="0"/>
        <v>430.18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/>
      <c r="E55" s="7"/>
      <c r="F55" s="16"/>
      <c r="G55" s="16"/>
      <c r="H55" s="16"/>
      <c r="I55" s="16"/>
      <c r="J55" s="16"/>
      <c r="K55" s="16">
        <v>109.92</v>
      </c>
      <c r="L55" s="16">
        <v>109.92</v>
      </c>
      <c r="M55" s="16"/>
      <c r="N55" s="16"/>
      <c r="O55" s="16"/>
      <c r="P55" s="65"/>
      <c r="Q55" s="11">
        <f t="shared" si="0"/>
        <v>219.84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/>
      <c r="E56" s="7"/>
      <c r="F56" s="16"/>
      <c r="G56" s="16"/>
      <c r="H56" s="16">
        <v>320.26</v>
      </c>
      <c r="I56" s="16"/>
      <c r="J56" s="16"/>
      <c r="K56" s="16"/>
      <c r="L56" s="16"/>
      <c r="M56" s="16"/>
      <c r="N56" s="16"/>
      <c r="O56" s="16"/>
      <c r="P56" s="65">
        <v>109.92</v>
      </c>
      <c r="Q56" s="11">
        <f t="shared" si="0"/>
        <v>430.18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/>
      <c r="E57" s="7"/>
      <c r="F57" s="16"/>
      <c r="G57" s="16">
        <v>320.26</v>
      </c>
      <c r="H57" s="16"/>
      <c r="I57" s="16"/>
      <c r="J57" s="16"/>
      <c r="K57" s="16"/>
      <c r="L57" s="16"/>
      <c r="M57" s="16">
        <v>109.92</v>
      </c>
      <c r="N57" s="16"/>
      <c r="O57" s="16"/>
      <c r="P57" s="65"/>
      <c r="Q57" s="11">
        <f t="shared" si="0"/>
        <v>430.18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/>
      <c r="E58" s="7"/>
      <c r="F58" s="16"/>
      <c r="G58" s="16">
        <v>320.26</v>
      </c>
      <c r="H58" s="16"/>
      <c r="I58" s="16"/>
      <c r="J58" s="16"/>
      <c r="K58" s="16">
        <v>109.92</v>
      </c>
      <c r="L58" s="16"/>
      <c r="M58" s="16"/>
      <c r="N58" s="16"/>
      <c r="O58" s="16"/>
      <c r="P58" s="65">
        <v>109.92</v>
      </c>
      <c r="Q58" s="11">
        <f t="shared" si="0"/>
        <v>540.1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/>
      <c r="E59" s="7"/>
      <c r="F59" s="16"/>
      <c r="G59" s="16"/>
      <c r="H59" s="16"/>
      <c r="I59" s="16"/>
      <c r="J59" s="16"/>
      <c r="K59" s="16">
        <v>109.92</v>
      </c>
      <c r="L59" s="16"/>
      <c r="M59" s="16"/>
      <c r="N59" s="16"/>
      <c r="O59" s="16"/>
      <c r="P59" s="65"/>
      <c r="Q59" s="11">
        <f t="shared" si="0"/>
        <v>109.92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/>
      <c r="E60" s="7"/>
      <c r="F60" s="16"/>
      <c r="G60" s="16">
        <v>320.26</v>
      </c>
      <c r="H60" s="16"/>
      <c r="I60" s="16"/>
      <c r="J60" s="16">
        <v>109.92</v>
      </c>
      <c r="K60" s="16"/>
      <c r="L60" s="16"/>
      <c r="M60" s="16">
        <v>109.92</v>
      </c>
      <c r="N60" s="16"/>
      <c r="O60" s="16"/>
      <c r="P60" s="65"/>
      <c r="Q60" s="11">
        <f t="shared" si="0"/>
        <v>540.1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/>
      <c r="E61" s="7"/>
      <c r="F61" s="16"/>
      <c r="G61" s="16"/>
      <c r="H61" s="16"/>
      <c r="I61" s="16"/>
      <c r="J61" s="16"/>
      <c r="K61" s="16"/>
      <c r="L61" s="16">
        <v>109.92</v>
      </c>
      <c r="M61" s="16"/>
      <c r="N61" s="16"/>
      <c r="O61" s="16"/>
      <c r="P61" s="65"/>
      <c r="Q61" s="11">
        <f t="shared" si="0"/>
        <v>109.92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/>
      <c r="E62" s="7"/>
      <c r="F62" s="16"/>
      <c r="G62" s="16"/>
      <c r="H62" s="16">
        <v>556.12</v>
      </c>
      <c r="I62" s="16"/>
      <c r="J62" s="16"/>
      <c r="K62" s="16"/>
      <c r="L62" s="16">
        <v>109.92</v>
      </c>
      <c r="M62" s="16"/>
      <c r="N62" s="16"/>
      <c r="O62" s="16"/>
      <c r="P62" s="65"/>
      <c r="Q62" s="11">
        <f t="shared" si="0"/>
        <v>666.04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/>
      <c r="E63" s="7"/>
      <c r="F63" s="16"/>
      <c r="G63" s="16">
        <v>320.26</v>
      </c>
      <c r="H63" s="16"/>
      <c r="I63" s="16"/>
      <c r="J63" s="16"/>
      <c r="K63" s="16"/>
      <c r="L63" s="16">
        <v>109.92</v>
      </c>
      <c r="M63" s="16"/>
      <c r="N63" s="16"/>
      <c r="O63" s="16"/>
      <c r="P63" s="65"/>
      <c r="Q63" s="11">
        <f t="shared" si="0"/>
        <v>430.18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/>
      <c r="E64" s="7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65">
        <v>109.92</v>
      </c>
      <c r="Q64" s="11">
        <f t="shared" si="0"/>
        <v>109.92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/>
      <c r="E65" s="7"/>
      <c r="F65" s="16"/>
      <c r="G65" s="16"/>
      <c r="H65" s="16"/>
      <c r="I65" s="16"/>
      <c r="J65" s="16"/>
      <c r="K65" s="16"/>
      <c r="L65" s="16">
        <v>109.92</v>
      </c>
      <c r="M65" s="16"/>
      <c r="N65" s="16"/>
      <c r="O65" s="16"/>
      <c r="P65" s="65"/>
      <c r="Q65" s="11">
        <f t="shared" si="0"/>
        <v>109.92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/>
      <c r="E66" s="7"/>
      <c r="F66" s="16"/>
      <c r="G66" s="16">
        <v>320.26</v>
      </c>
      <c r="H66" s="16"/>
      <c r="I66" s="16"/>
      <c r="J66" s="16"/>
      <c r="K66" s="16"/>
      <c r="L66" s="16"/>
      <c r="M66" s="16">
        <v>109.92</v>
      </c>
      <c r="N66" s="16"/>
      <c r="O66" s="16"/>
      <c r="P66" s="65"/>
      <c r="Q66" s="11">
        <f t="shared" si="0"/>
        <v>430.18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/>
      <c r="E67" s="7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65">
        <v>109.92</v>
      </c>
      <c r="Q67" s="11">
        <f t="shared" si="0"/>
        <v>109.92</v>
      </c>
    </row>
    <row r="68" customHeight="1" spans="1:17">
      <c r="A68" s="7">
        <v>65</v>
      </c>
      <c r="B68" s="7" t="s">
        <v>148</v>
      </c>
      <c r="C68" s="10" t="s">
        <v>149</v>
      </c>
      <c r="D68" s="7"/>
      <c r="E68" s="7"/>
      <c r="F68" s="16"/>
      <c r="G68" s="16">
        <v>294.5</v>
      </c>
      <c r="H68" s="16"/>
      <c r="I68" s="16"/>
      <c r="J68" s="16"/>
      <c r="K68" s="16"/>
      <c r="L68" s="16"/>
      <c r="M68" s="16"/>
      <c r="N68" s="16"/>
      <c r="O68" s="16"/>
      <c r="P68" s="65">
        <v>101.7</v>
      </c>
      <c r="Q68" s="11">
        <f t="shared" ref="Q68:Q131" si="1">D68+E68+F68+G68+H68+I68+J68+K68+L68+M68+N68+O68+P68</f>
        <v>396.2</v>
      </c>
    </row>
    <row r="69" customHeight="1" spans="1:17">
      <c r="A69" s="7">
        <v>66</v>
      </c>
      <c r="B69" s="7" t="s">
        <v>150</v>
      </c>
      <c r="C69" s="10" t="s">
        <v>151</v>
      </c>
      <c r="D69" s="7"/>
      <c r="E69" s="7"/>
      <c r="F69" s="16"/>
      <c r="G69" s="16">
        <v>359.65</v>
      </c>
      <c r="H69" s="16">
        <v>294.5</v>
      </c>
      <c r="I69" s="16"/>
      <c r="J69" s="16"/>
      <c r="K69" s="16"/>
      <c r="L69" s="16"/>
      <c r="M69" s="16"/>
      <c r="N69" s="16"/>
      <c r="O69" s="16"/>
      <c r="P69" s="65"/>
      <c r="Q69" s="11">
        <f t="shared" si="1"/>
        <v>654.15</v>
      </c>
    </row>
    <row r="70" customHeight="1" spans="1:17">
      <c r="A70" s="7">
        <v>67</v>
      </c>
      <c r="B70" s="7" t="s">
        <v>152</v>
      </c>
      <c r="C70" s="10" t="s">
        <v>153</v>
      </c>
      <c r="D70" s="7"/>
      <c r="E70" s="7"/>
      <c r="F70" s="16"/>
      <c r="G70" s="16">
        <v>294.5</v>
      </c>
      <c r="H70" s="16"/>
      <c r="I70" s="16"/>
      <c r="J70" s="16"/>
      <c r="K70" s="16"/>
      <c r="L70" s="16">
        <v>101.7</v>
      </c>
      <c r="M70" s="16"/>
      <c r="N70" s="16"/>
      <c r="O70" s="16"/>
      <c r="P70" s="65"/>
      <c r="Q70" s="11">
        <f t="shared" si="1"/>
        <v>396.2</v>
      </c>
    </row>
    <row r="71" customHeight="1" spans="1:17">
      <c r="A71" s="7">
        <v>68</v>
      </c>
      <c r="B71" s="7" t="s">
        <v>154</v>
      </c>
      <c r="C71" s="10" t="s">
        <v>155</v>
      </c>
      <c r="D71" s="7"/>
      <c r="E71" s="7"/>
      <c r="F71" s="16"/>
      <c r="G71" s="16">
        <v>294.5</v>
      </c>
      <c r="H71" s="16"/>
      <c r="I71" s="16"/>
      <c r="J71" s="16"/>
      <c r="K71" s="16">
        <v>101.7</v>
      </c>
      <c r="L71" s="16"/>
      <c r="M71" s="16"/>
      <c r="N71" s="16"/>
      <c r="O71" s="16"/>
      <c r="P71" s="65"/>
      <c r="Q71" s="11">
        <f t="shared" si="1"/>
        <v>396.2</v>
      </c>
    </row>
    <row r="72" customHeight="1" spans="1:17">
      <c r="A72" s="7">
        <v>69</v>
      </c>
      <c r="B72" s="7" t="s">
        <v>156</v>
      </c>
      <c r="C72" s="10" t="s">
        <v>157</v>
      </c>
      <c r="D72" s="7"/>
      <c r="E72" s="7"/>
      <c r="F72" s="16"/>
      <c r="G72" s="16">
        <v>294.5</v>
      </c>
      <c r="H72" s="16"/>
      <c r="I72" s="16"/>
      <c r="J72" s="16"/>
      <c r="K72" s="16">
        <v>101.7</v>
      </c>
      <c r="L72" s="16"/>
      <c r="M72" s="16"/>
      <c r="N72" s="16"/>
      <c r="O72" s="16"/>
      <c r="P72" s="65"/>
      <c r="Q72" s="11">
        <f t="shared" si="1"/>
        <v>396.2</v>
      </c>
    </row>
    <row r="73" customHeight="1" spans="1:17">
      <c r="A73" s="7">
        <v>70</v>
      </c>
      <c r="B73" s="7" t="s">
        <v>158</v>
      </c>
      <c r="C73" s="10" t="s">
        <v>159</v>
      </c>
      <c r="D73" s="7"/>
      <c r="E73" s="7"/>
      <c r="F73" s="16"/>
      <c r="G73" s="16">
        <v>294.5</v>
      </c>
      <c r="H73" s="16"/>
      <c r="I73" s="16"/>
      <c r="J73" s="16"/>
      <c r="K73" s="16">
        <v>101.7</v>
      </c>
      <c r="L73" s="16"/>
      <c r="M73" s="16">
        <v>101.07</v>
      </c>
      <c r="N73" s="16"/>
      <c r="O73" s="16"/>
      <c r="P73" s="65"/>
      <c r="Q73" s="11">
        <f t="shared" si="1"/>
        <v>497.27</v>
      </c>
    </row>
    <row r="74" customHeight="1" spans="1:17">
      <c r="A74" s="7">
        <v>71</v>
      </c>
      <c r="B74" s="7" t="s">
        <v>160</v>
      </c>
      <c r="C74" s="10" t="s">
        <v>161</v>
      </c>
      <c r="D74" s="7"/>
      <c r="E74" s="7"/>
      <c r="F74" s="16"/>
      <c r="G74" s="16">
        <v>294.5</v>
      </c>
      <c r="H74" s="16"/>
      <c r="I74" s="16"/>
      <c r="J74" s="16"/>
      <c r="K74" s="16"/>
      <c r="L74" s="16"/>
      <c r="M74" s="16"/>
      <c r="N74" s="16"/>
      <c r="O74" s="16"/>
      <c r="P74" s="65">
        <v>101.7</v>
      </c>
      <c r="Q74" s="11">
        <f t="shared" si="1"/>
        <v>396.2</v>
      </c>
    </row>
    <row r="75" customHeight="1" spans="1:17">
      <c r="A75" s="7">
        <v>72</v>
      </c>
      <c r="B75" s="7" t="s">
        <v>162</v>
      </c>
      <c r="C75" s="10" t="s">
        <v>163</v>
      </c>
      <c r="D75" s="7"/>
      <c r="E75" s="7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65"/>
      <c r="Q75" s="11">
        <f t="shared" si="1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/>
      <c r="E76" s="7"/>
      <c r="F76" s="16"/>
      <c r="G76" s="16">
        <v>294.5</v>
      </c>
      <c r="H76" s="16"/>
      <c r="I76" s="16"/>
      <c r="J76" s="16"/>
      <c r="K76" s="16">
        <v>101.7</v>
      </c>
      <c r="L76" s="16"/>
      <c r="M76" s="16"/>
      <c r="N76" s="16"/>
      <c r="O76" s="16"/>
      <c r="P76" s="65"/>
      <c r="Q76" s="11">
        <f t="shared" si="1"/>
        <v>396.2</v>
      </c>
    </row>
    <row r="77" customHeight="1" spans="1:17">
      <c r="A77" s="7">
        <v>74</v>
      </c>
      <c r="B77" s="7" t="s">
        <v>166</v>
      </c>
      <c r="C77" s="10" t="s">
        <v>167</v>
      </c>
      <c r="D77" s="7"/>
      <c r="E77" s="7"/>
      <c r="F77" s="16"/>
      <c r="G77" s="16">
        <v>294.5</v>
      </c>
      <c r="H77" s="16"/>
      <c r="I77" s="16"/>
      <c r="J77" s="16"/>
      <c r="K77" s="16"/>
      <c r="L77" s="16"/>
      <c r="M77" s="16">
        <v>101.07</v>
      </c>
      <c r="N77" s="16"/>
      <c r="O77" s="16"/>
      <c r="P77" s="65"/>
      <c r="Q77" s="11">
        <f t="shared" si="1"/>
        <v>395.57</v>
      </c>
    </row>
    <row r="78" customHeight="1" spans="1:17">
      <c r="A78" s="7">
        <v>75</v>
      </c>
      <c r="B78" s="7" t="s">
        <v>168</v>
      </c>
      <c r="C78" s="15" t="s">
        <v>169</v>
      </c>
      <c r="D78" s="7"/>
      <c r="E78" s="7"/>
      <c r="F78" s="16"/>
      <c r="G78" s="16">
        <v>360</v>
      </c>
      <c r="H78" s="16"/>
      <c r="I78" s="16"/>
      <c r="J78" s="16"/>
      <c r="K78" s="16">
        <v>101.7</v>
      </c>
      <c r="L78" s="16"/>
      <c r="M78" s="16"/>
      <c r="N78" s="16"/>
      <c r="O78" s="16"/>
      <c r="P78" s="65"/>
      <c r="Q78" s="11">
        <f t="shared" si="1"/>
        <v>461.7</v>
      </c>
    </row>
    <row r="79" customHeight="1" spans="1:17">
      <c r="A79" s="7">
        <v>76</v>
      </c>
      <c r="B79" s="7" t="s">
        <v>170</v>
      </c>
      <c r="C79" s="10" t="s">
        <v>171</v>
      </c>
      <c r="D79" s="7"/>
      <c r="E79" s="7"/>
      <c r="F79" s="16"/>
      <c r="G79" s="16"/>
      <c r="H79" s="16"/>
      <c r="I79" s="16"/>
      <c r="J79" s="16"/>
      <c r="K79" s="16"/>
      <c r="L79" s="16">
        <v>101.7</v>
      </c>
      <c r="M79" s="16"/>
      <c r="N79" s="16"/>
      <c r="O79" s="16"/>
      <c r="P79" s="65">
        <v>101.7</v>
      </c>
      <c r="Q79" s="11">
        <f t="shared" si="1"/>
        <v>203.4</v>
      </c>
    </row>
    <row r="80" customHeight="1" spans="1:17">
      <c r="A80" s="7">
        <v>77</v>
      </c>
      <c r="B80" s="7" t="s">
        <v>172</v>
      </c>
      <c r="C80" s="10" t="s">
        <v>173</v>
      </c>
      <c r="D80" s="7"/>
      <c r="E80" s="7"/>
      <c r="F80" s="16"/>
      <c r="G80" s="16">
        <v>556.12</v>
      </c>
      <c r="H80" s="16"/>
      <c r="I80" s="16"/>
      <c r="J80" s="16"/>
      <c r="K80" s="16">
        <v>101.7</v>
      </c>
      <c r="L80" s="16"/>
      <c r="M80" s="16"/>
      <c r="N80" s="16"/>
      <c r="O80" s="16"/>
      <c r="P80" s="65"/>
      <c r="Q80" s="11">
        <f t="shared" si="1"/>
        <v>657.82</v>
      </c>
    </row>
    <row r="81" customHeight="1" spans="1:17">
      <c r="A81" s="7">
        <v>78</v>
      </c>
      <c r="B81" s="7" t="s">
        <v>174</v>
      </c>
      <c r="C81" s="10" t="s">
        <v>175</v>
      </c>
      <c r="D81" s="7"/>
      <c r="E81" s="7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65"/>
      <c r="Q81" s="11">
        <f t="shared" si="1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/>
      <c r="E82" s="7"/>
      <c r="F82" s="16"/>
      <c r="G82" s="16">
        <v>359.65</v>
      </c>
      <c r="H82" s="16"/>
      <c r="I82" s="16"/>
      <c r="J82" s="16"/>
      <c r="K82" s="16"/>
      <c r="L82" s="16"/>
      <c r="M82" s="16"/>
      <c r="N82" s="16"/>
      <c r="O82" s="16"/>
      <c r="P82" s="65">
        <v>101.7</v>
      </c>
      <c r="Q82" s="11">
        <f t="shared" si="1"/>
        <v>461.35</v>
      </c>
    </row>
    <row r="83" customHeight="1" spans="1:17">
      <c r="A83" s="7">
        <v>80</v>
      </c>
      <c r="B83" s="7" t="s">
        <v>178</v>
      </c>
      <c r="C83" s="10" t="s">
        <v>179</v>
      </c>
      <c r="D83" s="7"/>
      <c r="E83" s="7"/>
      <c r="F83" s="16"/>
      <c r="G83" s="16">
        <v>294.5</v>
      </c>
      <c r="H83" s="16"/>
      <c r="I83" s="16"/>
      <c r="J83" s="16">
        <v>101.7</v>
      </c>
      <c r="K83" s="16"/>
      <c r="L83" s="16"/>
      <c r="M83" s="16">
        <v>101.07</v>
      </c>
      <c r="N83" s="16"/>
      <c r="O83" s="16"/>
      <c r="P83" s="65"/>
      <c r="Q83" s="11">
        <f t="shared" si="1"/>
        <v>497.27</v>
      </c>
    </row>
    <row r="84" customHeight="1" spans="1:17">
      <c r="A84" s="7">
        <v>81</v>
      </c>
      <c r="B84" s="7" t="s">
        <v>180</v>
      </c>
      <c r="C84" s="10" t="s">
        <v>181</v>
      </c>
      <c r="D84" s="7"/>
      <c r="E84" s="7"/>
      <c r="F84" s="16"/>
      <c r="G84" s="16"/>
      <c r="H84" s="16"/>
      <c r="I84" s="16"/>
      <c r="J84" s="16"/>
      <c r="K84" s="16">
        <v>101.7</v>
      </c>
      <c r="L84" s="16"/>
      <c r="M84" s="16"/>
      <c r="N84" s="16"/>
      <c r="O84" s="16"/>
      <c r="P84" s="65">
        <v>101.7</v>
      </c>
      <c r="Q84" s="11">
        <f t="shared" si="1"/>
        <v>203.4</v>
      </c>
    </row>
    <row r="85" customHeight="1" spans="1:17">
      <c r="A85" s="7">
        <v>82</v>
      </c>
      <c r="B85" s="7" t="s">
        <v>182</v>
      </c>
      <c r="C85" s="10" t="s">
        <v>183</v>
      </c>
      <c r="D85" s="7"/>
      <c r="E85" s="7"/>
      <c r="F85" s="16"/>
      <c r="G85" s="16"/>
      <c r="H85" s="16"/>
      <c r="I85" s="16"/>
      <c r="J85" s="16"/>
      <c r="K85" s="16">
        <v>101.7</v>
      </c>
      <c r="L85" s="16"/>
      <c r="M85" s="16"/>
      <c r="N85" s="16"/>
      <c r="O85" s="16"/>
      <c r="P85" s="65"/>
      <c r="Q85" s="11">
        <f t="shared" si="1"/>
        <v>101.7</v>
      </c>
    </row>
    <row r="86" customHeight="1" spans="1:17">
      <c r="A86" s="7">
        <v>83</v>
      </c>
      <c r="B86" s="7" t="s">
        <v>184</v>
      </c>
      <c r="C86" s="10" t="s">
        <v>185</v>
      </c>
      <c r="D86" s="7"/>
      <c r="E86" s="7"/>
      <c r="F86" s="16"/>
      <c r="G86" s="16">
        <v>294.5</v>
      </c>
      <c r="H86" s="16"/>
      <c r="I86" s="16"/>
      <c r="J86" s="16"/>
      <c r="K86" s="16"/>
      <c r="L86" s="16"/>
      <c r="M86" s="16"/>
      <c r="N86" s="16"/>
      <c r="O86" s="16"/>
      <c r="P86" s="65"/>
      <c r="Q86" s="11">
        <f t="shared" si="1"/>
        <v>294.5</v>
      </c>
    </row>
    <row r="87" customHeight="1" spans="1:17">
      <c r="A87" s="7">
        <v>84</v>
      </c>
      <c r="B87" s="7" t="s">
        <v>186</v>
      </c>
      <c r="C87" s="10" t="s">
        <v>187</v>
      </c>
      <c r="D87" s="7"/>
      <c r="E87" s="7"/>
      <c r="F87" s="16"/>
      <c r="G87" s="16">
        <v>294.5</v>
      </c>
      <c r="H87" s="16"/>
      <c r="I87" s="16"/>
      <c r="J87" s="16"/>
      <c r="K87" s="16"/>
      <c r="L87" s="16"/>
      <c r="M87" s="16"/>
      <c r="N87" s="16"/>
      <c r="O87" s="16">
        <v>101.7</v>
      </c>
      <c r="P87" s="65"/>
      <c r="Q87" s="11">
        <f t="shared" si="1"/>
        <v>396.2</v>
      </c>
    </row>
    <row r="88" customHeight="1" spans="1:17">
      <c r="A88" s="7">
        <v>85</v>
      </c>
      <c r="B88" s="7" t="s">
        <v>188</v>
      </c>
      <c r="C88" s="10" t="s">
        <v>189</v>
      </c>
      <c r="D88" s="7"/>
      <c r="E88" s="7"/>
      <c r="F88" s="16"/>
      <c r="G88" s="16"/>
      <c r="H88" s="16"/>
      <c r="I88" s="16"/>
      <c r="J88" s="16"/>
      <c r="K88" s="16">
        <v>101.7</v>
      </c>
      <c r="L88" s="16"/>
      <c r="M88" s="16"/>
      <c r="N88" s="16"/>
      <c r="O88" s="16"/>
      <c r="P88" s="65"/>
      <c r="Q88" s="11">
        <f t="shared" si="1"/>
        <v>101.7</v>
      </c>
    </row>
    <row r="89" customHeight="1" spans="1:17">
      <c r="A89" s="7">
        <v>86</v>
      </c>
      <c r="B89" s="7" t="s">
        <v>190</v>
      </c>
      <c r="C89" s="10" t="s">
        <v>191</v>
      </c>
      <c r="D89" s="7"/>
      <c r="E89" s="7"/>
      <c r="F89" s="16"/>
      <c r="G89" s="16">
        <v>294.5</v>
      </c>
      <c r="H89" s="16"/>
      <c r="I89" s="16"/>
      <c r="J89" s="16"/>
      <c r="K89" s="16"/>
      <c r="L89" s="16">
        <v>101.7</v>
      </c>
      <c r="M89" s="16"/>
      <c r="N89" s="16"/>
      <c r="O89" s="16"/>
      <c r="P89" s="65"/>
      <c r="Q89" s="11">
        <f t="shared" si="1"/>
        <v>396.2</v>
      </c>
    </row>
    <row r="90" customHeight="1" spans="1:17">
      <c r="A90" s="7">
        <v>87</v>
      </c>
      <c r="B90" s="7" t="s">
        <v>192</v>
      </c>
      <c r="C90" s="10" t="s">
        <v>193</v>
      </c>
      <c r="D90" s="7"/>
      <c r="E90" s="7"/>
      <c r="F90" s="16"/>
      <c r="G90" s="16"/>
      <c r="H90" s="16">
        <v>294.5</v>
      </c>
      <c r="I90" s="16"/>
      <c r="J90" s="16"/>
      <c r="K90" s="16"/>
      <c r="L90" s="16">
        <v>101.7</v>
      </c>
      <c r="M90" s="16"/>
      <c r="N90" s="16"/>
      <c r="O90" s="16"/>
      <c r="P90" s="65"/>
      <c r="Q90" s="11">
        <f t="shared" si="1"/>
        <v>396.2</v>
      </c>
    </row>
    <row r="91" customHeight="1" spans="1:17">
      <c r="A91" s="7">
        <v>88</v>
      </c>
      <c r="B91" s="7" t="s">
        <v>194</v>
      </c>
      <c r="C91" s="10" t="s">
        <v>195</v>
      </c>
      <c r="D91" s="7"/>
      <c r="E91" s="7"/>
      <c r="F91" s="16"/>
      <c r="G91" s="16"/>
      <c r="H91" s="16"/>
      <c r="I91" s="16"/>
      <c r="J91" s="16"/>
      <c r="K91" s="16">
        <v>101.7</v>
      </c>
      <c r="L91" s="16"/>
      <c r="M91" s="16"/>
      <c r="N91" s="16"/>
      <c r="O91" s="16"/>
      <c r="P91" s="65"/>
      <c r="Q91" s="11">
        <f t="shared" si="1"/>
        <v>101.7</v>
      </c>
    </row>
    <row r="92" customHeight="1" spans="1:17">
      <c r="A92" s="7">
        <v>89</v>
      </c>
      <c r="B92" s="7" t="s">
        <v>196</v>
      </c>
      <c r="C92" s="10" t="s">
        <v>197</v>
      </c>
      <c r="D92" s="7"/>
      <c r="E92" s="7"/>
      <c r="F92" s="16"/>
      <c r="G92" s="16">
        <v>294.5</v>
      </c>
      <c r="H92" s="16"/>
      <c r="I92" s="16"/>
      <c r="J92" s="16"/>
      <c r="K92" s="16"/>
      <c r="L92" s="16">
        <v>101.7</v>
      </c>
      <c r="M92" s="16"/>
      <c r="N92" s="16"/>
      <c r="O92" s="16"/>
      <c r="P92" s="65"/>
      <c r="Q92" s="11">
        <f t="shared" si="1"/>
        <v>396.2</v>
      </c>
    </row>
    <row r="93" customHeight="1" spans="1:17">
      <c r="A93" s="7">
        <v>90</v>
      </c>
      <c r="B93" s="7" t="s">
        <v>198</v>
      </c>
      <c r="C93" s="10" t="s">
        <v>199</v>
      </c>
      <c r="D93" s="7"/>
      <c r="E93" s="7"/>
      <c r="F93" s="16"/>
      <c r="G93" s="16">
        <v>294.5</v>
      </c>
      <c r="H93" s="16"/>
      <c r="I93" s="16"/>
      <c r="J93" s="16"/>
      <c r="K93" s="16"/>
      <c r="L93" s="16">
        <v>101.7</v>
      </c>
      <c r="M93" s="16"/>
      <c r="N93" s="16"/>
      <c r="O93" s="16"/>
      <c r="P93" s="65"/>
      <c r="Q93" s="11">
        <f t="shared" si="1"/>
        <v>396.2</v>
      </c>
    </row>
    <row r="94" customHeight="1" spans="1:17">
      <c r="A94" s="7">
        <v>91</v>
      </c>
      <c r="B94" s="7" t="s">
        <v>200</v>
      </c>
      <c r="C94" s="10" t="s">
        <v>201</v>
      </c>
      <c r="D94" s="7"/>
      <c r="E94" s="7"/>
      <c r="F94" s="16"/>
      <c r="G94" s="16">
        <v>294.5</v>
      </c>
      <c r="H94" s="16"/>
      <c r="I94" s="16"/>
      <c r="J94" s="16"/>
      <c r="K94" s="16"/>
      <c r="L94" s="16"/>
      <c r="M94" s="16"/>
      <c r="N94" s="16"/>
      <c r="O94" s="16"/>
      <c r="P94" s="65">
        <v>101.7</v>
      </c>
      <c r="Q94" s="11">
        <f t="shared" si="1"/>
        <v>396.2</v>
      </c>
    </row>
    <row r="95" customHeight="1" spans="1:17">
      <c r="A95" s="7">
        <v>92</v>
      </c>
      <c r="B95" s="7" t="s">
        <v>202</v>
      </c>
      <c r="C95" s="10" t="s">
        <v>203</v>
      </c>
      <c r="D95" s="7"/>
      <c r="E95" s="7"/>
      <c r="F95" s="16"/>
      <c r="G95" s="16"/>
      <c r="H95" s="16">
        <v>294</v>
      </c>
      <c r="I95" s="16"/>
      <c r="J95" s="16"/>
      <c r="K95" s="16">
        <v>101.7</v>
      </c>
      <c r="L95" s="16">
        <v>101.7</v>
      </c>
      <c r="M95" s="16"/>
      <c r="N95" s="16"/>
      <c r="O95" s="16"/>
      <c r="P95" s="65"/>
      <c r="Q95" s="11">
        <f t="shared" si="1"/>
        <v>497.4</v>
      </c>
    </row>
    <row r="96" customHeight="1" spans="1:17">
      <c r="A96" s="7">
        <v>93</v>
      </c>
      <c r="B96" s="7" t="s">
        <v>204</v>
      </c>
      <c r="C96" s="10" t="s">
        <v>205</v>
      </c>
      <c r="D96" s="7"/>
      <c r="E96" s="7"/>
      <c r="F96" s="16"/>
      <c r="G96" s="16">
        <v>294.5</v>
      </c>
      <c r="H96" s="16"/>
      <c r="I96" s="16"/>
      <c r="J96" s="16">
        <v>101.7</v>
      </c>
      <c r="K96" s="16"/>
      <c r="L96" s="16"/>
      <c r="M96" s="16"/>
      <c r="N96" s="16"/>
      <c r="O96" s="16"/>
      <c r="P96" s="65">
        <v>101.7</v>
      </c>
      <c r="Q96" s="11">
        <f t="shared" si="1"/>
        <v>497.9</v>
      </c>
    </row>
    <row r="97" customHeight="1" spans="1:17">
      <c r="A97" s="7">
        <v>94</v>
      </c>
      <c r="B97" s="7" t="s">
        <v>206</v>
      </c>
      <c r="C97" s="10" t="s">
        <v>207</v>
      </c>
      <c r="D97" s="7"/>
      <c r="E97" s="7"/>
      <c r="F97" s="16"/>
      <c r="G97" s="16"/>
      <c r="H97" s="16"/>
      <c r="I97" s="16"/>
      <c r="J97" s="16"/>
      <c r="K97" s="16">
        <v>101.7</v>
      </c>
      <c r="L97" s="16"/>
      <c r="M97" s="16"/>
      <c r="N97" s="16"/>
      <c r="O97" s="16"/>
      <c r="P97" s="65"/>
      <c r="Q97" s="11">
        <f t="shared" si="1"/>
        <v>101.7</v>
      </c>
    </row>
    <row r="98" customHeight="1" spans="1:17">
      <c r="A98" s="7">
        <v>95</v>
      </c>
      <c r="B98" s="7" t="s">
        <v>208</v>
      </c>
      <c r="C98" s="10" t="s">
        <v>209</v>
      </c>
      <c r="D98" s="7"/>
      <c r="E98" s="7"/>
      <c r="F98" s="16"/>
      <c r="G98" s="16"/>
      <c r="H98" s="16"/>
      <c r="I98" s="16"/>
      <c r="J98" s="16"/>
      <c r="K98" s="16"/>
      <c r="L98" s="16"/>
      <c r="M98" s="16"/>
      <c r="N98" s="16">
        <v>101.7</v>
      </c>
      <c r="O98" s="16"/>
      <c r="P98" s="65"/>
      <c r="Q98" s="11">
        <f t="shared" si="1"/>
        <v>101.7</v>
      </c>
    </row>
    <row r="99" customHeight="1" spans="1:17">
      <c r="A99" s="7">
        <v>96</v>
      </c>
      <c r="B99" s="7" t="s">
        <v>210</v>
      </c>
      <c r="C99" s="10" t="s">
        <v>211</v>
      </c>
      <c r="D99" s="7"/>
      <c r="E99" s="7"/>
      <c r="F99" s="16"/>
      <c r="G99" s="16"/>
      <c r="H99" s="16">
        <v>294.5</v>
      </c>
      <c r="I99" s="16"/>
      <c r="J99" s="16"/>
      <c r="K99" s="16">
        <v>101.7</v>
      </c>
      <c r="L99" s="16"/>
      <c r="M99" s="16"/>
      <c r="N99" s="16"/>
      <c r="O99" s="16"/>
      <c r="P99" s="65"/>
      <c r="Q99" s="11">
        <f t="shared" si="1"/>
        <v>396.2</v>
      </c>
    </row>
    <row r="100" customHeight="1" spans="1:17">
      <c r="A100" s="7">
        <v>97</v>
      </c>
      <c r="B100" s="7" t="s">
        <v>212</v>
      </c>
      <c r="C100" s="10" t="s">
        <v>213</v>
      </c>
      <c r="D100" s="7"/>
      <c r="E100" s="7"/>
      <c r="F100" s="16"/>
      <c r="G100" s="16"/>
      <c r="H100" s="16"/>
      <c r="I100" s="16"/>
      <c r="J100" s="16"/>
      <c r="K100" s="16">
        <v>101.7</v>
      </c>
      <c r="L100" s="16"/>
      <c r="M100" s="16"/>
      <c r="N100" s="16"/>
      <c r="O100" s="16"/>
      <c r="P100" s="65"/>
      <c r="Q100" s="11">
        <f t="shared" si="1"/>
        <v>101.7</v>
      </c>
    </row>
    <row r="101" customHeight="1" spans="1:17">
      <c r="A101" s="7">
        <v>98</v>
      </c>
      <c r="B101" s="7" t="s">
        <v>214</v>
      </c>
      <c r="C101" s="12" t="s">
        <v>215</v>
      </c>
      <c r="D101" s="7"/>
      <c r="E101" s="7"/>
      <c r="F101" s="16"/>
      <c r="G101" s="16">
        <v>294.5</v>
      </c>
      <c r="H101" s="16"/>
      <c r="I101" s="16"/>
      <c r="J101" s="16"/>
      <c r="K101" s="16"/>
      <c r="L101" s="16"/>
      <c r="M101" s="16">
        <v>101.7</v>
      </c>
      <c r="N101" s="16"/>
      <c r="O101" s="16"/>
      <c r="P101" s="65"/>
      <c r="Q101" s="11">
        <f t="shared" si="1"/>
        <v>396.2</v>
      </c>
    </row>
    <row r="102" customHeight="1" spans="1:17">
      <c r="A102" s="7">
        <v>99</v>
      </c>
      <c r="B102" s="7" t="s">
        <v>216</v>
      </c>
      <c r="C102" s="10" t="s">
        <v>217</v>
      </c>
      <c r="D102" s="7"/>
      <c r="E102" s="7"/>
      <c r="F102" s="16"/>
      <c r="G102" s="16">
        <v>294.5</v>
      </c>
      <c r="H102" s="16"/>
      <c r="I102" s="16"/>
      <c r="J102" s="16">
        <v>101.7</v>
      </c>
      <c r="K102" s="16"/>
      <c r="L102" s="16"/>
      <c r="M102" s="16"/>
      <c r="N102" s="16"/>
      <c r="O102" s="16">
        <v>101.7</v>
      </c>
      <c r="P102" s="65"/>
      <c r="Q102" s="11">
        <f t="shared" si="1"/>
        <v>497.9</v>
      </c>
    </row>
    <row r="103" customHeight="1" spans="1:17">
      <c r="A103" s="7">
        <v>100</v>
      </c>
      <c r="B103" s="7" t="s">
        <v>218</v>
      </c>
      <c r="C103" s="10" t="s">
        <v>219</v>
      </c>
      <c r="D103" s="7"/>
      <c r="E103" s="7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65"/>
      <c r="Q103" s="11">
        <f t="shared" si="1"/>
        <v>0</v>
      </c>
    </row>
    <row r="104" customHeight="1" spans="1:17">
      <c r="A104" s="7">
        <v>101</v>
      </c>
      <c r="B104" s="7" t="s">
        <v>220</v>
      </c>
      <c r="C104" s="10" t="s">
        <v>221</v>
      </c>
      <c r="D104" s="7"/>
      <c r="E104" s="7"/>
      <c r="F104" s="16"/>
      <c r="G104" s="16">
        <v>294.5</v>
      </c>
      <c r="H104" s="16"/>
      <c r="I104" s="16"/>
      <c r="J104" s="16"/>
      <c r="K104" s="16"/>
      <c r="L104" s="16"/>
      <c r="M104" s="16">
        <v>101.07</v>
      </c>
      <c r="N104" s="16"/>
      <c r="O104" s="16"/>
      <c r="P104" s="65"/>
      <c r="Q104" s="11">
        <f t="shared" si="1"/>
        <v>395.57</v>
      </c>
    </row>
    <row r="105" customHeight="1" spans="1:17">
      <c r="A105" s="7">
        <v>102</v>
      </c>
      <c r="B105" s="7" t="s">
        <v>222</v>
      </c>
      <c r="C105" s="10" t="s">
        <v>223</v>
      </c>
      <c r="D105" s="7"/>
      <c r="E105" s="7"/>
      <c r="F105" s="16"/>
      <c r="G105" s="16"/>
      <c r="H105" s="16">
        <v>654</v>
      </c>
      <c r="I105" s="16"/>
      <c r="J105" s="16"/>
      <c r="K105" s="16">
        <v>101.7</v>
      </c>
      <c r="L105" s="16"/>
      <c r="M105" s="16"/>
      <c r="N105" s="16"/>
      <c r="O105" s="16"/>
      <c r="P105" s="65"/>
      <c r="Q105" s="11">
        <f t="shared" si="1"/>
        <v>755.7</v>
      </c>
    </row>
    <row r="106" customHeight="1" spans="1:17">
      <c r="A106" s="7">
        <v>103</v>
      </c>
      <c r="B106" s="7" t="s">
        <v>224</v>
      </c>
      <c r="C106" s="10" t="s">
        <v>225</v>
      </c>
      <c r="D106" s="7"/>
      <c r="E106" s="7"/>
      <c r="F106" s="16"/>
      <c r="G106" s="16">
        <v>294.5</v>
      </c>
      <c r="H106" s="16"/>
      <c r="I106" s="16"/>
      <c r="J106" s="16"/>
      <c r="K106" s="16"/>
      <c r="L106" s="16"/>
      <c r="M106" s="16"/>
      <c r="N106" s="16">
        <v>101.7</v>
      </c>
      <c r="O106" s="16"/>
      <c r="P106" s="65"/>
      <c r="Q106" s="11">
        <f t="shared" si="1"/>
        <v>396.2</v>
      </c>
    </row>
    <row r="107" customHeight="1" spans="1:17">
      <c r="A107" s="7">
        <v>104</v>
      </c>
      <c r="B107" s="7" t="s">
        <v>226</v>
      </c>
      <c r="C107" s="10" t="s">
        <v>227</v>
      </c>
      <c r="D107" s="7"/>
      <c r="E107" s="7"/>
      <c r="F107" s="16"/>
      <c r="G107" s="16">
        <v>359.74</v>
      </c>
      <c r="H107" s="16"/>
      <c r="I107" s="16"/>
      <c r="J107" s="16"/>
      <c r="K107" s="16">
        <v>101.7</v>
      </c>
      <c r="L107" s="16"/>
      <c r="M107" s="16"/>
      <c r="N107" s="16"/>
      <c r="O107" s="16"/>
      <c r="P107" s="65"/>
      <c r="Q107" s="11">
        <f t="shared" si="1"/>
        <v>461.44</v>
      </c>
    </row>
    <row r="108" customHeight="1" spans="1:17">
      <c r="A108" s="7">
        <v>105</v>
      </c>
      <c r="B108" s="7" t="s">
        <v>228</v>
      </c>
      <c r="C108" s="10" t="s">
        <v>229</v>
      </c>
      <c r="D108" s="7"/>
      <c r="E108" s="7"/>
      <c r="F108" s="16"/>
      <c r="G108" s="16">
        <v>294.5</v>
      </c>
      <c r="H108" s="16"/>
      <c r="I108" s="16"/>
      <c r="J108" s="16"/>
      <c r="K108" s="16">
        <v>101.7</v>
      </c>
      <c r="L108" s="16"/>
      <c r="M108" s="16"/>
      <c r="N108" s="16"/>
      <c r="O108" s="16"/>
      <c r="P108" s="65"/>
      <c r="Q108" s="11">
        <f t="shared" si="1"/>
        <v>396.2</v>
      </c>
    </row>
    <row r="109" customHeight="1" spans="1:17">
      <c r="A109" s="7">
        <v>106</v>
      </c>
      <c r="B109" s="7" t="s">
        <v>230</v>
      </c>
      <c r="C109" s="10" t="s">
        <v>231</v>
      </c>
      <c r="D109" s="7"/>
      <c r="E109" s="7"/>
      <c r="F109" s="16"/>
      <c r="G109" s="16"/>
      <c r="H109" s="16"/>
      <c r="I109" s="16"/>
      <c r="J109" s="16"/>
      <c r="K109" s="16">
        <v>101.7</v>
      </c>
      <c r="L109" s="16"/>
      <c r="M109" s="16"/>
      <c r="N109" s="16"/>
      <c r="O109" s="16"/>
      <c r="P109" s="65"/>
      <c r="Q109" s="11">
        <f t="shared" si="1"/>
        <v>101.7</v>
      </c>
    </row>
    <row r="110" customHeight="1" spans="1:17">
      <c r="A110" s="7">
        <v>107</v>
      </c>
      <c r="B110" s="7" t="s">
        <v>232</v>
      </c>
      <c r="C110" s="10" t="s">
        <v>233</v>
      </c>
      <c r="D110" s="7"/>
      <c r="E110" s="7"/>
      <c r="F110" s="16"/>
      <c r="G110" s="16">
        <v>294.5</v>
      </c>
      <c r="H110" s="16"/>
      <c r="I110" s="16"/>
      <c r="J110" s="16"/>
      <c r="K110" s="16"/>
      <c r="L110" s="16"/>
      <c r="M110" s="16">
        <v>101.07</v>
      </c>
      <c r="N110" s="16"/>
      <c r="O110" s="16"/>
      <c r="P110" s="65"/>
      <c r="Q110" s="11">
        <f t="shared" si="1"/>
        <v>395.57</v>
      </c>
    </row>
    <row r="111" customHeight="1" spans="1:17">
      <c r="A111" s="7">
        <v>108</v>
      </c>
      <c r="B111" s="7" t="s">
        <v>234</v>
      </c>
      <c r="C111" s="10" t="s">
        <v>235</v>
      </c>
      <c r="D111" s="7"/>
      <c r="E111" s="7"/>
      <c r="F111" s="16"/>
      <c r="G111" s="16">
        <v>359.65</v>
      </c>
      <c r="H111" s="16"/>
      <c r="I111" s="16"/>
      <c r="J111" s="16"/>
      <c r="K111" s="16">
        <v>101.7</v>
      </c>
      <c r="L111" s="16"/>
      <c r="M111" s="16"/>
      <c r="N111" s="16"/>
      <c r="O111" s="16"/>
      <c r="P111" s="65"/>
      <c r="Q111" s="11">
        <f t="shared" si="1"/>
        <v>461.35</v>
      </c>
    </row>
    <row r="112" customHeight="1" spans="1:17">
      <c r="A112" s="7">
        <v>109</v>
      </c>
      <c r="B112" s="7" t="s">
        <v>236</v>
      </c>
      <c r="C112" s="10" t="s">
        <v>237</v>
      </c>
      <c r="D112" s="7"/>
      <c r="E112" s="7"/>
      <c r="F112" s="16"/>
      <c r="G112" s="16">
        <v>294.5</v>
      </c>
      <c r="H112" s="16"/>
      <c r="I112" s="16"/>
      <c r="J112" s="16"/>
      <c r="K112" s="16"/>
      <c r="L112" s="16">
        <v>101.7</v>
      </c>
      <c r="M112" s="16"/>
      <c r="N112" s="16"/>
      <c r="O112" s="16"/>
      <c r="P112" s="65"/>
      <c r="Q112" s="11">
        <f t="shared" si="1"/>
        <v>396.2</v>
      </c>
    </row>
    <row r="113" customHeight="1" spans="1:17">
      <c r="A113" s="7">
        <v>110</v>
      </c>
      <c r="B113" s="7" t="s">
        <v>238</v>
      </c>
      <c r="C113" s="10" t="s">
        <v>239</v>
      </c>
      <c r="D113" s="7"/>
      <c r="E113" s="7"/>
      <c r="F113" s="16"/>
      <c r="G113" s="16"/>
      <c r="H113" s="16">
        <v>294.5</v>
      </c>
      <c r="I113" s="16"/>
      <c r="J113" s="16"/>
      <c r="K113" s="16">
        <v>101.7</v>
      </c>
      <c r="L113" s="16"/>
      <c r="M113" s="16"/>
      <c r="N113" s="16"/>
      <c r="O113" s="16"/>
      <c r="P113" s="65"/>
      <c r="Q113" s="11">
        <f t="shared" si="1"/>
        <v>396.2</v>
      </c>
    </row>
    <row r="114" customHeight="1" spans="1:17">
      <c r="A114" s="7">
        <v>111</v>
      </c>
      <c r="B114" s="7" t="s">
        <v>240</v>
      </c>
      <c r="C114" s="10" t="s">
        <v>241</v>
      </c>
      <c r="D114" s="7"/>
      <c r="E114" s="7"/>
      <c r="F114" s="16"/>
      <c r="G114" s="16">
        <v>294.5</v>
      </c>
      <c r="H114" s="16"/>
      <c r="I114" s="16"/>
      <c r="J114" s="16"/>
      <c r="K114" s="16"/>
      <c r="L114" s="16"/>
      <c r="M114" s="16">
        <v>101.07</v>
      </c>
      <c r="N114" s="16"/>
      <c r="O114" s="16"/>
      <c r="P114" s="65"/>
      <c r="Q114" s="11">
        <f t="shared" si="1"/>
        <v>395.57</v>
      </c>
    </row>
    <row r="115" customHeight="1" spans="1:17">
      <c r="A115" s="7">
        <v>112</v>
      </c>
      <c r="B115" s="7" t="s">
        <v>242</v>
      </c>
      <c r="C115" s="10" t="s">
        <v>243</v>
      </c>
      <c r="D115" s="7"/>
      <c r="E115" s="7"/>
      <c r="F115" s="16"/>
      <c r="G115" s="16">
        <v>294.5</v>
      </c>
      <c r="H115" s="16"/>
      <c r="I115" s="16"/>
      <c r="J115" s="16"/>
      <c r="K115" s="16"/>
      <c r="L115" s="16">
        <v>101.7</v>
      </c>
      <c r="M115" s="16"/>
      <c r="N115" s="16"/>
      <c r="O115" s="16"/>
      <c r="P115" s="65"/>
      <c r="Q115" s="11">
        <f t="shared" si="1"/>
        <v>396.2</v>
      </c>
    </row>
    <row r="116" customHeight="1" spans="1:17">
      <c r="A116" s="7">
        <v>113</v>
      </c>
      <c r="B116" s="7" t="s">
        <v>244</v>
      </c>
      <c r="C116" s="10" t="s">
        <v>245</v>
      </c>
      <c r="D116" s="7"/>
      <c r="E116" s="7"/>
      <c r="F116" s="16"/>
      <c r="G116" s="16">
        <v>294.5</v>
      </c>
      <c r="H116" s="16"/>
      <c r="I116" s="16"/>
      <c r="J116" s="16"/>
      <c r="K116" s="16"/>
      <c r="L116" s="16"/>
      <c r="M116" s="16"/>
      <c r="N116" s="16"/>
      <c r="O116" s="16"/>
      <c r="P116" s="65"/>
      <c r="Q116" s="11">
        <f t="shared" si="1"/>
        <v>294.5</v>
      </c>
    </row>
    <row r="117" customHeight="1" spans="1:17">
      <c r="A117" s="7">
        <v>114</v>
      </c>
      <c r="B117" s="7" t="s">
        <v>246</v>
      </c>
      <c r="C117" s="10" t="s">
        <v>247</v>
      </c>
      <c r="D117" s="7"/>
      <c r="E117" s="7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65"/>
      <c r="Q117" s="11">
        <f t="shared" si="1"/>
        <v>0</v>
      </c>
    </row>
    <row r="118" customHeight="1" spans="1:17">
      <c r="A118" s="7">
        <v>115</v>
      </c>
      <c r="B118" s="7" t="s">
        <v>248</v>
      </c>
      <c r="C118" s="10" t="s">
        <v>249</v>
      </c>
      <c r="D118" s="7"/>
      <c r="E118" s="7"/>
      <c r="F118" s="16"/>
      <c r="G118" s="16">
        <v>654.15</v>
      </c>
      <c r="H118" s="16"/>
      <c r="I118" s="16"/>
      <c r="J118" s="16"/>
      <c r="K118" s="16">
        <v>101.7</v>
      </c>
      <c r="L118" s="16"/>
      <c r="M118" s="16"/>
      <c r="N118" s="16"/>
      <c r="O118" s="16"/>
      <c r="P118" s="65"/>
      <c r="Q118" s="11">
        <f t="shared" si="1"/>
        <v>755.85</v>
      </c>
    </row>
    <row r="119" customHeight="1" spans="1:17">
      <c r="A119" s="7">
        <v>116</v>
      </c>
      <c r="B119" s="7" t="s">
        <v>250</v>
      </c>
      <c r="C119" s="10" t="s">
        <v>251</v>
      </c>
      <c r="D119" s="7"/>
      <c r="E119" s="7"/>
      <c r="F119" s="16"/>
      <c r="G119" s="16">
        <v>294.5</v>
      </c>
      <c r="H119" s="16"/>
      <c r="I119" s="16"/>
      <c r="J119" s="16"/>
      <c r="K119" s="16">
        <v>101.7</v>
      </c>
      <c r="L119" s="16"/>
      <c r="M119" s="16"/>
      <c r="N119" s="16"/>
      <c r="O119" s="16"/>
      <c r="P119" s="65"/>
      <c r="Q119" s="11">
        <f t="shared" si="1"/>
        <v>396.2</v>
      </c>
    </row>
    <row r="120" customHeight="1" spans="1:17">
      <c r="A120" s="7">
        <v>117</v>
      </c>
      <c r="B120" s="7" t="s">
        <v>252</v>
      </c>
      <c r="C120" s="10" t="s">
        <v>253</v>
      </c>
      <c r="D120" s="7"/>
      <c r="E120" s="7"/>
      <c r="F120" s="16"/>
      <c r="G120" s="16"/>
      <c r="H120" s="16"/>
      <c r="I120" s="16"/>
      <c r="J120" s="16"/>
      <c r="K120" s="16">
        <v>101.7</v>
      </c>
      <c r="L120" s="16"/>
      <c r="M120" s="16"/>
      <c r="N120" s="16"/>
      <c r="O120" s="16"/>
      <c r="P120" s="65"/>
      <c r="Q120" s="11">
        <f t="shared" si="1"/>
        <v>101.7</v>
      </c>
    </row>
    <row r="121" customHeight="1" spans="1:17">
      <c r="A121" s="7">
        <v>118</v>
      </c>
      <c r="B121" s="7" t="s">
        <v>254</v>
      </c>
      <c r="C121" s="10" t="s">
        <v>255</v>
      </c>
      <c r="D121" s="7"/>
      <c r="E121" s="7"/>
      <c r="F121" s="16"/>
      <c r="G121" s="16">
        <v>294.5</v>
      </c>
      <c r="H121" s="16"/>
      <c r="I121" s="16"/>
      <c r="J121" s="16"/>
      <c r="K121" s="16"/>
      <c r="L121" s="16">
        <v>101.7</v>
      </c>
      <c r="M121" s="16"/>
      <c r="N121" s="16"/>
      <c r="O121" s="16"/>
      <c r="P121" s="65"/>
      <c r="Q121" s="11">
        <f t="shared" si="1"/>
        <v>396.2</v>
      </c>
    </row>
    <row r="122" customHeight="1" spans="1:17">
      <c r="A122" s="7">
        <v>119</v>
      </c>
      <c r="B122" s="7" t="s">
        <v>256</v>
      </c>
      <c r="C122" s="12" t="s">
        <v>257</v>
      </c>
      <c r="D122" s="7"/>
      <c r="E122" s="7"/>
      <c r="F122" s="16"/>
      <c r="G122" s="16">
        <v>238.93</v>
      </c>
      <c r="H122" s="16">
        <v>54.57</v>
      </c>
      <c r="I122" s="16"/>
      <c r="J122" s="16"/>
      <c r="K122" s="16">
        <v>101.7</v>
      </c>
      <c r="L122" s="16"/>
      <c r="M122" s="16"/>
      <c r="N122" s="16"/>
      <c r="O122" s="16"/>
      <c r="P122" s="65"/>
      <c r="Q122" s="11">
        <f t="shared" si="1"/>
        <v>395.2</v>
      </c>
    </row>
    <row r="123" customHeight="1" spans="1:17">
      <c r="A123" s="7">
        <v>120</v>
      </c>
      <c r="B123" s="7" t="s">
        <v>258</v>
      </c>
      <c r="C123" s="10" t="s">
        <v>259</v>
      </c>
      <c r="D123" s="7"/>
      <c r="E123" s="7"/>
      <c r="F123" s="16"/>
      <c r="G123" s="16"/>
      <c r="H123" s="16"/>
      <c r="I123" s="16"/>
      <c r="J123" s="16"/>
      <c r="K123" s="16"/>
      <c r="L123" s="16">
        <v>101.7</v>
      </c>
      <c r="M123" s="16"/>
      <c r="N123" s="16"/>
      <c r="O123" s="16"/>
      <c r="P123" s="65"/>
      <c r="Q123" s="11">
        <f t="shared" si="1"/>
        <v>101.7</v>
      </c>
    </row>
    <row r="124" customHeight="1" spans="1:17">
      <c r="A124" s="7">
        <v>121</v>
      </c>
      <c r="B124" s="7" t="s">
        <v>260</v>
      </c>
      <c r="C124" s="10" t="s">
        <v>261</v>
      </c>
      <c r="D124" s="7"/>
      <c r="E124" s="7"/>
      <c r="F124" s="16"/>
      <c r="G124" s="16">
        <v>294.5</v>
      </c>
      <c r="H124" s="16"/>
      <c r="I124" s="16"/>
      <c r="J124" s="16"/>
      <c r="K124" s="16">
        <v>101.7</v>
      </c>
      <c r="L124" s="16"/>
      <c r="M124" s="16"/>
      <c r="N124" s="16"/>
      <c r="O124" s="16">
        <v>101.7</v>
      </c>
      <c r="P124" s="65"/>
      <c r="Q124" s="11">
        <f t="shared" si="1"/>
        <v>497.9</v>
      </c>
    </row>
    <row r="125" customHeight="1" spans="1:17">
      <c r="A125" s="7">
        <v>122</v>
      </c>
      <c r="B125" s="7" t="s">
        <v>262</v>
      </c>
      <c r="C125" s="10" t="s">
        <v>263</v>
      </c>
      <c r="D125" s="7"/>
      <c r="E125" s="7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65"/>
      <c r="Q125" s="11">
        <f t="shared" si="1"/>
        <v>0</v>
      </c>
    </row>
    <row r="126" customHeight="1" spans="1:17">
      <c r="A126" s="7">
        <v>123</v>
      </c>
      <c r="B126" s="7" t="s">
        <v>264</v>
      </c>
      <c r="C126" s="10" t="s">
        <v>265</v>
      </c>
      <c r="D126" s="7"/>
      <c r="E126" s="7"/>
      <c r="F126" s="16"/>
      <c r="G126" s="16">
        <v>294.5</v>
      </c>
      <c r="H126" s="16"/>
      <c r="I126" s="16"/>
      <c r="J126" s="16"/>
      <c r="K126" s="16">
        <v>101.7</v>
      </c>
      <c r="L126" s="16"/>
      <c r="M126" s="16"/>
      <c r="N126" s="16">
        <v>101.7</v>
      </c>
      <c r="O126" s="16"/>
      <c r="P126" s="65"/>
      <c r="Q126" s="11">
        <f t="shared" si="1"/>
        <v>497.9</v>
      </c>
    </row>
    <row r="127" customHeight="1" spans="1:17">
      <c r="A127" s="7">
        <v>124</v>
      </c>
      <c r="B127" s="7" t="s">
        <v>266</v>
      </c>
      <c r="C127" s="10" t="s">
        <v>267</v>
      </c>
      <c r="D127" s="7"/>
      <c r="E127" s="7"/>
      <c r="F127" s="16"/>
      <c r="G127" s="16">
        <v>294.5</v>
      </c>
      <c r="H127" s="16"/>
      <c r="I127" s="16"/>
      <c r="J127" s="16"/>
      <c r="K127" s="16"/>
      <c r="L127" s="16"/>
      <c r="M127" s="16">
        <v>101.7</v>
      </c>
      <c r="N127" s="16"/>
      <c r="O127" s="16"/>
      <c r="P127" s="65"/>
      <c r="Q127" s="11">
        <f t="shared" si="1"/>
        <v>396.2</v>
      </c>
    </row>
    <row r="128" customHeight="1" spans="1:17">
      <c r="A128" s="7">
        <v>125</v>
      </c>
      <c r="B128" s="7" t="s">
        <v>268</v>
      </c>
      <c r="C128" s="16"/>
      <c r="D128" s="7"/>
      <c r="E128" s="7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65"/>
      <c r="Q128" s="11">
        <f t="shared" si="1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/>
      <c r="E129" s="7"/>
      <c r="F129" s="16"/>
      <c r="G129" s="16">
        <v>294.5</v>
      </c>
      <c r="H129" s="16"/>
      <c r="I129" s="16"/>
      <c r="J129" s="16"/>
      <c r="K129" s="16"/>
      <c r="L129" s="16"/>
      <c r="M129" s="16"/>
      <c r="N129" s="16"/>
      <c r="O129" s="16"/>
      <c r="P129" s="65"/>
      <c r="Q129" s="11">
        <f t="shared" si="1"/>
        <v>294.5</v>
      </c>
    </row>
    <row r="130" customHeight="1" spans="1:17">
      <c r="A130" s="7">
        <v>127</v>
      </c>
      <c r="B130" s="7" t="s">
        <v>271</v>
      </c>
      <c r="C130" s="10" t="s">
        <v>272</v>
      </c>
      <c r="D130" s="7"/>
      <c r="E130" s="7"/>
      <c r="F130" s="16"/>
      <c r="G130" s="16"/>
      <c r="H130" s="16">
        <v>654.15</v>
      </c>
      <c r="I130" s="16"/>
      <c r="J130" s="16"/>
      <c r="K130" s="16"/>
      <c r="L130" s="16">
        <v>101.7</v>
      </c>
      <c r="M130" s="16"/>
      <c r="N130" s="16"/>
      <c r="O130" s="16"/>
      <c r="P130" s="65"/>
      <c r="Q130" s="11">
        <f t="shared" si="1"/>
        <v>755.85</v>
      </c>
    </row>
    <row r="131" customHeight="1" spans="1:17">
      <c r="A131" s="7">
        <v>128</v>
      </c>
      <c r="B131" s="7" t="s">
        <v>273</v>
      </c>
      <c r="C131" s="10" t="s">
        <v>274</v>
      </c>
      <c r="D131" s="7"/>
      <c r="E131" s="7"/>
      <c r="F131" s="16"/>
      <c r="G131" s="16"/>
      <c r="H131" s="16"/>
      <c r="I131" s="16"/>
      <c r="J131" s="16"/>
      <c r="K131" s="16"/>
      <c r="L131" s="16">
        <v>101.7</v>
      </c>
      <c r="M131" s="16"/>
      <c r="N131" s="16"/>
      <c r="O131" s="16"/>
      <c r="P131" s="65"/>
      <c r="Q131" s="11">
        <f t="shared" si="1"/>
        <v>101.7</v>
      </c>
    </row>
    <row r="132" customHeight="1" spans="1:17">
      <c r="A132" s="7">
        <v>129</v>
      </c>
      <c r="B132" s="16"/>
      <c r="C132" s="16" t="s">
        <v>275</v>
      </c>
      <c r="D132" s="16">
        <f t="shared" ref="D132:Q132" si="2">SUM(D4:D131)</f>
        <v>0</v>
      </c>
      <c r="E132" s="16">
        <f t="shared" si="2"/>
        <v>0</v>
      </c>
      <c r="F132" s="16">
        <f t="shared" si="2"/>
        <v>235.86</v>
      </c>
      <c r="G132" s="16">
        <f t="shared" si="2"/>
        <v>23308.03</v>
      </c>
      <c r="H132" s="16">
        <f t="shared" si="2"/>
        <v>8177.48</v>
      </c>
      <c r="I132" s="16">
        <f t="shared" si="2"/>
        <v>1517.9</v>
      </c>
      <c r="J132" s="16">
        <f t="shared" si="2"/>
        <v>634.86</v>
      </c>
      <c r="K132" s="16">
        <f t="shared" si="2"/>
        <v>4952.52</v>
      </c>
      <c r="L132" s="16">
        <f t="shared" si="2"/>
        <v>3190.74</v>
      </c>
      <c r="M132" s="16">
        <f t="shared" si="2"/>
        <v>1909.02</v>
      </c>
      <c r="N132" s="16">
        <f t="shared" si="2"/>
        <v>524.94</v>
      </c>
      <c r="O132" s="16">
        <f t="shared" si="2"/>
        <v>634.86</v>
      </c>
      <c r="P132" s="65">
        <f t="shared" si="2"/>
        <v>1921.02</v>
      </c>
      <c r="Q132" s="16">
        <f t="shared" si="2"/>
        <v>47007.2299999999</v>
      </c>
    </row>
    <row r="133" customHeight="1" spans="4:4">
      <c r="D133" s="47">
        <v>60650</v>
      </c>
    </row>
  </sheetData>
  <mergeCells count="3">
    <mergeCell ref="A1:Q1"/>
    <mergeCell ref="A2:D2"/>
    <mergeCell ref="O2:Q2"/>
  </mergeCells>
  <conditionalFormatting sqref="C4:C67">
    <cfRule type="cellIs" dxfId="1" priority="4" operator="equal">
      <formula>0</formula>
    </cfRule>
    <cfRule type="duplicateValues" dxfId="0" priority="3"/>
  </conditionalFormatting>
  <conditionalFormatting sqref="C68:C127 C129:C131">
    <cfRule type="cellIs" dxfId="1" priority="2" operator="equal">
      <formula>0</formula>
    </cfRule>
    <cfRule type="cellIs" dxfId="1" priority="1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3"/>
  <sheetViews>
    <sheetView topLeftCell="A132" workbookViewId="0">
      <selection activeCell="D395" sqref="D395"/>
    </sheetView>
  </sheetViews>
  <sheetFormatPr defaultColWidth="9" defaultRowHeight="35" customHeight="1"/>
  <cols>
    <col min="1" max="2" width="9" style="3"/>
    <col min="3" max="3" width="11.5" style="3" customWidth="1"/>
    <col min="4" max="4" width="17.6333333333333" style="3" customWidth="1"/>
    <col min="5" max="5" width="8.88333333333333" style="3" customWidth="1"/>
    <col min="6" max="6" width="10.5" style="3" customWidth="1"/>
    <col min="7" max="14" width="9" style="3"/>
    <col min="15" max="15" width="9" style="1"/>
    <col min="16" max="16" width="9" style="3"/>
    <col min="17" max="17" width="11" style="1" customWidth="1"/>
    <col min="18" max="16384" width="9" style="2"/>
  </cols>
  <sheetData>
    <row r="1" customHeight="1" spans="1:17">
      <c r="A1" s="4" t="s">
        <v>280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1" customHeight="1" spans="1:17">
      <c r="A2" s="5" t="s">
        <v>1</v>
      </c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13" t="s">
        <v>2</v>
      </c>
      <c r="P2" s="50"/>
      <c r="Q2" s="13"/>
    </row>
    <row r="3" s="1" customFormat="1" ht="48" customHeight="1" spans="1:17">
      <c r="A3" s="7" t="s">
        <v>3</v>
      </c>
      <c r="B3" s="7" t="s">
        <v>4</v>
      </c>
      <c r="C3" s="7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14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/>
      <c r="E4" s="7"/>
      <c r="F4" s="16"/>
      <c r="G4" s="54">
        <v>256.31</v>
      </c>
      <c r="H4" s="16"/>
      <c r="I4" s="16"/>
      <c r="J4" s="16"/>
      <c r="K4" s="16"/>
      <c r="L4" s="56">
        <v>168.6</v>
      </c>
      <c r="M4" s="16"/>
      <c r="N4" s="16"/>
      <c r="O4" s="11"/>
      <c r="P4" s="16"/>
      <c r="Q4" s="11">
        <f t="shared" ref="Q4:Q67" si="0">D4+E4+F4+G4+H4+I4+J4+K4+L4+M4+N4+O4+P4</f>
        <v>424.91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/>
      <c r="E5" s="7"/>
      <c r="F5" s="16"/>
      <c r="G5" s="54">
        <v>255.57</v>
      </c>
      <c r="H5" s="16"/>
      <c r="I5" s="16"/>
      <c r="J5" s="16"/>
      <c r="K5" s="57">
        <v>168.6</v>
      </c>
      <c r="L5" s="16"/>
      <c r="M5" s="16"/>
      <c r="N5" s="16"/>
      <c r="O5" s="11"/>
      <c r="P5" s="16">
        <v>89.76</v>
      </c>
      <c r="Q5" s="11">
        <f t="shared" si="0"/>
        <v>513.93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/>
      <c r="E6" s="7"/>
      <c r="F6" s="16"/>
      <c r="G6" s="54">
        <v>256.31</v>
      </c>
      <c r="H6" s="16"/>
      <c r="I6" s="16"/>
      <c r="J6" s="16"/>
      <c r="K6" s="57">
        <v>168.6</v>
      </c>
      <c r="L6" s="16"/>
      <c r="M6" s="16"/>
      <c r="N6" s="16"/>
      <c r="O6" s="11"/>
      <c r="P6" s="16">
        <v>89.76</v>
      </c>
      <c r="Q6" s="11">
        <f t="shared" si="0"/>
        <v>514.67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/>
      <c r="E7" s="7"/>
      <c r="F7" s="16"/>
      <c r="G7" s="54">
        <v>256.31</v>
      </c>
      <c r="H7" s="16"/>
      <c r="I7" s="16"/>
      <c r="J7" s="16"/>
      <c r="K7" s="57">
        <v>168.6</v>
      </c>
      <c r="L7" s="16"/>
      <c r="M7" s="16"/>
      <c r="N7" s="16"/>
      <c r="O7" s="11"/>
      <c r="P7" s="16"/>
      <c r="Q7" s="11">
        <f t="shared" si="0"/>
        <v>424.91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/>
      <c r="E8" s="7"/>
      <c r="F8" s="16"/>
      <c r="G8" s="54">
        <v>256.31</v>
      </c>
      <c r="H8" s="16"/>
      <c r="I8" s="16"/>
      <c r="J8" s="16"/>
      <c r="K8" s="57"/>
      <c r="L8" s="57">
        <v>168.6</v>
      </c>
      <c r="M8" s="16"/>
      <c r="N8" s="16"/>
      <c r="O8" s="11"/>
      <c r="P8" s="16"/>
      <c r="Q8" s="11">
        <f t="shared" si="0"/>
        <v>424.91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/>
      <c r="E9" s="7"/>
      <c r="F9" s="16"/>
      <c r="G9" s="54">
        <v>256.31</v>
      </c>
      <c r="H9" s="16"/>
      <c r="I9" s="16"/>
      <c r="J9" s="16"/>
      <c r="K9" s="57">
        <v>168.6</v>
      </c>
      <c r="L9" s="16"/>
      <c r="M9" s="16"/>
      <c r="N9" s="16"/>
      <c r="O9" s="11"/>
      <c r="P9" s="16">
        <v>89.76</v>
      </c>
      <c r="Q9" s="11">
        <f t="shared" si="0"/>
        <v>514.67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/>
      <c r="E10" s="7"/>
      <c r="F10" s="16"/>
      <c r="G10" s="54">
        <f>472.1+104.47</f>
        <v>576.57</v>
      </c>
      <c r="H10" s="16"/>
      <c r="I10" s="16"/>
      <c r="J10" s="16"/>
      <c r="K10" s="57">
        <v>168.6</v>
      </c>
      <c r="L10" s="16"/>
      <c r="M10" s="16"/>
      <c r="N10" s="16"/>
      <c r="O10" s="11"/>
      <c r="P10" s="16">
        <v>89.76</v>
      </c>
      <c r="Q10" s="11">
        <f t="shared" si="0"/>
        <v>834.93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/>
      <c r="E11" s="7"/>
      <c r="F11" s="16"/>
      <c r="G11" s="54">
        <v>256.31</v>
      </c>
      <c r="H11" s="16"/>
      <c r="I11" s="16"/>
      <c r="J11" s="16"/>
      <c r="K11" s="57">
        <v>168.6</v>
      </c>
      <c r="L11" s="16"/>
      <c r="M11" s="16"/>
      <c r="N11" s="16"/>
      <c r="O11" s="11"/>
      <c r="P11" s="16">
        <v>89.76</v>
      </c>
      <c r="Q11" s="11">
        <f t="shared" si="0"/>
        <v>514.67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/>
      <c r="E12" s="7"/>
      <c r="F12" s="16"/>
      <c r="G12" s="54">
        <v>256.31</v>
      </c>
      <c r="H12" s="16"/>
      <c r="I12" s="16"/>
      <c r="J12" s="16"/>
      <c r="K12" s="16"/>
      <c r="L12" s="16"/>
      <c r="M12" s="16"/>
      <c r="N12" s="16"/>
      <c r="O12" s="11"/>
      <c r="P12" s="16">
        <v>258.36</v>
      </c>
      <c r="Q12" s="11">
        <f t="shared" si="0"/>
        <v>514.67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/>
      <c r="E13" s="7"/>
      <c r="F13" s="16"/>
      <c r="G13" s="16"/>
      <c r="H13" s="16"/>
      <c r="I13" s="57">
        <v>200</v>
      </c>
      <c r="J13" s="16"/>
      <c r="K13" s="57">
        <v>256.31</v>
      </c>
      <c r="L13" s="16"/>
      <c r="M13" s="16"/>
      <c r="N13" s="16"/>
      <c r="O13" s="11"/>
      <c r="P13" s="16">
        <v>168.6</v>
      </c>
      <c r="Q13" s="11">
        <f t="shared" si="0"/>
        <v>624.91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/>
      <c r="E14" s="7"/>
      <c r="F14" s="16"/>
      <c r="G14" s="16"/>
      <c r="H14" s="16"/>
      <c r="I14" s="16"/>
      <c r="J14" s="16"/>
      <c r="K14" s="16"/>
      <c r="L14" s="16"/>
      <c r="M14" s="16"/>
      <c r="N14" s="16"/>
      <c r="O14" s="11"/>
      <c r="P14" s="16"/>
      <c r="Q14" s="11">
        <f t="shared" si="0"/>
        <v>0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/>
      <c r="E15" s="7"/>
      <c r="F15" s="16"/>
      <c r="G15" s="16"/>
      <c r="H15" s="55">
        <v>256.31</v>
      </c>
      <c r="I15" s="16"/>
      <c r="J15" s="16"/>
      <c r="K15" s="57">
        <v>168.6</v>
      </c>
      <c r="L15" s="16"/>
      <c r="M15" s="16"/>
      <c r="N15" s="16"/>
      <c r="O15" s="11"/>
      <c r="P15" s="16">
        <v>89.76</v>
      </c>
      <c r="Q15" s="11">
        <f t="shared" si="0"/>
        <v>514.67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/>
      <c r="E16" s="7"/>
      <c r="F16" s="16"/>
      <c r="G16" s="54">
        <v>146.45</v>
      </c>
      <c r="H16" s="16"/>
      <c r="I16" s="16"/>
      <c r="J16" s="16"/>
      <c r="K16" s="57">
        <v>168.6</v>
      </c>
      <c r="L16" s="16"/>
      <c r="M16" s="16"/>
      <c r="N16" s="16"/>
      <c r="O16" s="11"/>
      <c r="P16" s="16">
        <v>89.76</v>
      </c>
      <c r="Q16" s="11">
        <f t="shared" si="0"/>
        <v>404.81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/>
      <c r="E17" s="7"/>
      <c r="F17" s="16"/>
      <c r="G17" s="16"/>
      <c r="H17" s="16"/>
      <c r="I17" s="16"/>
      <c r="J17" s="16"/>
      <c r="K17" s="16"/>
      <c r="L17" s="16"/>
      <c r="M17" s="16"/>
      <c r="N17" s="16"/>
      <c r="O17" s="11"/>
      <c r="P17" s="16"/>
      <c r="Q17" s="11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/>
      <c r="E18" s="7"/>
      <c r="F18" s="16"/>
      <c r="G18" s="16"/>
      <c r="H18" s="16"/>
      <c r="I18" s="16"/>
      <c r="J18" s="16"/>
      <c r="K18" s="16"/>
      <c r="L18" s="16"/>
      <c r="M18" s="16"/>
      <c r="N18" s="16"/>
      <c r="O18" s="11"/>
      <c r="P18" s="16"/>
      <c r="Q18" s="11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/>
      <c r="E19" s="7"/>
      <c r="F19" s="16"/>
      <c r="G19" s="54">
        <v>256.37</v>
      </c>
      <c r="H19" s="16"/>
      <c r="I19" s="16"/>
      <c r="J19" s="16"/>
      <c r="K19" s="57">
        <v>168.6</v>
      </c>
      <c r="L19" s="16"/>
      <c r="M19" s="16"/>
      <c r="N19" s="16"/>
      <c r="O19" s="11"/>
      <c r="P19" s="16">
        <v>89.76</v>
      </c>
      <c r="Q19" s="11">
        <f t="shared" si="0"/>
        <v>514.73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/>
      <c r="E20" s="7"/>
      <c r="F20" s="16"/>
      <c r="G20" s="16"/>
      <c r="H20" s="55">
        <v>256.31</v>
      </c>
      <c r="I20" s="16"/>
      <c r="J20" s="16"/>
      <c r="K20" s="57">
        <v>168.6</v>
      </c>
      <c r="L20" s="16"/>
      <c r="M20" s="16"/>
      <c r="N20" s="16"/>
      <c r="O20" s="11"/>
      <c r="P20" s="16">
        <v>89.76</v>
      </c>
      <c r="Q20" s="11">
        <f t="shared" si="0"/>
        <v>514.67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/>
      <c r="E21" s="7"/>
      <c r="F21" s="16"/>
      <c r="G21" s="54">
        <v>146.39</v>
      </c>
      <c r="H21" s="16"/>
      <c r="I21" s="16"/>
      <c r="J21" s="16"/>
      <c r="K21" s="16"/>
      <c r="L21" s="16"/>
      <c r="M21" s="16"/>
      <c r="N21" s="16"/>
      <c r="O21" s="11"/>
      <c r="P21" s="16">
        <v>258.36</v>
      </c>
      <c r="Q21" s="11">
        <f t="shared" si="0"/>
        <v>404.75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/>
      <c r="E22" s="7"/>
      <c r="F22" s="16"/>
      <c r="G22" s="54">
        <v>256.31</v>
      </c>
      <c r="H22" s="16"/>
      <c r="I22" s="16"/>
      <c r="J22" s="16"/>
      <c r="K22" s="57">
        <v>168.6</v>
      </c>
      <c r="L22" s="16"/>
      <c r="M22" s="16"/>
      <c r="N22" s="16"/>
      <c r="O22" s="11"/>
      <c r="P22" s="16"/>
      <c r="Q22" s="11">
        <f t="shared" si="0"/>
        <v>424.91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/>
      <c r="E23" s="7"/>
      <c r="F23" s="16"/>
      <c r="G23" s="54">
        <v>256.31</v>
      </c>
      <c r="H23" s="16"/>
      <c r="I23" s="16"/>
      <c r="J23" s="16"/>
      <c r="K23" s="57">
        <v>168.6</v>
      </c>
      <c r="L23" s="16"/>
      <c r="M23" s="16"/>
      <c r="N23" s="16"/>
      <c r="O23" s="11"/>
      <c r="P23" s="16"/>
      <c r="Q23" s="11">
        <f t="shared" si="0"/>
        <v>424.91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/>
      <c r="E24" s="7"/>
      <c r="F24" s="16"/>
      <c r="G24" s="54">
        <v>256.31</v>
      </c>
      <c r="H24" s="16"/>
      <c r="I24" s="16"/>
      <c r="J24" s="16"/>
      <c r="K24" s="57">
        <v>168.6</v>
      </c>
      <c r="L24" s="16"/>
      <c r="M24" s="16"/>
      <c r="N24" s="16"/>
      <c r="O24" s="11"/>
      <c r="P24" s="16">
        <v>89.76</v>
      </c>
      <c r="Q24" s="11">
        <f t="shared" si="0"/>
        <v>514.67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/>
      <c r="E25" s="7"/>
      <c r="F25" s="16"/>
      <c r="G25" s="54">
        <v>256.31</v>
      </c>
      <c r="H25" s="16"/>
      <c r="I25" s="16"/>
      <c r="J25" s="16"/>
      <c r="K25" s="57">
        <v>168.6</v>
      </c>
      <c r="L25" s="16"/>
      <c r="M25" s="16"/>
      <c r="N25" s="16"/>
      <c r="O25" s="11"/>
      <c r="P25" s="16">
        <v>89.76</v>
      </c>
      <c r="Q25" s="11">
        <f t="shared" si="0"/>
        <v>514.67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/>
      <c r="E26" s="7"/>
      <c r="F26" s="16"/>
      <c r="G26" s="16"/>
      <c r="H26" s="16"/>
      <c r="I26" s="16"/>
      <c r="J26" s="16"/>
      <c r="K26" s="57">
        <v>256.31</v>
      </c>
      <c r="L26" s="16"/>
      <c r="M26" s="16"/>
      <c r="N26" s="16"/>
      <c r="O26" s="11"/>
      <c r="P26" s="16">
        <v>258.36</v>
      </c>
      <c r="Q26" s="11">
        <f t="shared" si="0"/>
        <v>514.67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/>
      <c r="E27" s="7"/>
      <c r="F27" s="16"/>
      <c r="G27" s="16"/>
      <c r="H27" s="16"/>
      <c r="I27" s="16"/>
      <c r="J27" s="16"/>
      <c r="K27" s="57">
        <v>256.31</v>
      </c>
      <c r="L27" s="16"/>
      <c r="M27" s="16"/>
      <c r="N27" s="16"/>
      <c r="O27" s="11"/>
      <c r="P27" s="16">
        <v>258.36</v>
      </c>
      <c r="Q27" s="11">
        <f t="shared" si="0"/>
        <v>514.67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/>
      <c r="E28" s="7"/>
      <c r="F28" s="16"/>
      <c r="G28" s="54">
        <v>256.31</v>
      </c>
      <c r="H28" s="16"/>
      <c r="I28" s="16"/>
      <c r="J28" s="16"/>
      <c r="K28" s="57">
        <v>168.6</v>
      </c>
      <c r="L28" s="16"/>
      <c r="M28" s="16"/>
      <c r="N28" s="16"/>
      <c r="O28" s="11"/>
      <c r="P28" s="16">
        <v>89.76</v>
      </c>
      <c r="Q28" s="11">
        <f t="shared" si="0"/>
        <v>514.67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/>
      <c r="E29" s="7"/>
      <c r="F29" s="16"/>
      <c r="G29" s="54">
        <v>576.57</v>
      </c>
      <c r="H29" s="16"/>
      <c r="I29" s="16"/>
      <c r="J29" s="16"/>
      <c r="K29" s="16"/>
      <c r="L29" s="16"/>
      <c r="M29" s="16"/>
      <c r="N29" s="16"/>
      <c r="O29" s="11"/>
      <c r="P29" s="16">
        <v>258.36</v>
      </c>
      <c r="Q29" s="11">
        <f t="shared" si="0"/>
        <v>834.93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/>
      <c r="E30" s="7"/>
      <c r="F30" s="16"/>
      <c r="G30" s="54">
        <v>256.31</v>
      </c>
      <c r="H30" s="16"/>
      <c r="I30" s="16"/>
      <c r="J30" s="16"/>
      <c r="K30" s="16"/>
      <c r="L30" s="16">
        <v>168.6</v>
      </c>
      <c r="M30" s="16"/>
      <c r="N30" s="16"/>
      <c r="O30" s="11"/>
      <c r="P30" s="16">
        <v>89.76</v>
      </c>
      <c r="Q30" s="11">
        <f t="shared" si="0"/>
        <v>514.67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/>
      <c r="E31" s="7"/>
      <c r="F31" s="16"/>
      <c r="G31" s="16"/>
      <c r="H31" s="16"/>
      <c r="I31" s="16"/>
      <c r="J31" s="16"/>
      <c r="K31" s="57">
        <v>256.31</v>
      </c>
      <c r="L31" s="16"/>
      <c r="M31" s="16"/>
      <c r="N31" s="16"/>
      <c r="O31" s="11"/>
      <c r="P31" s="16">
        <v>258.36</v>
      </c>
      <c r="Q31" s="11">
        <f t="shared" si="0"/>
        <v>514.67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/>
      <c r="E32" s="7"/>
      <c r="F32" s="16"/>
      <c r="G32" s="54">
        <v>256.31</v>
      </c>
      <c r="H32" s="16"/>
      <c r="I32" s="16"/>
      <c r="J32" s="16"/>
      <c r="K32" s="57">
        <v>168.6</v>
      </c>
      <c r="L32" s="16"/>
      <c r="M32" s="16"/>
      <c r="N32" s="16"/>
      <c r="O32" s="11"/>
      <c r="P32" s="16">
        <v>89.76</v>
      </c>
      <c r="Q32" s="11">
        <f t="shared" si="0"/>
        <v>514.67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/>
      <c r="E33" s="7"/>
      <c r="F33" s="16"/>
      <c r="G33" s="54">
        <v>256.31</v>
      </c>
      <c r="H33" s="16"/>
      <c r="I33" s="16"/>
      <c r="J33" s="16"/>
      <c r="K33" s="57">
        <v>168.6</v>
      </c>
      <c r="L33" s="16"/>
      <c r="M33" s="16"/>
      <c r="N33" s="16"/>
      <c r="O33" s="11"/>
      <c r="P33" s="16"/>
      <c r="Q33" s="11">
        <f t="shared" si="0"/>
        <v>424.91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/>
      <c r="E34" s="7"/>
      <c r="F34" s="16"/>
      <c r="G34" s="16"/>
      <c r="H34" s="55">
        <v>256.31</v>
      </c>
      <c r="I34" s="16"/>
      <c r="J34" s="16"/>
      <c r="K34" s="57"/>
      <c r="L34" s="56">
        <v>168.6</v>
      </c>
      <c r="M34" s="16"/>
      <c r="N34" s="16"/>
      <c r="O34" s="11"/>
      <c r="P34" s="16"/>
      <c r="Q34" s="11">
        <f t="shared" si="0"/>
        <v>424.91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/>
      <c r="E35" s="7"/>
      <c r="F35" s="16"/>
      <c r="G35" s="54">
        <v>256.31</v>
      </c>
      <c r="H35" s="16"/>
      <c r="I35" s="16"/>
      <c r="J35" s="16"/>
      <c r="K35" s="57">
        <v>168.6</v>
      </c>
      <c r="L35" s="16"/>
      <c r="M35" s="16"/>
      <c r="N35" s="16"/>
      <c r="O35" s="11"/>
      <c r="P35" s="16">
        <v>89.76</v>
      </c>
      <c r="Q35" s="11">
        <f t="shared" si="0"/>
        <v>514.67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/>
      <c r="E36" s="7"/>
      <c r="F36" s="16"/>
      <c r="G36" s="16"/>
      <c r="H36" s="16"/>
      <c r="I36" s="16"/>
      <c r="J36" s="16"/>
      <c r="K36" s="16"/>
      <c r="L36" s="16"/>
      <c r="M36" s="16"/>
      <c r="N36" s="16"/>
      <c r="O36" s="11"/>
      <c r="P36" s="16"/>
      <c r="Q36" s="11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/>
      <c r="E37" s="7"/>
      <c r="F37" s="16"/>
      <c r="G37" s="54">
        <v>256.31</v>
      </c>
      <c r="H37" s="16"/>
      <c r="I37" s="16"/>
      <c r="J37" s="16"/>
      <c r="K37" s="57">
        <v>168.6</v>
      </c>
      <c r="L37" s="16"/>
      <c r="M37" s="16"/>
      <c r="N37" s="16"/>
      <c r="O37" s="11"/>
      <c r="P37" s="16">
        <v>89.76</v>
      </c>
      <c r="Q37" s="11">
        <f t="shared" si="0"/>
        <v>514.67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/>
      <c r="E38" s="7"/>
      <c r="F38" s="16"/>
      <c r="G38" s="54">
        <v>256.31</v>
      </c>
      <c r="H38" s="16"/>
      <c r="I38" s="16"/>
      <c r="J38" s="16"/>
      <c r="K38" s="57">
        <v>168.6</v>
      </c>
      <c r="L38" s="16"/>
      <c r="M38" s="16"/>
      <c r="N38" s="16"/>
      <c r="O38" s="11"/>
      <c r="P38" s="16">
        <v>89.76</v>
      </c>
      <c r="Q38" s="11">
        <f t="shared" si="0"/>
        <v>514.67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/>
      <c r="E39" s="7"/>
      <c r="F39" s="16"/>
      <c r="G39" s="54">
        <v>256.31</v>
      </c>
      <c r="H39" s="16"/>
      <c r="I39" s="16"/>
      <c r="J39" s="16"/>
      <c r="K39" s="57">
        <v>168.6</v>
      </c>
      <c r="L39" s="16"/>
      <c r="M39" s="16"/>
      <c r="N39" s="16"/>
      <c r="O39" s="11"/>
      <c r="P39" s="16">
        <v>89.76</v>
      </c>
      <c r="Q39" s="11">
        <f t="shared" si="0"/>
        <v>514.67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/>
      <c r="E40" s="7"/>
      <c r="F40" s="16"/>
      <c r="G40" s="54">
        <v>256.31</v>
      </c>
      <c r="H40" s="16"/>
      <c r="I40" s="16"/>
      <c r="J40" s="16"/>
      <c r="K40" s="57">
        <v>168.6</v>
      </c>
      <c r="L40" s="16"/>
      <c r="M40" s="16"/>
      <c r="N40" s="16"/>
      <c r="O40" s="11"/>
      <c r="P40" s="16">
        <v>89.76</v>
      </c>
      <c r="Q40" s="11">
        <f t="shared" si="0"/>
        <v>514.67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/>
      <c r="E41" s="7"/>
      <c r="F41" s="16"/>
      <c r="G41" s="54">
        <v>256.31</v>
      </c>
      <c r="H41" s="16"/>
      <c r="I41" s="16"/>
      <c r="J41" s="16"/>
      <c r="K41" s="57">
        <v>168.6</v>
      </c>
      <c r="L41" s="16"/>
      <c r="M41" s="16"/>
      <c r="N41" s="16"/>
      <c r="O41" s="11"/>
      <c r="P41" s="16">
        <v>89.76</v>
      </c>
      <c r="Q41" s="11">
        <f t="shared" si="0"/>
        <v>514.67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/>
      <c r="E42" s="7"/>
      <c r="F42" s="16"/>
      <c r="G42" s="54">
        <v>256.31</v>
      </c>
      <c r="H42" s="16"/>
      <c r="I42" s="16"/>
      <c r="J42" s="16"/>
      <c r="K42" s="57">
        <v>168.6</v>
      </c>
      <c r="L42" s="16"/>
      <c r="M42" s="16"/>
      <c r="N42" s="16"/>
      <c r="O42" s="11"/>
      <c r="P42" s="16"/>
      <c r="Q42" s="11">
        <f t="shared" si="0"/>
        <v>424.91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/>
      <c r="E43" s="7"/>
      <c r="F43" s="16"/>
      <c r="G43" s="54">
        <v>256.31</v>
      </c>
      <c r="H43" s="16"/>
      <c r="I43" s="16"/>
      <c r="J43" s="16"/>
      <c r="K43" s="57">
        <v>168.6</v>
      </c>
      <c r="L43" s="16"/>
      <c r="M43" s="16"/>
      <c r="N43" s="16"/>
      <c r="O43" s="11"/>
      <c r="P43" s="16">
        <v>89.76</v>
      </c>
      <c r="Q43" s="11">
        <f t="shared" si="0"/>
        <v>514.67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/>
      <c r="E44" s="7"/>
      <c r="F44" s="16"/>
      <c r="G44" s="54">
        <v>256.31</v>
      </c>
      <c r="H44" s="16"/>
      <c r="I44" s="16"/>
      <c r="J44" s="16"/>
      <c r="K44" s="57">
        <v>168.6</v>
      </c>
      <c r="L44" s="16"/>
      <c r="M44" s="16"/>
      <c r="N44" s="16"/>
      <c r="O44" s="11"/>
      <c r="P44" s="16"/>
      <c r="Q44" s="11">
        <f t="shared" si="0"/>
        <v>424.91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/>
      <c r="E45" s="7"/>
      <c r="F45" s="16"/>
      <c r="G45" s="54">
        <v>256.31</v>
      </c>
      <c r="H45" s="16"/>
      <c r="I45" s="16"/>
      <c r="J45" s="16"/>
      <c r="K45" s="57">
        <v>168.6</v>
      </c>
      <c r="L45" s="16"/>
      <c r="M45" s="16"/>
      <c r="N45" s="16"/>
      <c r="O45" s="11"/>
      <c r="P45" s="16">
        <v>89.76</v>
      </c>
      <c r="Q45" s="11">
        <f t="shared" si="0"/>
        <v>514.67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/>
      <c r="E46" s="7"/>
      <c r="F46" s="16"/>
      <c r="G46" s="16"/>
      <c r="H46" s="16"/>
      <c r="I46" s="57">
        <v>256.31</v>
      </c>
      <c r="J46" s="16"/>
      <c r="K46" s="57">
        <v>256.31</v>
      </c>
      <c r="L46" s="16"/>
      <c r="M46" s="16"/>
      <c r="N46" s="16"/>
      <c r="O46" s="11"/>
      <c r="P46" s="16">
        <v>258.36</v>
      </c>
      <c r="Q46" s="11">
        <f t="shared" si="0"/>
        <v>770.98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/>
      <c r="E47" s="7"/>
      <c r="F47" s="16"/>
      <c r="G47" s="54">
        <v>256.31</v>
      </c>
      <c r="H47" s="16"/>
      <c r="I47" s="16"/>
      <c r="J47" s="16"/>
      <c r="K47" s="57"/>
      <c r="L47" s="16"/>
      <c r="M47" s="16"/>
      <c r="N47" s="16"/>
      <c r="O47" s="11"/>
      <c r="P47" s="16">
        <v>258.36</v>
      </c>
      <c r="Q47" s="11">
        <f t="shared" si="0"/>
        <v>514.67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/>
      <c r="E48" s="7"/>
      <c r="F48" s="16">
        <v>256.31</v>
      </c>
      <c r="G48" s="54">
        <v>143.51</v>
      </c>
      <c r="H48" s="16"/>
      <c r="I48" s="16"/>
      <c r="J48" s="16"/>
      <c r="K48" s="57">
        <v>168.6</v>
      </c>
      <c r="L48" s="16"/>
      <c r="M48" s="16"/>
      <c r="N48" s="16"/>
      <c r="O48" s="11"/>
      <c r="P48" s="16">
        <v>89.76</v>
      </c>
      <c r="Q48" s="11">
        <f t="shared" si="0"/>
        <v>658.18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/>
      <c r="E49" s="7"/>
      <c r="F49" s="16"/>
      <c r="G49" s="54">
        <v>256.31</v>
      </c>
      <c r="H49" s="16"/>
      <c r="I49" s="16"/>
      <c r="J49" s="16"/>
      <c r="K49" s="57">
        <v>168.6</v>
      </c>
      <c r="L49" s="16"/>
      <c r="M49" s="16"/>
      <c r="N49" s="16"/>
      <c r="O49" s="11"/>
      <c r="P49" s="16">
        <v>89.76</v>
      </c>
      <c r="Q49" s="11">
        <f t="shared" si="0"/>
        <v>514.67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/>
      <c r="E50" s="7"/>
      <c r="F50" s="16"/>
      <c r="G50" s="54">
        <v>256.31</v>
      </c>
      <c r="H50" s="16"/>
      <c r="I50" s="16"/>
      <c r="J50" s="16"/>
      <c r="K50" s="57">
        <v>168.6</v>
      </c>
      <c r="L50" s="16"/>
      <c r="M50" s="16"/>
      <c r="N50" s="16"/>
      <c r="O50" s="11"/>
      <c r="P50" s="16">
        <v>89.76</v>
      </c>
      <c r="Q50" s="11">
        <f t="shared" si="0"/>
        <v>514.67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/>
      <c r="E51" s="7"/>
      <c r="F51" s="16"/>
      <c r="G51" s="16"/>
      <c r="H51" s="55">
        <v>186.96</v>
      </c>
      <c r="I51" s="16"/>
      <c r="J51" s="16"/>
      <c r="K51" s="57">
        <f>183.77+168.6</f>
        <v>352.37</v>
      </c>
      <c r="L51" s="57">
        <v>72.54</v>
      </c>
      <c r="M51" s="16"/>
      <c r="N51" s="16"/>
      <c r="O51" s="11"/>
      <c r="P51" s="16">
        <v>89.76</v>
      </c>
      <c r="Q51" s="11">
        <f t="shared" si="0"/>
        <v>701.63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/>
      <c r="E52" s="7"/>
      <c r="F52" s="16"/>
      <c r="G52" s="16"/>
      <c r="H52" s="16"/>
      <c r="I52" s="16"/>
      <c r="J52" s="16"/>
      <c r="K52" s="57">
        <f>256.31+168.6</f>
        <v>424.91</v>
      </c>
      <c r="L52" s="57"/>
      <c r="M52" s="16"/>
      <c r="N52" s="16"/>
      <c r="O52" s="11"/>
      <c r="P52" s="16"/>
      <c r="Q52" s="11">
        <f t="shared" si="0"/>
        <v>424.91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/>
      <c r="E53" s="7"/>
      <c r="F53" s="16"/>
      <c r="G53" s="54">
        <v>256.31</v>
      </c>
      <c r="H53" s="16"/>
      <c r="I53" s="16"/>
      <c r="J53" s="16"/>
      <c r="K53" s="57"/>
      <c r="L53" s="57">
        <v>168.6</v>
      </c>
      <c r="M53" s="16"/>
      <c r="N53" s="16"/>
      <c r="O53" s="11"/>
      <c r="P53" s="16">
        <v>89.76</v>
      </c>
      <c r="Q53" s="11">
        <f t="shared" si="0"/>
        <v>514.67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/>
      <c r="E54" s="7"/>
      <c r="F54" s="16"/>
      <c r="G54" s="54">
        <v>256.31</v>
      </c>
      <c r="H54" s="16"/>
      <c r="I54" s="16"/>
      <c r="J54" s="16"/>
      <c r="K54" s="57">
        <v>168.6</v>
      </c>
      <c r="L54" s="16"/>
      <c r="M54" s="16"/>
      <c r="N54" s="16"/>
      <c r="O54" s="11"/>
      <c r="P54" s="16">
        <v>89.76</v>
      </c>
      <c r="Q54" s="11">
        <f t="shared" si="0"/>
        <v>514.67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/>
      <c r="E55" s="7"/>
      <c r="F55" s="16">
        <v>256.31</v>
      </c>
      <c r="G55" s="16"/>
      <c r="H55" s="16"/>
      <c r="I55" s="16"/>
      <c r="J55" s="16"/>
      <c r="K55" s="56">
        <v>100</v>
      </c>
      <c r="L55" s="16"/>
      <c r="M55" s="16"/>
      <c r="N55" s="16"/>
      <c r="O55" s="11"/>
      <c r="P55" s="16"/>
      <c r="Q55" s="11">
        <f t="shared" si="0"/>
        <v>356.31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/>
      <c r="E56" s="7"/>
      <c r="F56" s="16"/>
      <c r="G56" s="16"/>
      <c r="H56" s="16"/>
      <c r="I56" s="16"/>
      <c r="J56" s="16"/>
      <c r="K56" s="57">
        <f>47.29+330.83</f>
        <v>378.12</v>
      </c>
      <c r="L56" s="16"/>
      <c r="M56" s="56">
        <v>46.79</v>
      </c>
      <c r="N56" s="16"/>
      <c r="O56" s="11"/>
      <c r="P56" s="16">
        <v>89.76</v>
      </c>
      <c r="Q56" s="11">
        <f t="shared" si="0"/>
        <v>514.67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/>
      <c r="E57" s="7"/>
      <c r="F57" s="16"/>
      <c r="G57" s="54">
        <v>366.23</v>
      </c>
      <c r="H57" s="16"/>
      <c r="I57" s="16"/>
      <c r="J57" s="16"/>
      <c r="K57" s="57">
        <v>168.6</v>
      </c>
      <c r="L57" s="16"/>
      <c r="M57" s="16"/>
      <c r="N57" s="16"/>
      <c r="O57" s="11"/>
      <c r="P57" s="16">
        <v>89.76</v>
      </c>
      <c r="Q57" s="11">
        <f t="shared" si="0"/>
        <v>624.59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/>
      <c r="E58" s="7"/>
      <c r="F58" s="16"/>
      <c r="G58" s="54">
        <v>146.39</v>
      </c>
      <c r="H58" s="16"/>
      <c r="I58" s="16"/>
      <c r="J58" s="16"/>
      <c r="K58" s="16"/>
      <c r="L58" s="56">
        <v>168.6</v>
      </c>
      <c r="M58" s="16"/>
      <c r="N58" s="16"/>
      <c r="O58" s="11"/>
      <c r="P58" s="16"/>
      <c r="Q58" s="11">
        <f t="shared" si="0"/>
        <v>314.99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/>
      <c r="E59" s="7"/>
      <c r="F59" s="16"/>
      <c r="G59" s="54">
        <v>538.44</v>
      </c>
      <c r="H59" s="16"/>
      <c r="I59" s="16"/>
      <c r="J59" s="16"/>
      <c r="K59" s="16"/>
      <c r="L59" s="57"/>
      <c r="M59" s="16"/>
      <c r="N59" s="16"/>
      <c r="O59" s="11"/>
      <c r="P59" s="16">
        <v>89.76</v>
      </c>
      <c r="Q59" s="11">
        <f t="shared" si="0"/>
        <v>628.2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/>
      <c r="E60" s="7"/>
      <c r="F60" s="16"/>
      <c r="G60" s="54">
        <v>146.39</v>
      </c>
      <c r="H60" s="16"/>
      <c r="I60" s="16"/>
      <c r="J60" s="16"/>
      <c r="K60" s="16"/>
      <c r="L60" s="56">
        <v>168.6</v>
      </c>
      <c r="M60" s="16"/>
      <c r="N60" s="16"/>
      <c r="O60" s="11"/>
      <c r="P60" s="16"/>
      <c r="Q60" s="11">
        <f t="shared" si="0"/>
        <v>314.99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/>
      <c r="E61" s="7"/>
      <c r="F61" s="16"/>
      <c r="G61" s="16"/>
      <c r="H61" s="16"/>
      <c r="I61" s="16"/>
      <c r="J61" s="16"/>
      <c r="K61" s="58">
        <v>256.31</v>
      </c>
      <c r="L61" s="56">
        <v>168.6</v>
      </c>
      <c r="M61" s="16"/>
      <c r="N61" s="16"/>
      <c r="O61" s="11"/>
      <c r="P61" s="16">
        <v>89.76</v>
      </c>
      <c r="Q61" s="11">
        <f t="shared" si="0"/>
        <v>514.67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/>
      <c r="E62" s="7"/>
      <c r="F62" s="16"/>
      <c r="G62" s="54">
        <v>256.31</v>
      </c>
      <c r="H62" s="16"/>
      <c r="I62" s="16"/>
      <c r="J62" s="16"/>
      <c r="K62" s="57">
        <v>168.6</v>
      </c>
      <c r="L62" s="16"/>
      <c r="M62" s="16"/>
      <c r="N62" s="16"/>
      <c r="O62" s="11"/>
      <c r="P62" s="16">
        <v>89.76</v>
      </c>
      <c r="Q62" s="11">
        <f t="shared" si="0"/>
        <v>514.67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/>
      <c r="E63" s="7"/>
      <c r="F63" s="16"/>
      <c r="G63" s="54">
        <v>256.31</v>
      </c>
      <c r="H63" s="16"/>
      <c r="I63" s="16"/>
      <c r="J63" s="16"/>
      <c r="K63" s="57">
        <v>168.6</v>
      </c>
      <c r="L63" s="16"/>
      <c r="M63" s="16"/>
      <c r="N63" s="16"/>
      <c r="O63" s="11"/>
      <c r="P63" s="16">
        <v>89.76</v>
      </c>
      <c r="Q63" s="11">
        <f t="shared" si="0"/>
        <v>514.67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/>
      <c r="E64" s="7"/>
      <c r="F64" s="16"/>
      <c r="G64" s="16"/>
      <c r="H64" s="55">
        <v>200</v>
      </c>
      <c r="I64" s="16"/>
      <c r="J64" s="16"/>
      <c r="K64" s="57">
        <v>168.6</v>
      </c>
      <c r="L64" s="16"/>
      <c r="M64" s="16"/>
      <c r="N64" s="16"/>
      <c r="O64" s="11"/>
      <c r="P64" s="16"/>
      <c r="Q64" s="11">
        <f t="shared" si="0"/>
        <v>368.6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/>
      <c r="E65" s="7"/>
      <c r="F65" s="16"/>
      <c r="G65" s="54">
        <v>168</v>
      </c>
      <c r="H65" s="16"/>
      <c r="I65" s="16"/>
      <c r="J65" s="16"/>
      <c r="K65" s="57">
        <v>168.6</v>
      </c>
      <c r="L65" s="16"/>
      <c r="M65" s="16"/>
      <c r="N65" s="16"/>
      <c r="O65" s="11"/>
      <c r="P65" s="16">
        <v>89.76</v>
      </c>
      <c r="Q65" s="11">
        <f t="shared" si="0"/>
        <v>426.36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/>
      <c r="E66" s="7"/>
      <c r="F66" s="16"/>
      <c r="G66" s="54">
        <v>256.31</v>
      </c>
      <c r="H66" s="16"/>
      <c r="I66" s="16"/>
      <c r="J66" s="16"/>
      <c r="K66" s="57">
        <v>168.6</v>
      </c>
      <c r="L66" s="16"/>
      <c r="M66" s="16"/>
      <c r="N66" s="16"/>
      <c r="O66" s="11"/>
      <c r="P66" s="16">
        <v>89.76</v>
      </c>
      <c r="Q66" s="11">
        <f t="shared" si="0"/>
        <v>514.67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/>
      <c r="E67" s="7"/>
      <c r="F67" s="16"/>
      <c r="G67" s="16"/>
      <c r="H67" s="16"/>
      <c r="I67" s="16"/>
      <c r="J67" s="16"/>
      <c r="K67" s="56">
        <v>424.91</v>
      </c>
      <c r="L67" s="16"/>
      <c r="M67" s="16"/>
      <c r="N67" s="16"/>
      <c r="O67" s="11"/>
      <c r="P67" s="16">
        <v>89.76</v>
      </c>
      <c r="Q67" s="11">
        <f t="shared" si="0"/>
        <v>514.67</v>
      </c>
    </row>
    <row r="68" customHeight="1" spans="1:17">
      <c r="A68" s="7">
        <v>65</v>
      </c>
      <c r="B68" s="7" t="s">
        <v>148</v>
      </c>
      <c r="C68" s="10" t="s">
        <v>149</v>
      </c>
      <c r="D68" s="7"/>
      <c r="E68" s="7"/>
      <c r="F68" s="16"/>
      <c r="G68" s="59">
        <v>260.65</v>
      </c>
      <c r="H68" s="16"/>
      <c r="I68" s="16"/>
      <c r="J68" s="16"/>
      <c r="K68" s="55">
        <v>172.32</v>
      </c>
      <c r="L68" s="16"/>
      <c r="M68" s="16"/>
      <c r="N68" s="16"/>
      <c r="O68" s="11"/>
      <c r="P68" s="16">
        <v>96.66</v>
      </c>
      <c r="Q68" s="11">
        <f t="shared" ref="Q68:Q131" si="1">D68+E68+F68+G68+H68+I68+J68+K68+L68+M68+N68+O68+P68</f>
        <v>529.63</v>
      </c>
    </row>
    <row r="69" customHeight="1" spans="1:17">
      <c r="A69" s="7">
        <v>66</v>
      </c>
      <c r="B69" s="7" t="s">
        <v>150</v>
      </c>
      <c r="C69" s="10" t="s">
        <v>151</v>
      </c>
      <c r="D69" s="7"/>
      <c r="E69" s="7"/>
      <c r="F69" s="16"/>
      <c r="G69" s="59">
        <v>362.35</v>
      </c>
      <c r="H69" s="16"/>
      <c r="I69" s="16"/>
      <c r="J69" s="16"/>
      <c r="K69" s="16"/>
      <c r="L69" s="16"/>
      <c r="M69" s="16"/>
      <c r="N69" s="16"/>
      <c r="O69" s="11"/>
      <c r="P69" s="16">
        <v>269.98</v>
      </c>
      <c r="Q69" s="11">
        <f t="shared" si="1"/>
        <v>632.33</v>
      </c>
    </row>
    <row r="70" customHeight="1" spans="1:17">
      <c r="A70" s="7">
        <v>67</v>
      </c>
      <c r="B70" s="7" t="s">
        <v>152</v>
      </c>
      <c r="C70" s="10" t="s">
        <v>153</v>
      </c>
      <c r="D70" s="7"/>
      <c r="E70" s="7"/>
      <c r="F70" s="16"/>
      <c r="G70" s="59">
        <v>260.65</v>
      </c>
      <c r="H70" s="16"/>
      <c r="I70" s="16"/>
      <c r="J70" s="16"/>
      <c r="K70" s="55">
        <v>173.52</v>
      </c>
      <c r="L70" s="16"/>
      <c r="M70" s="16"/>
      <c r="N70" s="16"/>
      <c r="O70" s="11"/>
      <c r="P70" s="16">
        <v>96.66</v>
      </c>
      <c r="Q70" s="11">
        <f t="shared" si="1"/>
        <v>530.83</v>
      </c>
    </row>
    <row r="71" customHeight="1" spans="1:17">
      <c r="A71" s="7">
        <v>68</v>
      </c>
      <c r="B71" s="7" t="s">
        <v>154</v>
      </c>
      <c r="C71" s="10" t="s">
        <v>155</v>
      </c>
      <c r="D71" s="7"/>
      <c r="E71" s="7"/>
      <c r="F71" s="16">
        <v>260.65</v>
      </c>
      <c r="G71" s="59"/>
      <c r="H71" s="16"/>
      <c r="I71" s="16"/>
      <c r="J71" s="16"/>
      <c r="K71" s="55"/>
      <c r="L71" s="56">
        <v>172.32</v>
      </c>
      <c r="M71" s="16"/>
      <c r="N71" s="16"/>
      <c r="O71" s="11"/>
      <c r="P71" s="16">
        <v>96.66</v>
      </c>
      <c r="Q71" s="11">
        <f t="shared" si="1"/>
        <v>529.63</v>
      </c>
    </row>
    <row r="72" customHeight="1" spans="1:17">
      <c r="A72" s="7">
        <v>69</v>
      </c>
      <c r="B72" s="7" t="s">
        <v>156</v>
      </c>
      <c r="C72" s="10" t="s">
        <v>157</v>
      </c>
      <c r="D72" s="7"/>
      <c r="E72" s="7"/>
      <c r="F72" s="16"/>
      <c r="G72" s="59">
        <v>260.65</v>
      </c>
      <c r="H72" s="16"/>
      <c r="I72" s="16"/>
      <c r="J72" s="16"/>
      <c r="K72" s="55">
        <v>172.32</v>
      </c>
      <c r="L72" s="16"/>
      <c r="M72" s="16"/>
      <c r="N72" s="16"/>
      <c r="O72" s="11"/>
      <c r="P72" s="16">
        <v>96.66</v>
      </c>
      <c r="Q72" s="11">
        <f t="shared" si="1"/>
        <v>529.63</v>
      </c>
    </row>
    <row r="73" customHeight="1" spans="1:17">
      <c r="A73" s="7">
        <v>70</v>
      </c>
      <c r="B73" s="7" t="s">
        <v>158</v>
      </c>
      <c r="C73" s="10" t="s">
        <v>159</v>
      </c>
      <c r="D73" s="7"/>
      <c r="E73" s="7"/>
      <c r="F73" s="16">
        <v>260.65</v>
      </c>
      <c r="G73" s="16"/>
      <c r="H73" s="16"/>
      <c r="I73" s="16"/>
      <c r="J73" s="16"/>
      <c r="K73" s="55">
        <v>172.32</v>
      </c>
      <c r="L73" s="16"/>
      <c r="M73" s="16"/>
      <c r="N73" s="16"/>
      <c r="O73" s="11"/>
      <c r="P73" s="16"/>
      <c r="Q73" s="11">
        <f t="shared" si="1"/>
        <v>432.97</v>
      </c>
    </row>
    <row r="74" customHeight="1" spans="1:17">
      <c r="A74" s="7">
        <v>71</v>
      </c>
      <c r="B74" s="7" t="s">
        <v>160</v>
      </c>
      <c r="C74" s="10" t="s">
        <v>161</v>
      </c>
      <c r="D74" s="7"/>
      <c r="E74" s="7"/>
      <c r="F74" s="16"/>
      <c r="G74" s="16"/>
      <c r="H74" s="16"/>
      <c r="I74" s="16"/>
      <c r="J74" s="16"/>
      <c r="K74" s="55">
        <v>172.3</v>
      </c>
      <c r="L74" s="16"/>
      <c r="M74" s="16"/>
      <c r="N74" s="16"/>
      <c r="O74" s="11"/>
      <c r="P74" s="16"/>
      <c r="Q74" s="11">
        <f t="shared" si="1"/>
        <v>172.3</v>
      </c>
    </row>
    <row r="75" customHeight="1" spans="1:17">
      <c r="A75" s="7">
        <v>72</v>
      </c>
      <c r="B75" s="7" t="s">
        <v>162</v>
      </c>
      <c r="C75" s="10" t="s">
        <v>163</v>
      </c>
      <c r="D75" s="7"/>
      <c r="E75" s="7"/>
      <c r="F75" s="16"/>
      <c r="G75" s="16"/>
      <c r="H75" s="16"/>
      <c r="I75" s="16"/>
      <c r="J75" s="16"/>
      <c r="K75" s="16"/>
      <c r="L75" s="16"/>
      <c r="M75" s="16"/>
      <c r="N75" s="16"/>
      <c r="O75" s="11"/>
      <c r="P75" s="16"/>
      <c r="Q75" s="11">
        <f t="shared" si="1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/>
      <c r="E76" s="7"/>
      <c r="F76" s="16"/>
      <c r="G76" s="59">
        <v>260.65</v>
      </c>
      <c r="H76" s="16"/>
      <c r="I76" s="16"/>
      <c r="J76" s="16"/>
      <c r="K76" s="55">
        <v>172.32</v>
      </c>
      <c r="L76" s="16"/>
      <c r="M76" s="16"/>
      <c r="N76" s="16"/>
      <c r="O76" s="11"/>
      <c r="P76" s="16">
        <v>96.66</v>
      </c>
      <c r="Q76" s="11">
        <f t="shared" si="1"/>
        <v>529.63</v>
      </c>
    </row>
    <row r="77" customHeight="1" spans="1:17">
      <c r="A77" s="7">
        <v>74</v>
      </c>
      <c r="B77" s="7" t="s">
        <v>166</v>
      </c>
      <c r="C77" s="10" t="s">
        <v>167</v>
      </c>
      <c r="D77" s="7"/>
      <c r="E77" s="7"/>
      <c r="F77" s="16"/>
      <c r="G77" s="59">
        <v>260.65</v>
      </c>
      <c r="H77" s="16"/>
      <c r="I77" s="16"/>
      <c r="J77" s="16"/>
      <c r="K77" s="55">
        <v>172.32</v>
      </c>
      <c r="L77" s="16"/>
      <c r="M77" s="16"/>
      <c r="N77" s="16"/>
      <c r="O77" s="11"/>
      <c r="P77" s="16">
        <v>96.66</v>
      </c>
      <c r="Q77" s="11">
        <f t="shared" si="1"/>
        <v>529.63</v>
      </c>
    </row>
    <row r="78" customHeight="1" spans="1:17">
      <c r="A78" s="7">
        <v>75</v>
      </c>
      <c r="B78" s="7" t="s">
        <v>168</v>
      </c>
      <c r="C78" s="15" t="s">
        <v>169</v>
      </c>
      <c r="D78" s="7"/>
      <c r="E78" s="7"/>
      <c r="F78" s="16"/>
      <c r="G78" s="59">
        <v>554.89</v>
      </c>
      <c r="H78" s="16"/>
      <c r="I78" s="16"/>
      <c r="J78" s="16"/>
      <c r="K78" s="16"/>
      <c r="L78" s="55">
        <v>172.32</v>
      </c>
      <c r="M78" s="16"/>
      <c r="N78" s="16"/>
      <c r="O78" s="11"/>
      <c r="P78" s="16">
        <v>90</v>
      </c>
      <c r="Q78" s="11">
        <f t="shared" si="1"/>
        <v>817.21</v>
      </c>
    </row>
    <row r="79" customHeight="1" spans="1:17">
      <c r="A79" s="7">
        <v>76</v>
      </c>
      <c r="B79" s="7" t="s">
        <v>170</v>
      </c>
      <c r="C79" s="10" t="s">
        <v>171</v>
      </c>
      <c r="D79" s="7"/>
      <c r="E79" s="7"/>
      <c r="F79" s="16"/>
      <c r="G79" s="59">
        <v>453.45</v>
      </c>
      <c r="H79" s="16"/>
      <c r="I79" s="16"/>
      <c r="J79" s="16"/>
      <c r="K79" s="55">
        <v>172.32</v>
      </c>
      <c r="L79" s="16"/>
      <c r="M79" s="16"/>
      <c r="N79" s="16"/>
      <c r="O79" s="11"/>
      <c r="P79" s="16">
        <v>96.66</v>
      </c>
      <c r="Q79" s="11">
        <f t="shared" si="1"/>
        <v>722.43</v>
      </c>
    </row>
    <row r="80" customHeight="1" spans="1:17">
      <c r="A80" s="7">
        <v>77</v>
      </c>
      <c r="B80" s="7" t="s">
        <v>172</v>
      </c>
      <c r="C80" s="10" t="s">
        <v>173</v>
      </c>
      <c r="D80" s="7"/>
      <c r="E80" s="7"/>
      <c r="F80" s="16"/>
      <c r="G80" s="59">
        <v>333.07</v>
      </c>
      <c r="H80" s="16"/>
      <c r="I80" s="16"/>
      <c r="J80" s="16"/>
      <c r="K80" s="55">
        <v>172.32</v>
      </c>
      <c r="L80" s="16"/>
      <c r="M80" s="16"/>
      <c r="N80" s="16"/>
      <c r="O80" s="11"/>
      <c r="P80" s="16">
        <v>96.66</v>
      </c>
      <c r="Q80" s="11">
        <f t="shared" si="1"/>
        <v>602.05</v>
      </c>
    </row>
    <row r="81" customHeight="1" spans="1:17">
      <c r="A81" s="7">
        <v>78</v>
      </c>
      <c r="B81" s="7" t="s">
        <v>174</v>
      </c>
      <c r="C81" s="10" t="s">
        <v>175</v>
      </c>
      <c r="D81" s="7"/>
      <c r="E81" s="7"/>
      <c r="F81" s="16"/>
      <c r="G81" s="16"/>
      <c r="H81" s="16"/>
      <c r="I81" s="16"/>
      <c r="J81" s="16"/>
      <c r="K81" s="16"/>
      <c r="L81" s="16"/>
      <c r="M81" s="16"/>
      <c r="N81" s="16"/>
      <c r="O81" s="11"/>
      <c r="P81" s="16"/>
      <c r="Q81" s="11">
        <f t="shared" si="1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/>
      <c r="E82" s="7"/>
      <c r="F82" s="16"/>
      <c r="G82" s="59">
        <v>555.15</v>
      </c>
      <c r="H82" s="16"/>
      <c r="I82" s="16"/>
      <c r="J82" s="16"/>
      <c r="K82" s="55">
        <v>172.32</v>
      </c>
      <c r="L82" s="16"/>
      <c r="M82" s="16"/>
      <c r="N82" s="16"/>
      <c r="O82" s="11"/>
      <c r="P82" s="16">
        <v>96.66</v>
      </c>
      <c r="Q82" s="11">
        <f t="shared" si="1"/>
        <v>824.13</v>
      </c>
    </row>
    <row r="83" customHeight="1" spans="1:17">
      <c r="A83" s="7">
        <v>80</v>
      </c>
      <c r="B83" s="7" t="s">
        <v>178</v>
      </c>
      <c r="C83" s="10" t="s">
        <v>179</v>
      </c>
      <c r="D83" s="7"/>
      <c r="E83" s="7"/>
      <c r="F83" s="16"/>
      <c r="G83" s="59">
        <v>158.95</v>
      </c>
      <c r="H83" s="16"/>
      <c r="I83" s="16"/>
      <c r="J83" s="16"/>
      <c r="K83" s="55"/>
      <c r="L83" s="56">
        <v>172.32</v>
      </c>
      <c r="M83" s="16"/>
      <c r="N83" s="16"/>
      <c r="O83" s="11"/>
      <c r="P83" s="16">
        <v>96.66</v>
      </c>
      <c r="Q83" s="11">
        <f t="shared" si="1"/>
        <v>427.93</v>
      </c>
    </row>
    <row r="84" customHeight="1" spans="1:17">
      <c r="A84" s="7">
        <v>81</v>
      </c>
      <c r="B84" s="7" t="s">
        <v>180</v>
      </c>
      <c r="C84" s="10" t="s">
        <v>181</v>
      </c>
      <c r="D84" s="7"/>
      <c r="E84" s="7"/>
      <c r="F84" s="16"/>
      <c r="G84" s="16"/>
      <c r="H84" s="16"/>
      <c r="I84" s="57">
        <v>100</v>
      </c>
      <c r="J84" s="16"/>
      <c r="K84" s="55">
        <v>160.65</v>
      </c>
      <c r="L84" s="56">
        <v>160.65</v>
      </c>
      <c r="M84" s="16"/>
      <c r="N84" s="16"/>
      <c r="O84" s="11"/>
      <c r="P84" s="16">
        <v>96.66</v>
      </c>
      <c r="Q84" s="11">
        <f t="shared" si="1"/>
        <v>517.96</v>
      </c>
    </row>
    <row r="85" customHeight="1" spans="1:17">
      <c r="A85" s="7">
        <v>82</v>
      </c>
      <c r="B85" s="7" t="s">
        <v>182</v>
      </c>
      <c r="C85" s="10" t="s">
        <v>183</v>
      </c>
      <c r="D85" s="7"/>
      <c r="E85" s="7"/>
      <c r="F85" s="16"/>
      <c r="G85" s="59">
        <v>555.15</v>
      </c>
      <c r="H85" s="16"/>
      <c r="I85" s="16"/>
      <c r="J85" s="16"/>
      <c r="K85" s="55">
        <v>172.32</v>
      </c>
      <c r="L85" s="16"/>
      <c r="M85" s="16"/>
      <c r="N85" s="16"/>
      <c r="O85" s="11"/>
      <c r="P85" s="16">
        <v>96.66</v>
      </c>
      <c r="Q85" s="11">
        <f t="shared" si="1"/>
        <v>824.13</v>
      </c>
    </row>
    <row r="86" customHeight="1" spans="1:17">
      <c r="A86" s="7">
        <v>83</v>
      </c>
      <c r="B86" s="7" t="s">
        <v>184</v>
      </c>
      <c r="C86" s="10" t="s">
        <v>185</v>
      </c>
      <c r="D86" s="7"/>
      <c r="E86" s="7"/>
      <c r="F86" s="16"/>
      <c r="G86" s="16"/>
      <c r="H86" s="16"/>
      <c r="I86" s="16"/>
      <c r="J86" s="16"/>
      <c r="K86" s="55">
        <v>260.65</v>
      </c>
      <c r="L86" s="16"/>
      <c r="M86" s="16"/>
      <c r="N86" s="16"/>
      <c r="O86" s="11"/>
      <c r="P86" s="16">
        <v>269.98</v>
      </c>
      <c r="Q86" s="11">
        <f t="shared" si="1"/>
        <v>530.63</v>
      </c>
    </row>
    <row r="87" customHeight="1" spans="1:17">
      <c r="A87" s="7">
        <v>84</v>
      </c>
      <c r="B87" s="7" t="s">
        <v>186</v>
      </c>
      <c r="C87" s="10" t="s">
        <v>187</v>
      </c>
      <c r="D87" s="7"/>
      <c r="E87" s="7"/>
      <c r="F87" s="16"/>
      <c r="G87" s="59">
        <v>260.65</v>
      </c>
      <c r="H87" s="16"/>
      <c r="I87" s="16"/>
      <c r="J87" s="16"/>
      <c r="K87" s="55">
        <v>172.32</v>
      </c>
      <c r="L87" s="16"/>
      <c r="M87" s="16"/>
      <c r="N87" s="16"/>
      <c r="O87" s="11"/>
      <c r="P87" s="16">
        <v>96.66</v>
      </c>
      <c r="Q87" s="11">
        <f t="shared" si="1"/>
        <v>529.63</v>
      </c>
    </row>
    <row r="88" customHeight="1" spans="1:17">
      <c r="A88" s="7">
        <v>85</v>
      </c>
      <c r="B88" s="7" t="s">
        <v>188</v>
      </c>
      <c r="C88" s="10" t="s">
        <v>189</v>
      </c>
      <c r="D88" s="7"/>
      <c r="E88" s="7"/>
      <c r="F88" s="16"/>
      <c r="G88" s="59">
        <v>483.05</v>
      </c>
      <c r="H88" s="16"/>
      <c r="I88" s="16"/>
      <c r="J88" s="16"/>
      <c r="K88" s="55">
        <v>172.32</v>
      </c>
      <c r="L88" s="16"/>
      <c r="M88" s="16"/>
      <c r="N88" s="16"/>
      <c r="O88" s="11"/>
      <c r="P88" s="16">
        <v>96.66</v>
      </c>
      <c r="Q88" s="11">
        <f t="shared" si="1"/>
        <v>752.03</v>
      </c>
    </row>
    <row r="89" customHeight="1" spans="1:17">
      <c r="A89" s="7">
        <v>86</v>
      </c>
      <c r="B89" s="7" t="s">
        <v>190</v>
      </c>
      <c r="C89" s="10" t="s">
        <v>191</v>
      </c>
      <c r="D89" s="7"/>
      <c r="E89" s="7"/>
      <c r="F89" s="16"/>
      <c r="G89" s="59">
        <v>260.65</v>
      </c>
      <c r="H89" s="16"/>
      <c r="I89" s="16"/>
      <c r="J89" s="16"/>
      <c r="K89" s="55">
        <v>172.32</v>
      </c>
      <c r="L89" s="16"/>
      <c r="M89" s="16"/>
      <c r="N89" s="16"/>
      <c r="O89" s="11"/>
      <c r="P89" s="16">
        <v>96.66</v>
      </c>
      <c r="Q89" s="11">
        <f t="shared" si="1"/>
        <v>529.63</v>
      </c>
    </row>
    <row r="90" customHeight="1" spans="1:17">
      <c r="A90" s="7">
        <v>87</v>
      </c>
      <c r="B90" s="7" t="s">
        <v>192</v>
      </c>
      <c r="C90" s="10" t="s">
        <v>193</v>
      </c>
      <c r="D90" s="7"/>
      <c r="E90" s="7"/>
      <c r="F90" s="16"/>
      <c r="G90" s="59">
        <v>260.65</v>
      </c>
      <c r="H90" s="16"/>
      <c r="I90" s="16"/>
      <c r="J90" s="16"/>
      <c r="K90" s="16"/>
      <c r="L90" s="56">
        <v>172.32</v>
      </c>
      <c r="M90" s="16"/>
      <c r="N90" s="16"/>
      <c r="O90" s="11"/>
      <c r="P90" s="16">
        <v>96.66</v>
      </c>
      <c r="Q90" s="11">
        <f t="shared" si="1"/>
        <v>529.63</v>
      </c>
    </row>
    <row r="91" customHeight="1" spans="1:17">
      <c r="A91" s="7">
        <v>88</v>
      </c>
      <c r="B91" s="7" t="s">
        <v>194</v>
      </c>
      <c r="C91" s="10" t="s">
        <v>195</v>
      </c>
      <c r="D91" s="7"/>
      <c r="E91" s="7"/>
      <c r="F91" s="16"/>
      <c r="G91" s="59">
        <v>544.32</v>
      </c>
      <c r="H91" s="16"/>
      <c r="I91" s="16"/>
      <c r="J91" s="16"/>
      <c r="K91" s="55">
        <v>172.32</v>
      </c>
      <c r="L91" s="16"/>
      <c r="M91" s="16"/>
      <c r="N91" s="16"/>
      <c r="O91" s="11"/>
      <c r="P91" s="16">
        <v>96.66</v>
      </c>
      <c r="Q91" s="11">
        <f t="shared" si="1"/>
        <v>813.3</v>
      </c>
    </row>
    <row r="92" customHeight="1" spans="1:17">
      <c r="A92" s="7">
        <v>89</v>
      </c>
      <c r="B92" s="7" t="s">
        <v>196</v>
      </c>
      <c r="C92" s="10" t="s">
        <v>197</v>
      </c>
      <c r="D92" s="7"/>
      <c r="E92" s="7"/>
      <c r="F92" s="16"/>
      <c r="G92" s="59">
        <v>260.65</v>
      </c>
      <c r="H92" s="16"/>
      <c r="I92" s="16"/>
      <c r="J92" s="16"/>
      <c r="K92" s="55">
        <v>172.32</v>
      </c>
      <c r="L92" s="16"/>
      <c r="M92" s="16"/>
      <c r="N92" s="16"/>
      <c r="O92" s="11"/>
      <c r="P92" s="16">
        <v>96.66</v>
      </c>
      <c r="Q92" s="11">
        <f t="shared" si="1"/>
        <v>529.63</v>
      </c>
    </row>
    <row r="93" customHeight="1" spans="1:17">
      <c r="A93" s="7">
        <v>90</v>
      </c>
      <c r="B93" s="7" t="s">
        <v>198</v>
      </c>
      <c r="C93" s="10" t="s">
        <v>199</v>
      </c>
      <c r="D93" s="7"/>
      <c r="E93" s="7"/>
      <c r="F93" s="16"/>
      <c r="G93" s="59">
        <v>260.65</v>
      </c>
      <c r="H93" s="16"/>
      <c r="I93" s="16"/>
      <c r="J93" s="16"/>
      <c r="K93" s="55">
        <v>172.32</v>
      </c>
      <c r="L93" s="16"/>
      <c r="M93" s="16"/>
      <c r="N93" s="16"/>
      <c r="O93" s="11"/>
      <c r="P93" s="16">
        <v>96.66</v>
      </c>
      <c r="Q93" s="11">
        <f t="shared" si="1"/>
        <v>529.63</v>
      </c>
    </row>
    <row r="94" customHeight="1" spans="1:17">
      <c r="A94" s="7">
        <v>91</v>
      </c>
      <c r="B94" s="7" t="s">
        <v>200</v>
      </c>
      <c r="C94" s="10" t="s">
        <v>201</v>
      </c>
      <c r="D94" s="7"/>
      <c r="E94" s="7"/>
      <c r="F94" s="16"/>
      <c r="G94" s="16"/>
      <c r="H94" s="16"/>
      <c r="I94" s="16"/>
      <c r="J94" s="16"/>
      <c r="K94" s="55">
        <v>432.97</v>
      </c>
      <c r="L94" s="16"/>
      <c r="M94" s="16"/>
      <c r="N94" s="16"/>
      <c r="O94" s="11"/>
      <c r="P94" s="16">
        <v>96.66</v>
      </c>
      <c r="Q94" s="11">
        <f t="shared" si="1"/>
        <v>529.63</v>
      </c>
    </row>
    <row r="95" customHeight="1" spans="1:17">
      <c r="A95" s="7">
        <v>92</v>
      </c>
      <c r="B95" s="7" t="s">
        <v>202</v>
      </c>
      <c r="C95" s="10" t="s">
        <v>203</v>
      </c>
      <c r="D95" s="7"/>
      <c r="E95" s="7"/>
      <c r="F95" s="16">
        <v>261.15</v>
      </c>
      <c r="G95" s="16"/>
      <c r="H95" s="16"/>
      <c r="I95" s="16"/>
      <c r="J95" s="16"/>
      <c r="K95" s="55">
        <v>172.32</v>
      </c>
      <c r="L95" s="16"/>
      <c r="M95" s="16"/>
      <c r="N95" s="16"/>
      <c r="O95" s="11"/>
      <c r="P95" s="16">
        <v>96.66</v>
      </c>
      <c r="Q95" s="11">
        <f t="shared" si="1"/>
        <v>530.13</v>
      </c>
    </row>
    <row r="96" customHeight="1" spans="1:17">
      <c r="A96" s="7">
        <v>93</v>
      </c>
      <c r="B96" s="7" t="s">
        <v>204</v>
      </c>
      <c r="C96" s="10" t="s">
        <v>205</v>
      </c>
      <c r="D96" s="7"/>
      <c r="E96" s="7"/>
      <c r="F96" s="16"/>
      <c r="G96" s="16"/>
      <c r="H96" s="16"/>
      <c r="I96" s="16"/>
      <c r="J96" s="16"/>
      <c r="K96" s="55">
        <v>260.65</v>
      </c>
      <c r="L96" s="16"/>
      <c r="M96" s="55">
        <v>172.32</v>
      </c>
      <c r="N96" s="16"/>
      <c r="O96" s="11"/>
      <c r="P96" s="16"/>
      <c r="Q96" s="11">
        <f t="shared" si="1"/>
        <v>432.97</v>
      </c>
    </row>
    <row r="97" customHeight="1" spans="1:17">
      <c r="A97" s="7">
        <v>94</v>
      </c>
      <c r="B97" s="7" t="s">
        <v>206</v>
      </c>
      <c r="C97" s="10" t="s">
        <v>207</v>
      </c>
      <c r="D97" s="7"/>
      <c r="E97" s="7"/>
      <c r="F97" s="16"/>
      <c r="G97" s="16"/>
      <c r="H97" s="16"/>
      <c r="I97" s="16"/>
      <c r="J97" s="16"/>
      <c r="K97" s="16"/>
      <c r="L97" s="16"/>
      <c r="M97" s="55">
        <v>172.32</v>
      </c>
      <c r="N97" s="16"/>
      <c r="O97" s="11"/>
      <c r="P97" s="16">
        <v>96.66</v>
      </c>
      <c r="Q97" s="11">
        <f t="shared" si="1"/>
        <v>268.98</v>
      </c>
    </row>
    <row r="98" customHeight="1" spans="1:17">
      <c r="A98" s="7">
        <v>95</v>
      </c>
      <c r="B98" s="7" t="s">
        <v>208</v>
      </c>
      <c r="C98" s="10" t="s">
        <v>209</v>
      </c>
      <c r="D98" s="7"/>
      <c r="E98" s="7"/>
      <c r="F98" s="16"/>
      <c r="G98" s="59">
        <v>453.45</v>
      </c>
      <c r="H98" s="16"/>
      <c r="I98" s="16"/>
      <c r="J98" s="16"/>
      <c r="K98" s="16"/>
      <c r="L98" s="16"/>
      <c r="M98" s="55">
        <v>172.32</v>
      </c>
      <c r="N98" s="16"/>
      <c r="O98" s="11"/>
      <c r="P98" s="16"/>
      <c r="Q98" s="11">
        <f t="shared" si="1"/>
        <v>625.77</v>
      </c>
    </row>
    <row r="99" customHeight="1" spans="1:17">
      <c r="A99" s="7">
        <v>96</v>
      </c>
      <c r="B99" s="7" t="s">
        <v>210</v>
      </c>
      <c r="C99" s="10" t="s">
        <v>211</v>
      </c>
      <c r="D99" s="7"/>
      <c r="E99" s="7"/>
      <c r="F99" s="16"/>
      <c r="G99" s="59">
        <v>260.65</v>
      </c>
      <c r="H99" s="16"/>
      <c r="I99" s="16"/>
      <c r="J99" s="16"/>
      <c r="K99" s="55">
        <v>172.32</v>
      </c>
      <c r="L99" s="16"/>
      <c r="M99" s="16"/>
      <c r="N99" s="16"/>
      <c r="O99" s="11"/>
      <c r="P99" s="16">
        <v>96.66</v>
      </c>
      <c r="Q99" s="11">
        <f t="shared" si="1"/>
        <v>529.63</v>
      </c>
    </row>
    <row r="100" customHeight="1" spans="1:17">
      <c r="A100" s="7">
        <v>97</v>
      </c>
      <c r="B100" s="7" t="s">
        <v>212</v>
      </c>
      <c r="C100" s="10" t="s">
        <v>213</v>
      </c>
      <c r="D100" s="7"/>
      <c r="E100" s="7"/>
      <c r="F100" s="16"/>
      <c r="G100" s="59">
        <v>490.83</v>
      </c>
      <c r="H100" s="16"/>
      <c r="I100" s="16"/>
      <c r="J100" s="16"/>
      <c r="K100" s="55">
        <v>172.32</v>
      </c>
      <c r="L100" s="16"/>
      <c r="M100" s="16"/>
      <c r="N100" s="16"/>
      <c r="O100" s="11"/>
      <c r="P100" s="16">
        <v>96.66</v>
      </c>
      <c r="Q100" s="11">
        <f t="shared" si="1"/>
        <v>759.81</v>
      </c>
    </row>
    <row r="101" customHeight="1" spans="1:17">
      <c r="A101" s="7">
        <v>98</v>
      </c>
      <c r="B101" s="7" t="s">
        <v>214</v>
      </c>
      <c r="C101" s="12" t="s">
        <v>215</v>
      </c>
      <c r="D101" s="7"/>
      <c r="E101" s="7"/>
      <c r="F101" s="16"/>
      <c r="G101" s="59">
        <v>260.65</v>
      </c>
      <c r="H101" s="16"/>
      <c r="I101" s="16"/>
      <c r="J101" s="16"/>
      <c r="K101" s="55">
        <v>172.32</v>
      </c>
      <c r="L101" s="16"/>
      <c r="M101" s="16"/>
      <c r="N101" s="16"/>
      <c r="O101" s="11"/>
      <c r="P101" s="16">
        <v>96.66</v>
      </c>
      <c r="Q101" s="11">
        <f t="shared" si="1"/>
        <v>529.63</v>
      </c>
    </row>
    <row r="102" customHeight="1" spans="1:17">
      <c r="A102" s="7">
        <v>99</v>
      </c>
      <c r="B102" s="7" t="s">
        <v>216</v>
      </c>
      <c r="C102" s="10" t="s">
        <v>217</v>
      </c>
      <c r="D102" s="7"/>
      <c r="E102" s="7"/>
      <c r="F102" s="16"/>
      <c r="G102" s="16"/>
      <c r="H102" s="16"/>
      <c r="I102" s="60">
        <v>260.65</v>
      </c>
      <c r="J102" s="16"/>
      <c r="K102" s="55">
        <v>260.5</v>
      </c>
      <c r="L102" s="16"/>
      <c r="M102" s="16"/>
      <c r="N102" s="16"/>
      <c r="O102" s="11"/>
      <c r="P102" s="16">
        <v>269.13</v>
      </c>
      <c r="Q102" s="11">
        <f t="shared" si="1"/>
        <v>790.28</v>
      </c>
    </row>
    <row r="103" customHeight="1" spans="1:17">
      <c r="A103" s="7">
        <v>100</v>
      </c>
      <c r="B103" s="7" t="s">
        <v>218</v>
      </c>
      <c r="C103" s="10" t="s">
        <v>219</v>
      </c>
      <c r="D103" s="7"/>
      <c r="E103" s="7"/>
      <c r="F103" s="16"/>
      <c r="G103" s="16"/>
      <c r="H103" s="16"/>
      <c r="I103" s="16"/>
      <c r="J103" s="16"/>
      <c r="K103" s="16"/>
      <c r="L103" s="16"/>
      <c r="M103" s="16"/>
      <c r="N103" s="16"/>
      <c r="O103" s="11"/>
      <c r="P103" s="16"/>
      <c r="Q103" s="11">
        <f t="shared" si="1"/>
        <v>0</v>
      </c>
    </row>
    <row r="104" customHeight="1" spans="1:17">
      <c r="A104" s="7">
        <v>101</v>
      </c>
      <c r="B104" s="7" t="s">
        <v>220</v>
      </c>
      <c r="C104" s="10" t="s">
        <v>221</v>
      </c>
      <c r="D104" s="7"/>
      <c r="E104" s="7"/>
      <c r="F104" s="16"/>
      <c r="G104" s="59">
        <v>260.65</v>
      </c>
      <c r="H104" s="16"/>
      <c r="I104" s="16"/>
      <c r="J104" s="16"/>
      <c r="K104" s="55">
        <v>172.32</v>
      </c>
      <c r="L104" s="16"/>
      <c r="M104" s="16"/>
      <c r="N104" s="16"/>
      <c r="O104" s="11"/>
      <c r="P104" s="16">
        <v>96.66</v>
      </c>
      <c r="Q104" s="11">
        <f t="shared" si="1"/>
        <v>529.63</v>
      </c>
    </row>
    <row r="105" customHeight="1" spans="1:17">
      <c r="A105" s="7">
        <v>102</v>
      </c>
      <c r="B105" s="7" t="s">
        <v>222</v>
      </c>
      <c r="C105" s="10" t="s">
        <v>223</v>
      </c>
      <c r="D105" s="7"/>
      <c r="E105" s="7"/>
      <c r="F105" s="16"/>
      <c r="G105" s="59">
        <v>260.56</v>
      </c>
      <c r="H105" s="16"/>
      <c r="I105" s="16"/>
      <c r="J105" s="16"/>
      <c r="K105" s="55">
        <v>172.32</v>
      </c>
      <c r="L105" s="16"/>
      <c r="M105" s="16"/>
      <c r="N105" s="16"/>
      <c r="O105" s="11"/>
      <c r="P105" s="16"/>
      <c r="Q105" s="11">
        <f t="shared" si="1"/>
        <v>432.88</v>
      </c>
    </row>
    <row r="106" customHeight="1" spans="1:17">
      <c r="A106" s="7">
        <v>103</v>
      </c>
      <c r="B106" s="7" t="s">
        <v>224</v>
      </c>
      <c r="C106" s="10" t="s">
        <v>225</v>
      </c>
      <c r="D106" s="7"/>
      <c r="E106" s="7"/>
      <c r="F106" s="16"/>
      <c r="G106" s="59">
        <v>260.65</v>
      </c>
      <c r="H106" s="16"/>
      <c r="I106" s="16"/>
      <c r="J106" s="16"/>
      <c r="K106" s="55">
        <v>172.32</v>
      </c>
      <c r="L106" s="16"/>
      <c r="M106" s="16"/>
      <c r="N106" s="16"/>
      <c r="O106" s="11"/>
      <c r="P106" s="16"/>
      <c r="Q106" s="11">
        <f t="shared" si="1"/>
        <v>432.97</v>
      </c>
    </row>
    <row r="107" customHeight="1" spans="1:17">
      <c r="A107" s="7">
        <v>104</v>
      </c>
      <c r="B107" s="7" t="s">
        <v>226</v>
      </c>
      <c r="C107" s="10" t="s">
        <v>227</v>
      </c>
      <c r="D107" s="7"/>
      <c r="E107" s="7"/>
      <c r="F107" s="16"/>
      <c r="G107" s="59">
        <v>555.15</v>
      </c>
      <c r="H107" s="16"/>
      <c r="I107" s="16"/>
      <c r="J107" s="16"/>
      <c r="K107" s="55">
        <v>172.32</v>
      </c>
      <c r="L107" s="16"/>
      <c r="M107" s="16"/>
      <c r="N107" s="16"/>
      <c r="O107" s="11"/>
      <c r="P107" s="16"/>
      <c r="Q107" s="11">
        <f t="shared" si="1"/>
        <v>727.47</v>
      </c>
    </row>
    <row r="108" customHeight="1" spans="1:17">
      <c r="A108" s="7">
        <v>105</v>
      </c>
      <c r="B108" s="7" t="s">
        <v>228</v>
      </c>
      <c r="C108" s="10" t="s">
        <v>229</v>
      </c>
      <c r="D108" s="7"/>
      <c r="E108" s="7"/>
      <c r="F108" s="16"/>
      <c r="G108" s="59">
        <v>260.65</v>
      </c>
      <c r="H108" s="16"/>
      <c r="I108" s="16"/>
      <c r="J108" s="16"/>
      <c r="K108" s="55">
        <v>172.32</v>
      </c>
      <c r="L108" s="16"/>
      <c r="M108" s="16"/>
      <c r="N108" s="16"/>
      <c r="O108" s="11"/>
      <c r="P108" s="16">
        <v>96.66</v>
      </c>
      <c r="Q108" s="11">
        <f t="shared" si="1"/>
        <v>529.63</v>
      </c>
    </row>
    <row r="109" customHeight="1" spans="1:17">
      <c r="A109" s="7">
        <v>106</v>
      </c>
      <c r="B109" s="7" t="s">
        <v>230</v>
      </c>
      <c r="C109" s="10" t="s">
        <v>231</v>
      </c>
      <c r="D109" s="7"/>
      <c r="E109" s="7"/>
      <c r="F109" s="16"/>
      <c r="G109" s="59">
        <v>532.38</v>
      </c>
      <c r="H109" s="16"/>
      <c r="I109" s="16"/>
      <c r="J109" s="16"/>
      <c r="K109" s="55">
        <v>172.32</v>
      </c>
      <c r="L109" s="16"/>
      <c r="M109" s="16"/>
      <c r="N109" s="16"/>
      <c r="O109" s="11"/>
      <c r="P109" s="16">
        <v>96.66</v>
      </c>
      <c r="Q109" s="11">
        <f t="shared" si="1"/>
        <v>801.36</v>
      </c>
    </row>
    <row r="110" customHeight="1" spans="1:17">
      <c r="A110" s="7">
        <v>107</v>
      </c>
      <c r="B110" s="7" t="s">
        <v>232</v>
      </c>
      <c r="C110" s="10" t="s">
        <v>233</v>
      </c>
      <c r="D110" s="7"/>
      <c r="E110" s="7"/>
      <c r="F110" s="16"/>
      <c r="G110" s="59">
        <v>260.65</v>
      </c>
      <c r="H110" s="16"/>
      <c r="I110" s="16"/>
      <c r="J110" s="16"/>
      <c r="K110" s="55">
        <v>172.32</v>
      </c>
      <c r="L110" s="16"/>
      <c r="M110" s="16"/>
      <c r="N110" s="16"/>
      <c r="O110" s="11"/>
      <c r="P110" s="16">
        <v>96.66</v>
      </c>
      <c r="Q110" s="11">
        <f t="shared" si="1"/>
        <v>529.63</v>
      </c>
    </row>
    <row r="111" customHeight="1" spans="1:17">
      <c r="A111" s="7">
        <v>108</v>
      </c>
      <c r="B111" s="7" t="s">
        <v>234</v>
      </c>
      <c r="C111" s="10" t="s">
        <v>235</v>
      </c>
      <c r="D111" s="7"/>
      <c r="E111" s="7"/>
      <c r="F111" s="16"/>
      <c r="G111" s="59">
        <f>345+50</f>
        <v>395</v>
      </c>
      <c r="H111" s="16"/>
      <c r="I111" s="16"/>
      <c r="J111" s="16"/>
      <c r="K111" s="16"/>
      <c r="L111" s="55">
        <v>172.32</v>
      </c>
      <c r="M111" s="16"/>
      <c r="N111" s="16"/>
      <c r="O111" s="11"/>
      <c r="P111" s="16">
        <v>96.66</v>
      </c>
      <c r="Q111" s="11">
        <f t="shared" si="1"/>
        <v>663.98</v>
      </c>
    </row>
    <row r="112" customHeight="1" spans="1:17">
      <c r="A112" s="7">
        <v>109</v>
      </c>
      <c r="B112" s="7" t="s">
        <v>236</v>
      </c>
      <c r="C112" s="10" t="s">
        <v>237</v>
      </c>
      <c r="D112" s="7"/>
      <c r="E112" s="7"/>
      <c r="F112" s="16"/>
      <c r="G112" s="59">
        <v>260.65</v>
      </c>
      <c r="H112" s="16"/>
      <c r="I112" s="16"/>
      <c r="J112" s="16"/>
      <c r="K112" s="55">
        <v>172.32</v>
      </c>
      <c r="L112" s="16"/>
      <c r="M112" s="16"/>
      <c r="N112" s="16"/>
      <c r="O112" s="11"/>
      <c r="P112" s="16">
        <v>96.66</v>
      </c>
      <c r="Q112" s="11">
        <f t="shared" si="1"/>
        <v>529.63</v>
      </c>
    </row>
    <row r="113" customHeight="1" spans="1:17">
      <c r="A113" s="7">
        <v>110</v>
      </c>
      <c r="B113" s="7" t="s">
        <v>238</v>
      </c>
      <c r="C113" s="10" t="s">
        <v>239</v>
      </c>
      <c r="D113" s="7"/>
      <c r="E113" s="7"/>
      <c r="F113" s="16"/>
      <c r="G113" s="59">
        <v>260.65</v>
      </c>
      <c r="H113" s="16"/>
      <c r="I113" s="16"/>
      <c r="J113" s="16"/>
      <c r="K113" s="55">
        <v>172.32</v>
      </c>
      <c r="L113" s="16"/>
      <c r="M113" s="16"/>
      <c r="N113" s="16"/>
      <c r="O113" s="11"/>
      <c r="P113" s="16">
        <v>96.66</v>
      </c>
      <c r="Q113" s="11">
        <f t="shared" si="1"/>
        <v>529.63</v>
      </c>
    </row>
    <row r="114" customHeight="1" spans="1:17">
      <c r="A114" s="7">
        <v>111</v>
      </c>
      <c r="B114" s="7" t="s">
        <v>240</v>
      </c>
      <c r="C114" s="10" t="s">
        <v>241</v>
      </c>
      <c r="D114" s="7"/>
      <c r="E114" s="7"/>
      <c r="F114" s="16"/>
      <c r="G114" s="59">
        <v>260.65</v>
      </c>
      <c r="H114" s="16"/>
      <c r="I114" s="16"/>
      <c r="J114" s="16"/>
      <c r="K114" s="55">
        <v>172.32</v>
      </c>
      <c r="L114" s="16"/>
      <c r="M114" s="16"/>
      <c r="N114" s="16"/>
      <c r="O114" s="11"/>
      <c r="P114" s="16">
        <v>96.66</v>
      </c>
      <c r="Q114" s="11">
        <f t="shared" si="1"/>
        <v>529.63</v>
      </c>
    </row>
    <row r="115" customHeight="1" spans="1:17">
      <c r="A115" s="7">
        <v>112</v>
      </c>
      <c r="B115" s="7" t="s">
        <v>242</v>
      </c>
      <c r="C115" s="10" t="s">
        <v>243</v>
      </c>
      <c r="D115" s="7"/>
      <c r="E115" s="7"/>
      <c r="F115" s="16"/>
      <c r="G115" s="59">
        <v>260.65</v>
      </c>
      <c r="H115" s="16"/>
      <c r="I115" s="16"/>
      <c r="J115" s="16"/>
      <c r="K115" s="16"/>
      <c r="L115" s="55">
        <v>172.32</v>
      </c>
      <c r="M115" s="16"/>
      <c r="N115" s="16"/>
      <c r="O115" s="11"/>
      <c r="P115" s="16">
        <v>193.32</v>
      </c>
      <c r="Q115" s="11">
        <f t="shared" si="1"/>
        <v>626.29</v>
      </c>
    </row>
    <row r="116" customHeight="1" spans="1:17">
      <c r="A116" s="7">
        <v>113</v>
      </c>
      <c r="B116" s="7" t="s">
        <v>244</v>
      </c>
      <c r="C116" s="10" t="s">
        <v>245</v>
      </c>
      <c r="D116" s="7"/>
      <c r="E116" s="7"/>
      <c r="F116" s="16">
        <v>362.35</v>
      </c>
      <c r="G116" s="16"/>
      <c r="H116" s="16"/>
      <c r="I116" s="16"/>
      <c r="J116" s="16"/>
      <c r="K116" s="16"/>
      <c r="L116" s="16"/>
      <c r="M116" s="16"/>
      <c r="N116" s="16"/>
      <c r="O116" s="11"/>
      <c r="P116" s="16">
        <v>269.98</v>
      </c>
      <c r="Q116" s="11">
        <f t="shared" si="1"/>
        <v>632.33</v>
      </c>
    </row>
    <row r="117" customHeight="1" spans="1:17">
      <c r="A117" s="7">
        <v>114</v>
      </c>
      <c r="B117" s="7" t="s">
        <v>246</v>
      </c>
      <c r="C117" s="10" t="s">
        <v>247</v>
      </c>
      <c r="D117" s="7"/>
      <c r="E117" s="7"/>
      <c r="F117" s="16"/>
      <c r="G117" s="16"/>
      <c r="H117" s="16"/>
      <c r="I117" s="16"/>
      <c r="J117" s="16"/>
      <c r="K117" s="16"/>
      <c r="L117" s="16"/>
      <c r="M117" s="16"/>
      <c r="N117" s="16"/>
      <c r="O117" s="11"/>
      <c r="P117" s="16">
        <v>96.66</v>
      </c>
      <c r="Q117" s="11">
        <f t="shared" si="1"/>
        <v>96.66</v>
      </c>
    </row>
    <row r="118" customHeight="1" spans="1:17">
      <c r="A118" s="7">
        <v>115</v>
      </c>
      <c r="B118" s="7" t="s">
        <v>248</v>
      </c>
      <c r="C118" s="10" t="s">
        <v>249</v>
      </c>
      <c r="D118" s="7"/>
      <c r="E118" s="7"/>
      <c r="F118" s="16"/>
      <c r="G118" s="59">
        <v>260.65</v>
      </c>
      <c r="H118" s="16"/>
      <c r="I118" s="16"/>
      <c r="J118" s="16"/>
      <c r="K118" s="55">
        <v>172.32</v>
      </c>
      <c r="L118" s="16"/>
      <c r="M118" s="16"/>
      <c r="N118" s="16"/>
      <c r="O118" s="11"/>
      <c r="P118" s="16">
        <v>96.66</v>
      </c>
      <c r="Q118" s="11">
        <f t="shared" si="1"/>
        <v>529.63</v>
      </c>
    </row>
    <row r="119" customHeight="1" spans="1:17">
      <c r="A119" s="7">
        <v>116</v>
      </c>
      <c r="B119" s="7" t="s">
        <v>250</v>
      </c>
      <c r="C119" s="10" t="s">
        <v>251</v>
      </c>
      <c r="D119" s="7"/>
      <c r="E119" s="7"/>
      <c r="F119" s="16"/>
      <c r="G119" s="59">
        <v>260.65</v>
      </c>
      <c r="H119" s="16"/>
      <c r="I119" s="16"/>
      <c r="J119" s="16"/>
      <c r="K119" s="55">
        <v>172.32</v>
      </c>
      <c r="L119" s="16"/>
      <c r="M119" s="16"/>
      <c r="N119" s="16"/>
      <c r="O119" s="11"/>
      <c r="P119" s="16">
        <v>96.66</v>
      </c>
      <c r="Q119" s="11">
        <f t="shared" si="1"/>
        <v>529.63</v>
      </c>
    </row>
    <row r="120" customHeight="1" spans="1:17">
      <c r="A120" s="7">
        <v>117</v>
      </c>
      <c r="B120" s="7" t="s">
        <v>252</v>
      </c>
      <c r="C120" s="10" t="s">
        <v>253</v>
      </c>
      <c r="D120" s="7"/>
      <c r="E120" s="7"/>
      <c r="F120" s="16"/>
      <c r="G120" s="16"/>
      <c r="H120" s="16"/>
      <c r="I120" s="16"/>
      <c r="J120" s="16"/>
      <c r="K120" s="55">
        <v>260.65</v>
      </c>
      <c r="L120" s="16"/>
      <c r="M120" s="16"/>
      <c r="N120" s="16"/>
      <c r="O120" s="11"/>
      <c r="P120" s="16">
        <v>269.98</v>
      </c>
      <c r="Q120" s="11">
        <f t="shared" si="1"/>
        <v>530.63</v>
      </c>
    </row>
    <row r="121" customHeight="1" spans="1:17">
      <c r="A121" s="7">
        <v>118</v>
      </c>
      <c r="B121" s="7" t="s">
        <v>254</v>
      </c>
      <c r="C121" s="10" t="s">
        <v>255</v>
      </c>
      <c r="D121" s="7"/>
      <c r="E121" s="7"/>
      <c r="F121" s="16"/>
      <c r="G121" s="59">
        <v>260.65</v>
      </c>
      <c r="H121" s="16"/>
      <c r="I121" s="16"/>
      <c r="J121" s="16"/>
      <c r="K121" s="55">
        <v>172.32</v>
      </c>
      <c r="L121" s="16"/>
      <c r="M121" s="16"/>
      <c r="N121" s="16"/>
      <c r="O121" s="11"/>
      <c r="P121" s="16">
        <v>193.32</v>
      </c>
      <c r="Q121" s="11">
        <f t="shared" si="1"/>
        <v>626.29</v>
      </c>
    </row>
    <row r="122" customHeight="1" spans="1:17">
      <c r="A122" s="7">
        <v>119</v>
      </c>
      <c r="B122" s="7" t="s">
        <v>256</v>
      </c>
      <c r="C122" s="12" t="s">
        <v>257</v>
      </c>
      <c r="D122" s="7"/>
      <c r="E122" s="7"/>
      <c r="F122" s="16"/>
      <c r="G122" s="59">
        <v>260.65</v>
      </c>
      <c r="H122" s="16"/>
      <c r="I122" s="16"/>
      <c r="J122" s="16"/>
      <c r="K122" s="55">
        <v>172.32</v>
      </c>
      <c r="L122" s="16"/>
      <c r="M122" s="16"/>
      <c r="N122" s="16"/>
      <c r="O122" s="11"/>
      <c r="P122" s="16">
        <v>96.66</v>
      </c>
      <c r="Q122" s="11">
        <f t="shared" si="1"/>
        <v>529.63</v>
      </c>
    </row>
    <row r="123" customHeight="1" spans="1:17">
      <c r="A123" s="7">
        <v>120</v>
      </c>
      <c r="B123" s="7" t="s">
        <v>258</v>
      </c>
      <c r="C123" s="10" t="s">
        <v>259</v>
      </c>
      <c r="D123" s="7"/>
      <c r="E123" s="7"/>
      <c r="F123" s="16"/>
      <c r="G123" s="59">
        <f>550+5.15</f>
        <v>555.15</v>
      </c>
      <c r="H123" s="16"/>
      <c r="I123" s="16"/>
      <c r="J123" s="16"/>
      <c r="K123" s="55">
        <v>172.32</v>
      </c>
      <c r="L123" s="16"/>
      <c r="M123" s="16"/>
      <c r="N123" s="16"/>
      <c r="O123" s="11"/>
      <c r="P123" s="16">
        <v>96.66</v>
      </c>
      <c r="Q123" s="11">
        <f t="shared" si="1"/>
        <v>824.13</v>
      </c>
    </row>
    <row r="124" customHeight="1" spans="1:17">
      <c r="A124" s="7">
        <v>121</v>
      </c>
      <c r="B124" s="7" t="s">
        <v>260</v>
      </c>
      <c r="C124" s="10" t="s">
        <v>261</v>
      </c>
      <c r="D124" s="7"/>
      <c r="E124" s="7"/>
      <c r="F124" s="16"/>
      <c r="G124" s="16"/>
      <c r="H124" s="59">
        <v>260.65</v>
      </c>
      <c r="I124" s="16"/>
      <c r="J124" s="16"/>
      <c r="K124" s="55">
        <v>172.32</v>
      </c>
      <c r="L124" s="16"/>
      <c r="M124" s="16"/>
      <c r="N124" s="16"/>
      <c r="O124" s="11"/>
      <c r="P124" s="16">
        <v>96.66</v>
      </c>
      <c r="Q124" s="11">
        <f t="shared" si="1"/>
        <v>529.63</v>
      </c>
    </row>
    <row r="125" customHeight="1" spans="1:17">
      <c r="A125" s="7">
        <v>122</v>
      </c>
      <c r="B125" s="7" t="s">
        <v>262</v>
      </c>
      <c r="C125" s="10" t="s">
        <v>263</v>
      </c>
      <c r="D125" s="7"/>
      <c r="E125" s="7"/>
      <c r="F125" s="16"/>
      <c r="G125" s="16"/>
      <c r="H125" s="55">
        <v>199.06</v>
      </c>
      <c r="I125" s="16"/>
      <c r="J125" s="16"/>
      <c r="K125" s="55">
        <f>61.59+172.32</f>
        <v>233.91</v>
      </c>
      <c r="L125" s="16"/>
      <c r="M125" s="16"/>
      <c r="N125" s="16"/>
      <c r="O125" s="11"/>
      <c r="P125" s="16">
        <v>96.66</v>
      </c>
      <c r="Q125" s="11">
        <f t="shared" si="1"/>
        <v>529.63</v>
      </c>
    </row>
    <row r="126" customHeight="1" spans="1:17">
      <c r="A126" s="7">
        <v>123</v>
      </c>
      <c r="B126" s="7" t="s">
        <v>264</v>
      </c>
      <c r="C126" s="10" t="s">
        <v>265</v>
      </c>
      <c r="D126" s="7"/>
      <c r="E126" s="7"/>
      <c r="F126" s="16"/>
      <c r="G126" s="59">
        <v>158.95</v>
      </c>
      <c r="H126" s="16"/>
      <c r="I126" s="16"/>
      <c r="J126" s="16"/>
      <c r="K126" s="55">
        <v>172.32</v>
      </c>
      <c r="L126" s="16"/>
      <c r="M126" s="16"/>
      <c r="N126" s="16"/>
      <c r="O126" s="11"/>
      <c r="P126" s="16"/>
      <c r="Q126" s="11">
        <f t="shared" si="1"/>
        <v>331.27</v>
      </c>
    </row>
    <row r="127" customHeight="1" spans="1:17">
      <c r="A127" s="7">
        <v>124</v>
      </c>
      <c r="B127" s="7" t="s">
        <v>266</v>
      </c>
      <c r="C127" s="10" t="s">
        <v>267</v>
      </c>
      <c r="D127" s="7"/>
      <c r="E127" s="7"/>
      <c r="F127" s="16"/>
      <c r="G127" s="59">
        <v>260.65</v>
      </c>
      <c r="H127" s="16"/>
      <c r="I127" s="16"/>
      <c r="J127" s="16"/>
      <c r="K127" s="55">
        <v>172.32</v>
      </c>
      <c r="L127" s="16"/>
      <c r="M127" s="16"/>
      <c r="N127" s="16"/>
      <c r="O127" s="11"/>
      <c r="P127" s="16">
        <v>96.66</v>
      </c>
      <c r="Q127" s="11">
        <f t="shared" si="1"/>
        <v>529.63</v>
      </c>
    </row>
    <row r="128" customHeight="1" spans="1:17">
      <c r="A128" s="7">
        <v>125</v>
      </c>
      <c r="B128" s="7" t="s">
        <v>268</v>
      </c>
      <c r="C128" s="16"/>
      <c r="D128" s="7"/>
      <c r="E128" s="7"/>
      <c r="F128" s="16"/>
      <c r="H128" s="16"/>
      <c r="I128" s="16"/>
      <c r="J128" s="16"/>
      <c r="K128" s="55"/>
      <c r="L128" s="16"/>
      <c r="M128" s="16"/>
      <c r="N128" s="16"/>
      <c r="O128" s="11"/>
      <c r="P128" s="16"/>
      <c r="Q128" s="11">
        <f t="shared" si="1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/>
      <c r="E129" s="7"/>
      <c r="F129" s="16"/>
      <c r="G129" s="59">
        <v>296.21</v>
      </c>
      <c r="H129" s="16"/>
      <c r="I129" s="16"/>
      <c r="J129" s="16"/>
      <c r="K129" s="16">
        <v>172.32</v>
      </c>
      <c r="L129" s="16"/>
      <c r="M129" s="16"/>
      <c r="N129" s="16"/>
      <c r="O129" s="11"/>
      <c r="P129" s="16">
        <v>96.66</v>
      </c>
      <c r="Q129" s="11">
        <f t="shared" si="1"/>
        <v>565.19</v>
      </c>
    </row>
    <row r="130" customHeight="1" spans="1:17">
      <c r="A130" s="7">
        <v>127</v>
      </c>
      <c r="B130" s="7" t="s">
        <v>271</v>
      </c>
      <c r="C130" s="10" t="s">
        <v>272</v>
      </c>
      <c r="D130" s="7"/>
      <c r="E130" s="7"/>
      <c r="F130" s="16"/>
      <c r="G130" s="16"/>
      <c r="H130" s="16"/>
      <c r="I130" s="60">
        <v>260.65</v>
      </c>
      <c r="J130" s="16"/>
      <c r="K130" s="55">
        <v>172.32</v>
      </c>
      <c r="L130" s="16"/>
      <c r="M130" s="16"/>
      <c r="N130" s="16"/>
      <c r="O130" s="11"/>
      <c r="P130" s="16">
        <v>96.66</v>
      </c>
      <c r="Q130" s="11">
        <f t="shared" si="1"/>
        <v>529.63</v>
      </c>
    </row>
    <row r="131" customHeight="1" spans="1:17">
      <c r="A131" s="7">
        <v>128</v>
      </c>
      <c r="B131" s="7" t="s">
        <v>273</v>
      </c>
      <c r="C131" s="10" t="s">
        <v>274</v>
      </c>
      <c r="D131" s="7"/>
      <c r="E131" s="7"/>
      <c r="F131" s="16"/>
      <c r="G131" s="16"/>
      <c r="H131" s="16"/>
      <c r="I131" s="60">
        <v>260.65</v>
      </c>
      <c r="J131" s="16"/>
      <c r="K131" s="55">
        <f>260+0.5+172.32</f>
        <v>432.82</v>
      </c>
      <c r="L131" s="16"/>
      <c r="M131" s="55">
        <v>0.5</v>
      </c>
      <c r="N131" s="16"/>
      <c r="O131" s="11"/>
      <c r="P131" s="16">
        <v>96.66</v>
      </c>
      <c r="Q131" s="11">
        <f t="shared" si="1"/>
        <v>790.63</v>
      </c>
    </row>
    <row r="132" customHeight="1" spans="1:17">
      <c r="A132" s="7">
        <v>129</v>
      </c>
      <c r="B132" s="16"/>
      <c r="C132" s="16" t="s">
        <v>275</v>
      </c>
      <c r="D132" s="16">
        <f t="shared" ref="D132:Q132" si="2">SUM(D4:D131)</f>
        <v>0</v>
      </c>
      <c r="E132" s="16">
        <f t="shared" si="2"/>
        <v>0</v>
      </c>
      <c r="F132" s="16">
        <f t="shared" si="2"/>
        <v>1657.42</v>
      </c>
      <c r="G132" s="16">
        <f t="shared" si="2"/>
        <v>26139.42</v>
      </c>
      <c r="H132" s="16">
        <f t="shared" si="2"/>
        <v>1615.6</v>
      </c>
      <c r="I132" s="16">
        <f t="shared" si="2"/>
        <v>1338.26</v>
      </c>
      <c r="J132" s="16">
        <f t="shared" si="2"/>
        <v>0</v>
      </c>
      <c r="K132" s="16">
        <f t="shared" si="2"/>
        <v>18825.47</v>
      </c>
      <c r="L132" s="16">
        <f t="shared" si="2"/>
        <v>2615.91</v>
      </c>
      <c r="M132" s="16">
        <f t="shared" si="2"/>
        <v>564.25</v>
      </c>
      <c r="N132" s="16">
        <f t="shared" si="2"/>
        <v>0</v>
      </c>
      <c r="O132" s="16">
        <f t="shared" si="2"/>
        <v>0</v>
      </c>
      <c r="P132" s="16">
        <f t="shared" si="2"/>
        <v>11635.33</v>
      </c>
      <c r="Q132" s="16">
        <f t="shared" si="2"/>
        <v>64391.6599999999</v>
      </c>
    </row>
    <row r="133" customHeight="1" spans="4:4">
      <c r="D133" s="47">
        <v>35215</v>
      </c>
    </row>
  </sheetData>
  <mergeCells count="3">
    <mergeCell ref="A1:Q1"/>
    <mergeCell ref="A2:D2"/>
    <mergeCell ref="O2:Q2"/>
  </mergeCells>
  <conditionalFormatting sqref="C4:C67">
    <cfRule type="cellIs" dxfId="1" priority="4" operator="equal">
      <formula>0</formula>
    </cfRule>
    <cfRule type="duplicateValues" dxfId="0" priority="3"/>
  </conditionalFormatting>
  <conditionalFormatting sqref="C68:C127 C129:C131">
    <cfRule type="cellIs" dxfId="1" priority="2" operator="equal">
      <formula>0</formula>
    </cfRule>
    <cfRule type="cellIs" dxfId="1" priority="1" operator="equal">
      <formula>0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33"/>
  <sheetViews>
    <sheetView tabSelected="1" view="pageBreakPreview" zoomScaleNormal="100" topLeftCell="A118" workbookViewId="0">
      <selection activeCell="I112" sqref="I112"/>
    </sheetView>
  </sheetViews>
  <sheetFormatPr defaultColWidth="9" defaultRowHeight="24" customHeight="1"/>
  <cols>
    <col min="1" max="1" width="6" style="3" customWidth="1"/>
    <col min="2" max="2" width="9" style="3"/>
    <col min="3" max="3" width="9.75" style="3" customWidth="1"/>
    <col min="4" max="4" width="10.25" style="3" customWidth="1"/>
    <col min="5" max="5" width="12.3833333333333" style="3" customWidth="1"/>
    <col min="6" max="6" width="10.5" style="3" customWidth="1"/>
    <col min="7" max="8" width="9" style="3"/>
    <col min="9" max="9" width="9" style="1"/>
    <col min="10" max="10" width="9" style="3"/>
    <col min="11" max="11" width="10.25" style="3" customWidth="1"/>
    <col min="12" max="12" width="9" style="3"/>
    <col min="13" max="13" width="11.25" style="3" customWidth="1"/>
    <col min="14" max="16" width="9" style="3"/>
    <col min="17" max="17" width="11" style="1" customWidth="1"/>
    <col min="18" max="16384" width="9" style="2"/>
  </cols>
  <sheetData>
    <row r="1" s="48" customFormat="1" ht="41" customHeight="1" spans="1:17">
      <c r="A1" s="49" t="s">
        <v>281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r="2" customFormat="1" customHeight="1" spans="1:17">
      <c r="A2" s="5" t="s">
        <v>1</v>
      </c>
      <c r="B2" s="5"/>
      <c r="C2" s="5"/>
      <c r="D2" s="5"/>
      <c r="E2" s="6"/>
      <c r="F2" s="3"/>
      <c r="G2" s="3"/>
      <c r="H2" s="3"/>
      <c r="I2" s="1"/>
      <c r="J2" s="3"/>
      <c r="K2" s="3"/>
      <c r="L2" s="3"/>
      <c r="M2" s="3"/>
      <c r="N2" s="3"/>
      <c r="O2" s="50" t="s">
        <v>2</v>
      </c>
      <c r="P2" s="50"/>
      <c r="Q2" s="13"/>
    </row>
    <row r="3" s="1" customFormat="1" ht="45" customHeight="1" spans="1:17">
      <c r="A3" s="7" t="s">
        <v>3</v>
      </c>
      <c r="B3" s="7" t="s">
        <v>4</v>
      </c>
      <c r="C3" s="7" t="s">
        <v>5</v>
      </c>
      <c r="D3" s="36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14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/>
      <c r="E4" s="7"/>
      <c r="F4" s="16">
        <v>83.64</v>
      </c>
      <c r="G4" s="16">
        <v>6.15</v>
      </c>
      <c r="H4" s="16"/>
      <c r="I4" s="11"/>
      <c r="J4" s="37">
        <v>133.52</v>
      </c>
      <c r="K4" s="16"/>
      <c r="L4" s="16"/>
      <c r="M4" s="16"/>
      <c r="N4" s="16"/>
      <c r="O4" s="16"/>
      <c r="P4" s="16"/>
      <c r="Q4" s="11">
        <f t="shared" ref="Q4:Q67" si="0">D4+E4+F4+G4+H4+I4+J4+K4+L4+M4+N4+O4+P4</f>
        <v>223.31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/>
      <c r="E5" s="7"/>
      <c r="F5" s="16"/>
      <c r="G5" s="16"/>
      <c r="H5" s="16"/>
      <c r="I5" s="11"/>
      <c r="J5" s="51">
        <v>133.52</v>
      </c>
      <c r="K5" s="16"/>
      <c r="L5" s="16"/>
      <c r="M5" s="16"/>
      <c r="N5" s="16"/>
      <c r="O5" s="16"/>
      <c r="P5" s="16"/>
      <c r="Q5" s="11">
        <f t="shared" si="0"/>
        <v>133.52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/>
      <c r="E6" s="7"/>
      <c r="F6" s="16"/>
      <c r="G6" s="16"/>
      <c r="H6" s="16"/>
      <c r="I6" s="11"/>
      <c r="J6" s="37"/>
      <c r="K6" s="37">
        <v>133.52</v>
      </c>
      <c r="L6" s="16"/>
      <c r="M6" s="16"/>
      <c r="N6" s="16"/>
      <c r="O6" s="16"/>
      <c r="P6" s="16"/>
      <c r="Q6" s="11">
        <f t="shared" si="0"/>
        <v>133.52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/>
      <c r="E7" s="7"/>
      <c r="F7" s="16">
        <v>89.79</v>
      </c>
      <c r="G7" s="16"/>
      <c r="H7" s="16"/>
      <c r="I7" s="11"/>
      <c r="J7" s="37"/>
      <c r="K7" s="16"/>
      <c r="L7" s="16"/>
      <c r="M7" s="16"/>
      <c r="N7" s="16"/>
      <c r="O7" s="16"/>
      <c r="P7" s="16"/>
      <c r="Q7" s="11">
        <f t="shared" si="0"/>
        <v>89.79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/>
      <c r="E8" s="7">
        <v>89.79</v>
      </c>
      <c r="F8" s="16"/>
      <c r="G8" s="16"/>
      <c r="H8" s="16"/>
      <c r="I8" s="11"/>
      <c r="J8" s="51">
        <v>133.52</v>
      </c>
      <c r="K8" s="16"/>
      <c r="L8" s="16"/>
      <c r="M8" s="16"/>
      <c r="N8" s="16"/>
      <c r="O8" s="16"/>
      <c r="P8" s="16"/>
      <c r="Q8" s="11">
        <f t="shared" si="0"/>
        <v>223.31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/>
      <c r="E9" s="7"/>
      <c r="F9" s="16"/>
      <c r="G9" s="16"/>
      <c r="H9" s="16"/>
      <c r="I9" s="11"/>
      <c r="J9" s="37"/>
      <c r="K9" s="37">
        <v>133.52</v>
      </c>
      <c r="L9" s="16"/>
      <c r="M9" s="16"/>
      <c r="N9" s="16"/>
      <c r="O9" s="16"/>
      <c r="P9" s="16"/>
      <c r="Q9" s="11">
        <f t="shared" si="0"/>
        <v>133.52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/>
      <c r="E10" s="7"/>
      <c r="F10" s="16"/>
      <c r="G10" s="16"/>
      <c r="H10" s="16"/>
      <c r="I10" s="11"/>
      <c r="J10" s="51">
        <v>133.52</v>
      </c>
      <c r="K10" s="16"/>
      <c r="L10" s="16"/>
      <c r="M10" s="16"/>
      <c r="N10" s="16"/>
      <c r="O10" s="16"/>
      <c r="P10" s="16"/>
      <c r="Q10" s="11">
        <f t="shared" si="0"/>
        <v>133.52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/>
      <c r="E11" s="7"/>
      <c r="F11" s="16"/>
      <c r="G11" s="16"/>
      <c r="H11" s="16"/>
      <c r="I11" s="11"/>
      <c r="J11" s="16"/>
      <c r="K11" s="16"/>
      <c r="L11" s="16"/>
      <c r="M11" s="16"/>
      <c r="N11" s="16"/>
      <c r="O11" s="16"/>
      <c r="P11" s="16"/>
      <c r="Q11" s="11">
        <f t="shared" si="0"/>
        <v>0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/>
      <c r="E12" s="7"/>
      <c r="F12" s="16"/>
      <c r="G12" s="16"/>
      <c r="H12" s="16"/>
      <c r="I12" s="11"/>
      <c r="J12" s="37">
        <v>133.52</v>
      </c>
      <c r="K12" s="16"/>
      <c r="L12" s="16"/>
      <c r="M12" s="16"/>
      <c r="N12" s="16"/>
      <c r="O12" s="16"/>
      <c r="P12" s="16"/>
      <c r="Q12" s="11">
        <f t="shared" si="0"/>
        <v>133.52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/>
      <c r="E13" s="7"/>
      <c r="F13" s="16">
        <v>89.79</v>
      </c>
      <c r="G13" s="16"/>
      <c r="H13" s="16"/>
      <c r="I13" s="11"/>
      <c r="J13" s="37"/>
      <c r="K13" s="16"/>
      <c r="L13" s="16"/>
      <c r="M13" s="16"/>
      <c r="N13" s="16"/>
      <c r="O13" s="16"/>
      <c r="P13" s="16"/>
      <c r="Q13" s="11">
        <f t="shared" si="0"/>
        <v>89.79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/>
      <c r="E14" s="7">
        <v>89.79</v>
      </c>
      <c r="F14" s="16"/>
      <c r="G14" s="16"/>
      <c r="H14" s="16"/>
      <c r="I14" s="11"/>
      <c r="J14" s="37"/>
      <c r="K14" s="51">
        <v>133.52</v>
      </c>
      <c r="L14" s="16"/>
      <c r="M14" s="16"/>
      <c r="N14" s="16"/>
      <c r="O14" s="16"/>
      <c r="P14" s="16"/>
      <c r="Q14" s="11">
        <f t="shared" si="0"/>
        <v>223.31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/>
      <c r="E15" s="7"/>
      <c r="F15" s="16"/>
      <c r="G15" s="16"/>
      <c r="H15" s="16"/>
      <c r="I15" s="11"/>
      <c r="J15" s="37">
        <v>133.52</v>
      </c>
      <c r="K15" s="16"/>
      <c r="L15" s="16"/>
      <c r="M15" s="16"/>
      <c r="N15" s="16"/>
      <c r="O15" s="16"/>
      <c r="P15" s="16"/>
      <c r="Q15" s="11">
        <f t="shared" si="0"/>
        <v>133.52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/>
      <c r="E16" s="7"/>
      <c r="F16" s="16"/>
      <c r="G16" s="16"/>
      <c r="H16" s="16"/>
      <c r="I16" s="11"/>
      <c r="J16" s="51">
        <v>133.52</v>
      </c>
      <c r="K16" s="37"/>
      <c r="L16" s="16"/>
      <c r="M16" s="16"/>
      <c r="N16" s="16"/>
      <c r="O16" s="16"/>
      <c r="P16" s="16"/>
      <c r="Q16" s="11">
        <f t="shared" si="0"/>
        <v>133.52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/>
      <c r="E17" s="7"/>
      <c r="F17" s="16"/>
      <c r="G17" s="16"/>
      <c r="H17" s="16"/>
      <c r="I17" s="11"/>
      <c r="J17" s="16"/>
      <c r="K17" s="37"/>
      <c r="L17" s="16"/>
      <c r="M17" s="16"/>
      <c r="N17" s="16"/>
      <c r="O17" s="16"/>
      <c r="P17" s="16"/>
      <c r="Q17" s="11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/>
      <c r="E18" s="7"/>
      <c r="F18" s="16"/>
      <c r="G18" s="16"/>
      <c r="H18" s="16"/>
      <c r="I18" s="11"/>
      <c r="J18" s="16"/>
      <c r="K18" s="37"/>
      <c r="L18" s="16"/>
      <c r="M18" s="16"/>
      <c r="N18" s="16"/>
      <c r="O18" s="16"/>
      <c r="P18" s="16"/>
      <c r="Q18" s="11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/>
      <c r="E19" s="7"/>
      <c r="F19" s="16"/>
      <c r="G19" s="16"/>
      <c r="H19" s="16"/>
      <c r="I19" s="11"/>
      <c r="J19" s="51">
        <v>133.52</v>
      </c>
      <c r="K19" s="37"/>
      <c r="L19" s="16"/>
      <c r="M19" s="16"/>
      <c r="N19" s="16"/>
      <c r="O19" s="16"/>
      <c r="P19" s="16"/>
      <c r="Q19" s="11">
        <f t="shared" si="0"/>
        <v>133.52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/>
      <c r="E20" s="7"/>
      <c r="F20" s="16"/>
      <c r="G20" s="16"/>
      <c r="H20" s="16"/>
      <c r="I20" s="11"/>
      <c r="J20" s="37"/>
      <c r="K20" s="51">
        <v>133.52</v>
      </c>
      <c r="L20" s="16"/>
      <c r="M20" s="16"/>
      <c r="N20" s="16"/>
      <c r="O20" s="16"/>
      <c r="P20" s="16"/>
      <c r="Q20" s="11">
        <f t="shared" si="0"/>
        <v>133.52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/>
      <c r="E21" s="7"/>
      <c r="F21" s="16"/>
      <c r="G21" s="16"/>
      <c r="H21" s="16"/>
      <c r="I21" s="11"/>
      <c r="J21" s="51">
        <v>133.52</v>
      </c>
      <c r="K21" s="37"/>
      <c r="L21" s="16"/>
      <c r="M21" s="16"/>
      <c r="N21" s="16"/>
      <c r="O21" s="16"/>
      <c r="P21" s="16"/>
      <c r="Q21" s="11">
        <f t="shared" si="0"/>
        <v>133.52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/>
      <c r="E22" s="7">
        <v>89.79</v>
      </c>
      <c r="F22" s="16"/>
      <c r="G22" s="16"/>
      <c r="H22" s="16"/>
      <c r="I22" s="11"/>
      <c r="J22" s="37"/>
      <c r="K22" s="16"/>
      <c r="L22" s="16">
        <v>133.52</v>
      </c>
      <c r="M22" s="16"/>
      <c r="N22" s="16"/>
      <c r="O22" s="16"/>
      <c r="P22" s="16"/>
      <c r="Q22" s="11">
        <f t="shared" si="0"/>
        <v>223.31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/>
      <c r="E23" s="7">
        <v>89.79</v>
      </c>
      <c r="F23" s="16"/>
      <c r="G23" s="16"/>
      <c r="H23" s="16"/>
      <c r="I23" s="11"/>
      <c r="J23" s="37"/>
      <c r="K23" s="51">
        <v>133.52</v>
      </c>
      <c r="L23" s="16"/>
      <c r="M23" s="16"/>
      <c r="N23" s="16"/>
      <c r="O23" s="16"/>
      <c r="P23" s="16"/>
      <c r="Q23" s="11">
        <f t="shared" si="0"/>
        <v>223.31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/>
      <c r="E24" s="7"/>
      <c r="F24" s="16"/>
      <c r="G24" s="16"/>
      <c r="H24" s="16"/>
      <c r="I24" s="11"/>
      <c r="J24" s="51">
        <v>133.52</v>
      </c>
      <c r="K24" s="16"/>
      <c r="L24" s="16"/>
      <c r="M24" s="16"/>
      <c r="N24" s="16"/>
      <c r="O24" s="16"/>
      <c r="P24" s="16"/>
      <c r="Q24" s="11">
        <f t="shared" si="0"/>
        <v>133.52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/>
      <c r="E25" s="7"/>
      <c r="F25" s="16"/>
      <c r="G25" s="16"/>
      <c r="H25" s="16"/>
      <c r="I25" s="11"/>
      <c r="J25" s="16"/>
      <c r="K25" s="16"/>
      <c r="L25" s="16">
        <v>133.52</v>
      </c>
      <c r="M25" s="16"/>
      <c r="N25" s="16"/>
      <c r="O25" s="16"/>
      <c r="P25" s="16"/>
      <c r="Q25" s="11">
        <f t="shared" si="0"/>
        <v>133.52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/>
      <c r="E26" s="7"/>
      <c r="F26" s="16"/>
      <c r="G26" s="16"/>
      <c r="H26" s="16"/>
      <c r="I26" s="11"/>
      <c r="J26" s="16"/>
      <c r="K26" s="16"/>
      <c r="L26" s="16"/>
      <c r="M26" s="16"/>
      <c r="N26" s="16"/>
      <c r="O26" s="16">
        <v>133.52</v>
      </c>
      <c r="P26" s="16"/>
      <c r="Q26" s="11">
        <f t="shared" si="0"/>
        <v>133.52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/>
      <c r="E27" s="7"/>
      <c r="F27" s="16"/>
      <c r="G27" s="16"/>
      <c r="H27" s="16"/>
      <c r="I27" s="11"/>
      <c r="J27" s="16"/>
      <c r="K27" s="16"/>
      <c r="L27" s="16"/>
      <c r="M27" s="16"/>
      <c r="N27" s="16"/>
      <c r="O27" s="16"/>
      <c r="P27" s="16"/>
      <c r="Q27" s="11">
        <f t="shared" si="0"/>
        <v>0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/>
      <c r="E28" s="7"/>
      <c r="F28" s="16"/>
      <c r="G28" s="16"/>
      <c r="H28" s="16"/>
      <c r="I28" s="11"/>
      <c r="J28" s="51">
        <v>133.52</v>
      </c>
      <c r="K28" s="16"/>
      <c r="L28" s="16"/>
      <c r="M28" s="16"/>
      <c r="N28" s="16"/>
      <c r="O28" s="16"/>
      <c r="P28" s="16"/>
      <c r="Q28" s="11">
        <f t="shared" si="0"/>
        <v>133.52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/>
      <c r="E29" s="7"/>
      <c r="F29" s="16"/>
      <c r="G29" s="16"/>
      <c r="H29" s="16"/>
      <c r="I29" s="11"/>
      <c r="J29" s="37"/>
      <c r="K29" s="37">
        <v>133.52</v>
      </c>
      <c r="L29" s="16"/>
      <c r="M29" s="16"/>
      <c r="N29" s="16"/>
      <c r="O29" s="16"/>
      <c r="P29" s="16"/>
      <c r="Q29" s="11">
        <f t="shared" si="0"/>
        <v>133.52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/>
      <c r="E30" s="7"/>
      <c r="F30" s="16"/>
      <c r="G30" s="16"/>
      <c r="H30" s="16"/>
      <c r="I30" s="11"/>
      <c r="J30" s="51">
        <v>129.97</v>
      </c>
      <c r="K30" s="37">
        <v>3.55</v>
      </c>
      <c r="L30" s="16"/>
      <c r="M30" s="16"/>
      <c r="N30" s="16"/>
      <c r="O30" s="16"/>
      <c r="P30" s="16"/>
      <c r="Q30" s="11">
        <f t="shared" si="0"/>
        <v>133.52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/>
      <c r="E31" s="7"/>
      <c r="F31" s="16"/>
      <c r="G31" s="16"/>
      <c r="H31" s="16"/>
      <c r="I31" s="11"/>
      <c r="J31" s="37"/>
      <c r="K31" s="16"/>
      <c r="L31" s="16"/>
      <c r="M31" s="16"/>
      <c r="N31" s="16"/>
      <c r="O31" s="16"/>
      <c r="P31" s="16"/>
      <c r="Q31" s="11">
        <f t="shared" si="0"/>
        <v>0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/>
      <c r="E32" s="7"/>
      <c r="F32" s="16"/>
      <c r="G32" s="16"/>
      <c r="H32" s="16"/>
      <c r="I32" s="11"/>
      <c r="J32" s="51">
        <v>133.52</v>
      </c>
      <c r="K32" s="16"/>
      <c r="L32" s="16"/>
      <c r="M32" s="16"/>
      <c r="N32" s="16"/>
      <c r="O32" s="16"/>
      <c r="P32" s="16"/>
      <c r="Q32" s="11">
        <f t="shared" si="0"/>
        <v>133.52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/>
      <c r="E33" s="7"/>
      <c r="F33" s="16"/>
      <c r="G33" s="16">
        <v>89.79</v>
      </c>
      <c r="H33" s="16"/>
      <c r="I33" s="11"/>
      <c r="J33" s="16"/>
      <c r="K33" s="37">
        <v>133.52</v>
      </c>
      <c r="L33" s="16"/>
      <c r="M33" s="16"/>
      <c r="N33" s="16"/>
      <c r="O33" s="16"/>
      <c r="P33" s="16"/>
      <c r="Q33" s="11">
        <f t="shared" si="0"/>
        <v>223.31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/>
      <c r="E34" s="7">
        <v>89.76</v>
      </c>
      <c r="F34" s="16"/>
      <c r="G34" s="16"/>
      <c r="H34" s="16"/>
      <c r="I34" s="11"/>
      <c r="J34" s="37">
        <v>110</v>
      </c>
      <c r="K34" s="16"/>
      <c r="L34" s="16"/>
      <c r="M34" s="16"/>
      <c r="N34" s="16"/>
      <c r="O34" s="16"/>
      <c r="P34" s="16"/>
      <c r="Q34" s="11">
        <f t="shared" si="0"/>
        <v>199.76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/>
      <c r="E35" s="7"/>
      <c r="F35" s="16"/>
      <c r="G35" s="16"/>
      <c r="H35" s="16"/>
      <c r="I35" s="11"/>
      <c r="J35" s="37">
        <v>133.52</v>
      </c>
      <c r="K35" s="16"/>
      <c r="L35" s="16"/>
      <c r="M35" s="16"/>
      <c r="N35" s="16"/>
      <c r="O35" s="16"/>
      <c r="P35" s="16"/>
      <c r="Q35" s="11">
        <f t="shared" si="0"/>
        <v>133.52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/>
      <c r="E36" s="7"/>
      <c r="F36" s="16"/>
      <c r="G36" s="16"/>
      <c r="H36" s="16"/>
      <c r="I36" s="11"/>
      <c r="J36" s="16"/>
      <c r="K36" s="16"/>
      <c r="L36" s="16"/>
      <c r="M36" s="16"/>
      <c r="N36" s="16"/>
      <c r="O36" s="16"/>
      <c r="P36" s="16"/>
      <c r="Q36" s="11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/>
      <c r="E37" s="7"/>
      <c r="F37" s="16"/>
      <c r="G37" s="16"/>
      <c r="H37" s="16"/>
      <c r="I37" s="11"/>
      <c r="J37" s="16"/>
      <c r="K37" s="16"/>
      <c r="L37" s="16"/>
      <c r="M37" s="16"/>
      <c r="N37" s="16"/>
      <c r="O37" s="16"/>
      <c r="P37" s="16"/>
      <c r="Q37" s="11">
        <f t="shared" si="0"/>
        <v>0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/>
      <c r="E38" s="7"/>
      <c r="F38" s="16"/>
      <c r="G38" s="16"/>
      <c r="H38" s="16"/>
      <c r="I38" s="11"/>
      <c r="J38" s="51">
        <v>133.52</v>
      </c>
      <c r="K38" s="16"/>
      <c r="L38" s="16"/>
      <c r="M38" s="16"/>
      <c r="N38" s="16"/>
      <c r="O38" s="16"/>
      <c r="P38" s="16"/>
      <c r="Q38" s="11">
        <f t="shared" si="0"/>
        <v>133.52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/>
      <c r="E39" s="7"/>
      <c r="F39" s="16"/>
      <c r="G39" s="16"/>
      <c r="H39" s="16"/>
      <c r="I39" s="11"/>
      <c r="J39" s="37">
        <v>133.52</v>
      </c>
      <c r="K39" s="16"/>
      <c r="L39" s="16"/>
      <c r="M39" s="16"/>
      <c r="N39" s="16"/>
      <c r="O39" s="16"/>
      <c r="P39" s="16"/>
      <c r="Q39" s="11">
        <f t="shared" si="0"/>
        <v>133.52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/>
      <c r="E40" s="7"/>
      <c r="F40" s="16"/>
      <c r="G40" s="16"/>
      <c r="H40" s="16"/>
      <c r="I40" s="11"/>
      <c r="J40" s="37">
        <v>133.52</v>
      </c>
      <c r="K40" s="16"/>
      <c r="L40" s="16"/>
      <c r="M40" s="16"/>
      <c r="N40" s="16"/>
      <c r="O40" s="16"/>
      <c r="P40" s="16"/>
      <c r="Q40" s="11">
        <f t="shared" si="0"/>
        <v>133.52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/>
      <c r="E41" s="7"/>
      <c r="F41" s="16"/>
      <c r="G41" s="16"/>
      <c r="H41" s="16"/>
      <c r="I41" s="11"/>
      <c r="J41" s="37">
        <v>133.52</v>
      </c>
      <c r="K41" s="16"/>
      <c r="L41" s="16"/>
      <c r="M41" s="16"/>
      <c r="N41" s="16"/>
      <c r="O41" s="16"/>
      <c r="P41" s="16"/>
      <c r="Q41" s="11">
        <f t="shared" si="0"/>
        <v>133.52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/>
      <c r="E42" s="7"/>
      <c r="F42" s="16">
        <v>89.79</v>
      </c>
      <c r="G42" s="16"/>
      <c r="H42" s="16"/>
      <c r="I42" s="11"/>
      <c r="J42" s="16"/>
      <c r="K42" s="37">
        <v>133.52</v>
      </c>
      <c r="L42" s="16"/>
      <c r="M42" s="52">
        <v>133.52</v>
      </c>
      <c r="N42" s="16"/>
      <c r="O42" s="16"/>
      <c r="P42" s="16"/>
      <c r="Q42" s="11">
        <f t="shared" si="0"/>
        <v>356.83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/>
      <c r="E43" s="7"/>
      <c r="F43" s="16"/>
      <c r="G43" s="16"/>
      <c r="H43" s="16"/>
      <c r="I43" s="11"/>
      <c r="J43" s="16"/>
      <c r="K43" s="16"/>
      <c r="L43" s="16"/>
      <c r="M43" s="37">
        <v>133.52</v>
      </c>
      <c r="N43" s="16"/>
      <c r="O43" s="16"/>
      <c r="P43" s="16"/>
      <c r="Q43" s="11">
        <f t="shared" si="0"/>
        <v>133.52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/>
      <c r="E44" s="7">
        <v>89.79</v>
      </c>
      <c r="F44" s="16"/>
      <c r="G44" s="16"/>
      <c r="H44" s="16"/>
      <c r="I44" s="11"/>
      <c r="J44" s="37">
        <v>133.52</v>
      </c>
      <c r="K44" s="16"/>
      <c r="L44" s="16"/>
      <c r="M44" s="16"/>
      <c r="N44" s="16"/>
      <c r="O44" s="16"/>
      <c r="P44" s="16"/>
      <c r="Q44" s="11">
        <f t="shared" si="0"/>
        <v>223.31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/>
      <c r="E45" s="7"/>
      <c r="F45" s="16"/>
      <c r="G45" s="16"/>
      <c r="H45" s="16"/>
      <c r="I45" s="11"/>
      <c r="J45" s="37">
        <v>133.52</v>
      </c>
      <c r="K45" s="16"/>
      <c r="L45" s="16"/>
      <c r="M45" s="16"/>
      <c r="N45" s="16"/>
      <c r="O45" s="16"/>
      <c r="P45" s="16"/>
      <c r="Q45" s="11">
        <f t="shared" si="0"/>
        <v>133.52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/>
      <c r="E46" s="7"/>
      <c r="F46" s="16"/>
      <c r="G46" s="16"/>
      <c r="H46" s="16"/>
      <c r="I46" s="11"/>
      <c r="J46" s="16"/>
      <c r="K46" s="16"/>
      <c r="L46" s="16"/>
      <c r="M46" s="16"/>
      <c r="N46" s="16"/>
      <c r="O46" s="16"/>
      <c r="P46" s="16"/>
      <c r="Q46" s="11">
        <f t="shared" si="0"/>
        <v>0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/>
      <c r="E47" s="7"/>
      <c r="F47" s="16"/>
      <c r="G47" s="16"/>
      <c r="H47" s="16"/>
      <c r="I47" s="11"/>
      <c r="J47" s="16"/>
      <c r="K47" s="16"/>
      <c r="L47" s="16"/>
      <c r="M47" s="16"/>
      <c r="N47" s="16"/>
      <c r="O47" s="16"/>
      <c r="P47" s="16"/>
      <c r="Q47" s="11">
        <f t="shared" si="0"/>
        <v>0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/>
      <c r="E48" s="7"/>
      <c r="F48" s="16"/>
      <c r="G48" s="16"/>
      <c r="H48" s="16"/>
      <c r="I48" s="11"/>
      <c r="J48" s="37">
        <v>133.52</v>
      </c>
      <c r="K48" s="16"/>
      <c r="L48" s="16"/>
      <c r="M48" s="16"/>
      <c r="N48" s="16"/>
      <c r="O48" s="16"/>
      <c r="P48" s="16"/>
      <c r="Q48" s="11">
        <f t="shared" si="0"/>
        <v>133.52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/>
      <c r="E49" s="7"/>
      <c r="F49" s="16"/>
      <c r="G49" s="16"/>
      <c r="H49" s="16"/>
      <c r="I49" s="11"/>
      <c r="J49" s="37">
        <v>133.52</v>
      </c>
      <c r="K49" s="16"/>
      <c r="L49" s="16"/>
      <c r="M49" s="16"/>
      <c r="N49" s="16"/>
      <c r="O49" s="16"/>
      <c r="P49" s="16"/>
      <c r="Q49" s="11">
        <f t="shared" si="0"/>
        <v>133.52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/>
      <c r="E50" s="7"/>
      <c r="F50" s="16"/>
      <c r="G50" s="16"/>
      <c r="H50" s="16"/>
      <c r="I50" s="11"/>
      <c r="J50" s="16"/>
      <c r="K50" s="16"/>
      <c r="L50" s="16"/>
      <c r="M50" s="16"/>
      <c r="N50" s="16"/>
      <c r="O50" s="16"/>
      <c r="P50" s="16">
        <v>133.52</v>
      </c>
      <c r="Q50" s="11">
        <f t="shared" si="0"/>
        <v>133.52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/>
      <c r="E51" s="7"/>
      <c r="F51" s="16"/>
      <c r="G51" s="16"/>
      <c r="H51" s="16"/>
      <c r="I51" s="11"/>
      <c r="J51" s="37">
        <v>133.52</v>
      </c>
      <c r="K51" s="16"/>
      <c r="L51" s="16"/>
      <c r="M51" s="16"/>
      <c r="N51" s="16"/>
      <c r="O51" s="16"/>
      <c r="P51" s="16"/>
      <c r="Q51" s="11">
        <f t="shared" si="0"/>
        <v>133.52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/>
      <c r="E52" s="7"/>
      <c r="F52" s="16">
        <v>89.79</v>
      </c>
      <c r="G52" s="16"/>
      <c r="H52" s="16"/>
      <c r="I52" s="11"/>
      <c r="J52" s="16"/>
      <c r="K52" s="16"/>
      <c r="L52" s="16"/>
      <c r="M52" s="16"/>
      <c r="N52" s="16"/>
      <c r="O52" s="16"/>
      <c r="P52" s="16"/>
      <c r="Q52" s="11">
        <f t="shared" si="0"/>
        <v>89.79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/>
      <c r="E53" s="7"/>
      <c r="F53" s="16"/>
      <c r="G53" s="16"/>
      <c r="H53" s="16"/>
      <c r="I53" s="11"/>
      <c r="J53" s="51">
        <v>133.52</v>
      </c>
      <c r="K53" s="16"/>
      <c r="L53" s="16"/>
      <c r="M53" s="16"/>
      <c r="N53" s="16"/>
      <c r="O53" s="16"/>
      <c r="P53" s="16"/>
      <c r="Q53" s="11">
        <f t="shared" si="0"/>
        <v>133.52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/>
      <c r="E54" s="7"/>
      <c r="F54" s="16"/>
      <c r="G54" s="16"/>
      <c r="H54" s="16"/>
      <c r="I54" s="11"/>
      <c r="J54" s="37">
        <v>133.52</v>
      </c>
      <c r="K54" s="16"/>
      <c r="L54" s="16"/>
      <c r="M54" s="16"/>
      <c r="N54" s="16"/>
      <c r="O54" s="16"/>
      <c r="P54" s="16"/>
      <c r="Q54" s="11">
        <f t="shared" si="0"/>
        <v>133.52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/>
      <c r="E55" s="7"/>
      <c r="F55" s="16"/>
      <c r="G55" s="16">
        <v>89.79</v>
      </c>
      <c r="H55" s="16"/>
      <c r="I55" s="11"/>
      <c r="J55" s="37">
        <v>133.52</v>
      </c>
      <c r="K55" s="16"/>
      <c r="L55" s="16"/>
      <c r="M55" s="16"/>
      <c r="N55" s="16"/>
      <c r="O55" s="16"/>
      <c r="P55" s="16"/>
      <c r="Q55" s="11">
        <f t="shared" si="0"/>
        <v>223.31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/>
      <c r="E56" s="7"/>
      <c r="F56" s="16"/>
      <c r="G56" s="16"/>
      <c r="H56" s="16"/>
      <c r="I56" s="11"/>
      <c r="J56" s="51">
        <v>133.52</v>
      </c>
      <c r="K56" s="16"/>
      <c r="L56" s="16"/>
      <c r="M56" s="16"/>
      <c r="N56" s="16"/>
      <c r="O56" s="16"/>
      <c r="P56" s="16"/>
      <c r="Q56" s="11">
        <f t="shared" si="0"/>
        <v>133.52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/>
      <c r="E57" s="7"/>
      <c r="F57" s="16"/>
      <c r="G57" s="16"/>
      <c r="H57" s="16"/>
      <c r="I57" s="11"/>
      <c r="J57" s="37">
        <v>133.52</v>
      </c>
      <c r="K57" s="16"/>
      <c r="L57" s="16"/>
      <c r="M57" s="16"/>
      <c r="N57" s="16"/>
      <c r="O57" s="16"/>
      <c r="P57" s="16"/>
      <c r="Q57" s="11">
        <f t="shared" si="0"/>
        <v>133.52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/>
      <c r="E58" s="7">
        <v>89.79</v>
      </c>
      <c r="F58" s="16"/>
      <c r="G58" s="16"/>
      <c r="H58" s="16"/>
      <c r="I58" s="11"/>
      <c r="J58" s="51">
        <v>133.52</v>
      </c>
      <c r="K58" s="16"/>
      <c r="L58" s="16"/>
      <c r="M58" s="16"/>
      <c r="N58" s="16"/>
      <c r="O58" s="16"/>
      <c r="P58" s="16"/>
      <c r="Q58" s="11">
        <f t="shared" si="0"/>
        <v>223.31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/>
      <c r="E59" s="7"/>
      <c r="F59" s="16"/>
      <c r="G59" s="16"/>
      <c r="H59" s="16"/>
      <c r="I59" s="11"/>
      <c r="J59" s="51">
        <v>133.52</v>
      </c>
      <c r="K59" s="16"/>
      <c r="L59" s="16"/>
      <c r="M59" s="16"/>
      <c r="N59" s="16"/>
      <c r="O59" s="16"/>
      <c r="P59" s="16"/>
      <c r="Q59" s="11">
        <f t="shared" si="0"/>
        <v>133.52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/>
      <c r="E60" s="7">
        <v>89.79</v>
      </c>
      <c r="F60" s="16"/>
      <c r="G60" s="16"/>
      <c r="H60" s="16"/>
      <c r="I60" s="11"/>
      <c r="J60" s="16"/>
      <c r="K60" s="16"/>
      <c r="L60" s="16">
        <v>133.52</v>
      </c>
      <c r="M60" s="16"/>
      <c r="N60" s="16"/>
      <c r="O60" s="16"/>
      <c r="P60" s="16"/>
      <c r="Q60" s="11">
        <f t="shared" si="0"/>
        <v>223.31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/>
      <c r="E61" s="7"/>
      <c r="F61" s="16"/>
      <c r="G61" s="16"/>
      <c r="H61" s="16"/>
      <c r="I61" s="11"/>
      <c r="J61" s="16"/>
      <c r="K61" s="16"/>
      <c r="L61" s="16"/>
      <c r="M61" s="16"/>
      <c r="N61" s="16"/>
      <c r="O61" s="16">
        <v>133.52</v>
      </c>
      <c r="P61" s="16"/>
      <c r="Q61" s="11">
        <f t="shared" si="0"/>
        <v>133.52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/>
      <c r="E62" s="7"/>
      <c r="F62" s="16"/>
      <c r="G62" s="16"/>
      <c r="H62" s="16"/>
      <c r="I62" s="11"/>
      <c r="J62" s="51">
        <v>133.52</v>
      </c>
      <c r="K62" s="16"/>
      <c r="L62" s="16"/>
      <c r="M62" s="16"/>
      <c r="N62" s="16"/>
      <c r="O62" s="16"/>
      <c r="P62" s="16"/>
      <c r="Q62" s="11">
        <f t="shared" si="0"/>
        <v>133.52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/>
      <c r="E63" s="7"/>
      <c r="F63" s="16"/>
      <c r="G63" s="16"/>
      <c r="H63" s="16"/>
      <c r="I63" s="11"/>
      <c r="J63" s="37"/>
      <c r="K63" s="16"/>
      <c r="L63" s="16"/>
      <c r="M63" s="16"/>
      <c r="N63" s="16">
        <v>133.52</v>
      </c>
      <c r="O63" s="16">
        <v>133.52</v>
      </c>
      <c r="P63" s="16"/>
      <c r="Q63" s="11">
        <f t="shared" si="0"/>
        <v>267.04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/>
      <c r="E64" s="7">
        <v>89.79</v>
      </c>
      <c r="F64" s="16"/>
      <c r="G64" s="16"/>
      <c r="H64" s="16"/>
      <c r="I64" s="11"/>
      <c r="J64" s="37">
        <v>133.52</v>
      </c>
      <c r="K64" s="16"/>
      <c r="L64" s="16"/>
      <c r="M64" s="16"/>
      <c r="N64" s="16"/>
      <c r="O64" s="16"/>
      <c r="P64" s="16"/>
      <c r="Q64" s="11">
        <f t="shared" si="0"/>
        <v>223.31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/>
      <c r="E65" s="7"/>
      <c r="F65" s="16"/>
      <c r="G65" s="16"/>
      <c r="H65" s="16"/>
      <c r="I65" s="11"/>
      <c r="J65" s="37">
        <v>133.52</v>
      </c>
      <c r="K65" s="16"/>
      <c r="L65" s="16"/>
      <c r="M65" s="16"/>
      <c r="N65" s="16"/>
      <c r="O65" s="16"/>
      <c r="P65" s="16"/>
      <c r="Q65" s="11">
        <f t="shared" si="0"/>
        <v>133.52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/>
      <c r="E66" s="7"/>
      <c r="F66" s="16"/>
      <c r="G66" s="16"/>
      <c r="H66" s="16"/>
      <c r="I66" s="11"/>
      <c r="J66" s="51">
        <v>133.52</v>
      </c>
      <c r="K66" s="16"/>
      <c r="L66" s="16"/>
      <c r="M66" s="16"/>
      <c r="N66" s="16"/>
      <c r="O66" s="16"/>
      <c r="P66" s="16"/>
      <c r="Q66" s="11">
        <f t="shared" si="0"/>
        <v>133.52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/>
      <c r="E67" s="7"/>
      <c r="F67" s="16"/>
      <c r="G67" s="16"/>
      <c r="H67" s="16"/>
      <c r="I67" s="11"/>
      <c r="J67" s="16"/>
      <c r="K67" s="37">
        <v>133.52</v>
      </c>
      <c r="L67" s="16"/>
      <c r="M67" s="16"/>
      <c r="N67" s="16"/>
      <c r="O67" s="16"/>
      <c r="P67" s="16"/>
      <c r="Q67" s="11">
        <f t="shared" si="0"/>
        <v>133.52</v>
      </c>
    </row>
    <row r="68" customHeight="1" spans="1:17">
      <c r="A68" s="7">
        <v>65</v>
      </c>
      <c r="B68" s="7" t="s">
        <v>148</v>
      </c>
      <c r="C68" s="10" t="s">
        <v>149</v>
      </c>
      <c r="D68" s="7"/>
      <c r="E68" s="7"/>
      <c r="F68" s="16"/>
      <c r="G68" s="16"/>
      <c r="H68" s="16"/>
      <c r="I68" s="11"/>
      <c r="J68" s="16"/>
      <c r="K68" s="37">
        <v>115.32</v>
      </c>
      <c r="L68" s="16"/>
      <c r="M68" s="16"/>
      <c r="N68" s="16"/>
      <c r="O68" s="16"/>
      <c r="P68" s="16"/>
      <c r="Q68" s="11">
        <f t="shared" ref="Q68:Q131" si="1">D68+E68+F68+G68+H68+I68+J68+K68+L68+M68+N68+O68+P68</f>
        <v>115.32</v>
      </c>
    </row>
    <row r="69" customHeight="1" spans="1:17">
      <c r="A69" s="7">
        <v>66</v>
      </c>
      <c r="B69" s="7" t="s">
        <v>150</v>
      </c>
      <c r="C69" s="10" t="s">
        <v>151</v>
      </c>
      <c r="D69" s="7"/>
      <c r="E69" s="7"/>
      <c r="F69" s="16"/>
      <c r="G69" s="16"/>
      <c r="H69" s="16"/>
      <c r="I69" s="11"/>
      <c r="J69" s="16"/>
      <c r="K69" s="16"/>
      <c r="L69" s="16"/>
      <c r="M69" s="16"/>
      <c r="N69" s="16">
        <v>115.32</v>
      </c>
      <c r="O69" s="16"/>
      <c r="P69" s="16"/>
      <c r="Q69" s="11">
        <f t="shared" si="1"/>
        <v>115.32</v>
      </c>
    </row>
    <row r="70" customHeight="1" spans="1:17">
      <c r="A70" s="7">
        <v>67</v>
      </c>
      <c r="B70" s="7" t="s">
        <v>152</v>
      </c>
      <c r="C70" s="10" t="s">
        <v>153</v>
      </c>
      <c r="D70" s="7"/>
      <c r="E70" s="7"/>
      <c r="F70" s="16"/>
      <c r="G70" s="16"/>
      <c r="H70" s="16"/>
      <c r="I70" s="11"/>
      <c r="J70" s="16"/>
      <c r="K70" s="16"/>
      <c r="L70" s="16"/>
      <c r="M70" s="16"/>
      <c r="N70" s="16"/>
      <c r="O70" s="16"/>
      <c r="P70" s="16"/>
      <c r="Q70" s="11">
        <f t="shared" si="1"/>
        <v>0</v>
      </c>
    </row>
    <row r="71" customHeight="1" spans="1:17">
      <c r="A71" s="7">
        <v>68</v>
      </c>
      <c r="B71" s="7" t="s">
        <v>154</v>
      </c>
      <c r="C71" s="10" t="s">
        <v>155</v>
      </c>
      <c r="D71" s="7"/>
      <c r="E71" s="7"/>
      <c r="F71" s="16"/>
      <c r="G71" s="16"/>
      <c r="H71" s="16"/>
      <c r="I71" s="11"/>
      <c r="J71" s="37">
        <v>115.32</v>
      </c>
      <c r="K71" s="16"/>
      <c r="L71" s="16"/>
      <c r="M71" s="16"/>
      <c r="N71" s="16"/>
      <c r="O71" s="16"/>
      <c r="P71" s="16"/>
      <c r="Q71" s="11">
        <f t="shared" si="1"/>
        <v>115.32</v>
      </c>
    </row>
    <row r="72" customHeight="1" spans="1:17">
      <c r="A72" s="7">
        <v>69</v>
      </c>
      <c r="B72" s="7" t="s">
        <v>156</v>
      </c>
      <c r="C72" s="10" t="s">
        <v>157</v>
      </c>
      <c r="D72" s="7"/>
      <c r="E72" s="7"/>
      <c r="F72" s="16"/>
      <c r="G72" s="16"/>
      <c r="H72" s="16"/>
      <c r="I72" s="11"/>
      <c r="J72" s="37">
        <v>115.32</v>
      </c>
      <c r="K72" s="16"/>
      <c r="L72" s="16"/>
      <c r="M72" s="16"/>
      <c r="N72" s="16"/>
      <c r="O72" s="16"/>
      <c r="P72" s="16"/>
      <c r="Q72" s="11">
        <f t="shared" si="1"/>
        <v>115.32</v>
      </c>
    </row>
    <row r="73" customHeight="1" spans="1:17">
      <c r="A73" s="7">
        <v>70</v>
      </c>
      <c r="B73" s="7" t="s">
        <v>158</v>
      </c>
      <c r="C73" s="10" t="s">
        <v>159</v>
      </c>
      <c r="D73" s="7"/>
      <c r="E73" s="7"/>
      <c r="F73" s="16">
        <v>96.66</v>
      </c>
      <c r="G73" s="16"/>
      <c r="H73" s="16"/>
      <c r="I73" s="11"/>
      <c r="J73" s="37"/>
      <c r="K73" s="16"/>
      <c r="L73" s="16"/>
      <c r="M73" s="37">
        <v>115.32</v>
      </c>
      <c r="N73" s="16"/>
      <c r="O73" s="16"/>
      <c r="P73" s="16"/>
      <c r="Q73" s="11">
        <f t="shared" si="1"/>
        <v>211.98</v>
      </c>
    </row>
    <row r="74" customHeight="1" spans="1:17">
      <c r="A74" s="7">
        <v>71</v>
      </c>
      <c r="B74" s="7" t="s">
        <v>160</v>
      </c>
      <c r="C74" s="10" t="s">
        <v>161</v>
      </c>
      <c r="D74" s="7"/>
      <c r="E74" s="7"/>
      <c r="F74" s="16"/>
      <c r="G74" s="16"/>
      <c r="H74" s="16"/>
      <c r="I74" s="11"/>
      <c r="J74" s="37"/>
      <c r="K74" s="37">
        <v>115.32</v>
      </c>
      <c r="L74" s="16"/>
      <c r="M74" s="16"/>
      <c r="N74" s="16"/>
      <c r="O74" s="16"/>
      <c r="P74" s="16"/>
      <c r="Q74" s="11">
        <f t="shared" si="1"/>
        <v>115.32</v>
      </c>
    </row>
    <row r="75" customHeight="1" spans="1:17">
      <c r="A75" s="7">
        <v>72</v>
      </c>
      <c r="B75" s="7" t="s">
        <v>162</v>
      </c>
      <c r="C75" s="10" t="s">
        <v>163</v>
      </c>
      <c r="D75" s="7"/>
      <c r="E75" s="7"/>
      <c r="F75" s="16"/>
      <c r="G75" s="16"/>
      <c r="H75" s="16"/>
      <c r="I75" s="11"/>
      <c r="J75" s="37"/>
      <c r="K75" s="16"/>
      <c r="L75" s="16"/>
      <c r="M75" s="16"/>
      <c r="N75" s="16"/>
      <c r="O75" s="16"/>
      <c r="P75" s="16"/>
      <c r="Q75" s="11">
        <f t="shared" si="1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/>
      <c r="E76" s="7"/>
      <c r="F76" s="16"/>
      <c r="G76" s="16"/>
      <c r="H76" s="16"/>
      <c r="I76" s="11"/>
      <c r="J76" s="37"/>
      <c r="K76" s="16"/>
      <c r="L76" s="16">
        <v>115.32</v>
      </c>
      <c r="M76" s="16"/>
      <c r="N76" s="16"/>
      <c r="O76" s="16"/>
      <c r="P76" s="16"/>
      <c r="Q76" s="11">
        <f t="shared" si="1"/>
        <v>115.32</v>
      </c>
    </row>
    <row r="77" customHeight="1" spans="1:17">
      <c r="A77" s="7">
        <v>74</v>
      </c>
      <c r="B77" s="7" t="s">
        <v>166</v>
      </c>
      <c r="C77" s="10" t="s">
        <v>167</v>
      </c>
      <c r="D77" s="7"/>
      <c r="E77" s="7"/>
      <c r="F77" s="16"/>
      <c r="G77" s="16"/>
      <c r="H77" s="16"/>
      <c r="I77" s="11"/>
      <c r="J77" s="37"/>
      <c r="K77" s="16"/>
      <c r="L77" s="16"/>
      <c r="M77" s="16"/>
      <c r="N77" s="16"/>
      <c r="O77" s="16"/>
      <c r="P77" s="16"/>
      <c r="Q77" s="11">
        <f t="shared" si="1"/>
        <v>0</v>
      </c>
    </row>
    <row r="78" customHeight="1" spans="1:17">
      <c r="A78" s="7">
        <v>75</v>
      </c>
      <c r="B78" s="7" t="s">
        <v>168</v>
      </c>
      <c r="C78" s="15" t="s">
        <v>169</v>
      </c>
      <c r="D78" s="7"/>
      <c r="E78" s="7"/>
      <c r="F78" s="16">
        <v>6.66</v>
      </c>
      <c r="G78" s="16"/>
      <c r="H78" s="16"/>
      <c r="I78" s="11"/>
      <c r="J78" s="51">
        <v>115.32</v>
      </c>
      <c r="K78" s="16"/>
      <c r="L78" s="16"/>
      <c r="M78" s="16"/>
      <c r="N78" s="16"/>
      <c r="O78" s="16"/>
      <c r="P78" s="16"/>
      <c r="Q78" s="11">
        <f t="shared" si="1"/>
        <v>121.98</v>
      </c>
    </row>
    <row r="79" customHeight="1" spans="1:17">
      <c r="A79" s="7">
        <v>76</v>
      </c>
      <c r="B79" s="7" t="s">
        <v>170</v>
      </c>
      <c r="C79" s="10" t="s">
        <v>171</v>
      </c>
      <c r="D79" s="7"/>
      <c r="E79" s="7"/>
      <c r="F79" s="16"/>
      <c r="G79" s="16"/>
      <c r="H79" s="16"/>
      <c r="I79" s="11"/>
      <c r="J79" s="37">
        <v>115.32</v>
      </c>
      <c r="K79" s="16"/>
      <c r="L79" s="16"/>
      <c r="M79" s="16"/>
      <c r="N79" s="16"/>
      <c r="O79" s="16"/>
      <c r="P79" s="16"/>
      <c r="Q79" s="11">
        <f t="shared" si="1"/>
        <v>115.32</v>
      </c>
    </row>
    <row r="80" customHeight="1" spans="1:17">
      <c r="A80" s="7">
        <v>77</v>
      </c>
      <c r="B80" s="7" t="s">
        <v>172</v>
      </c>
      <c r="C80" s="10" t="s">
        <v>173</v>
      </c>
      <c r="D80" s="7"/>
      <c r="E80" s="7"/>
      <c r="F80" s="16"/>
      <c r="G80" s="16"/>
      <c r="H80" s="16"/>
      <c r="I80" s="11"/>
      <c r="J80" s="51">
        <v>115.32</v>
      </c>
      <c r="K80" s="16"/>
      <c r="L80" s="16"/>
      <c r="M80" s="16"/>
      <c r="N80" s="16"/>
      <c r="O80" s="16"/>
      <c r="P80" s="16"/>
      <c r="Q80" s="11">
        <f t="shared" si="1"/>
        <v>115.32</v>
      </c>
    </row>
    <row r="81" customHeight="1" spans="1:17">
      <c r="A81" s="7">
        <v>78</v>
      </c>
      <c r="B81" s="7" t="s">
        <v>174</v>
      </c>
      <c r="C81" s="10" t="s">
        <v>175</v>
      </c>
      <c r="D81" s="7"/>
      <c r="E81" s="7"/>
      <c r="F81" s="16"/>
      <c r="G81" s="16"/>
      <c r="H81" s="16"/>
      <c r="I81" s="11"/>
      <c r="J81" s="16"/>
      <c r="K81" s="16"/>
      <c r="L81" s="16"/>
      <c r="M81" s="16"/>
      <c r="N81" s="16"/>
      <c r="O81" s="16"/>
      <c r="P81" s="16"/>
      <c r="Q81" s="11">
        <f t="shared" si="1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/>
      <c r="E82" s="7"/>
      <c r="F82" s="16"/>
      <c r="G82" s="16"/>
      <c r="H82" s="16"/>
      <c r="I82" s="11"/>
      <c r="J82" s="16"/>
      <c r="K82" s="16"/>
      <c r="L82" s="16"/>
      <c r="M82" s="16"/>
      <c r="N82" s="16">
        <v>115.32</v>
      </c>
      <c r="O82" s="16"/>
      <c r="P82" s="16"/>
      <c r="Q82" s="11">
        <f t="shared" si="1"/>
        <v>115.32</v>
      </c>
    </row>
    <row r="83" customHeight="1" spans="1:17">
      <c r="A83" s="7">
        <v>80</v>
      </c>
      <c r="B83" s="7" t="s">
        <v>178</v>
      </c>
      <c r="C83" s="10" t="s">
        <v>179</v>
      </c>
      <c r="D83" s="7"/>
      <c r="E83" s="7"/>
      <c r="F83" s="16"/>
      <c r="G83" s="16"/>
      <c r="H83" s="16"/>
      <c r="I83" s="11"/>
      <c r="J83" s="37">
        <v>115.32</v>
      </c>
      <c r="K83" s="16"/>
      <c r="L83" s="16"/>
      <c r="M83" s="16"/>
      <c r="N83" s="16"/>
      <c r="O83" s="16"/>
      <c r="P83" s="16"/>
      <c r="Q83" s="11">
        <f t="shared" si="1"/>
        <v>115.32</v>
      </c>
    </row>
    <row r="84" customHeight="1" spans="1:17">
      <c r="A84" s="7">
        <v>81</v>
      </c>
      <c r="B84" s="7" t="s">
        <v>180</v>
      </c>
      <c r="C84" s="10" t="s">
        <v>181</v>
      </c>
      <c r="D84" s="7"/>
      <c r="E84" s="7"/>
      <c r="F84" s="16"/>
      <c r="G84" s="16"/>
      <c r="H84" s="16"/>
      <c r="I84" s="11"/>
      <c r="J84" s="37">
        <v>115.32</v>
      </c>
      <c r="K84" s="16"/>
      <c r="L84" s="16"/>
      <c r="M84" s="16"/>
      <c r="N84" s="16"/>
      <c r="O84" s="16"/>
      <c r="P84" s="16"/>
      <c r="Q84" s="11">
        <f t="shared" si="1"/>
        <v>115.32</v>
      </c>
    </row>
    <row r="85" customHeight="1" spans="1:17">
      <c r="A85" s="7">
        <v>82</v>
      </c>
      <c r="B85" s="7" t="s">
        <v>182</v>
      </c>
      <c r="C85" s="10" t="s">
        <v>183</v>
      </c>
      <c r="D85" s="7"/>
      <c r="E85" s="7"/>
      <c r="F85" s="16"/>
      <c r="G85" s="16"/>
      <c r="H85" s="16"/>
      <c r="I85" s="11"/>
      <c r="J85" s="16"/>
      <c r="K85" s="16"/>
      <c r="L85" s="16"/>
      <c r="M85" s="16"/>
      <c r="N85" s="16"/>
      <c r="O85" s="16"/>
      <c r="P85" s="16"/>
      <c r="Q85" s="11">
        <f t="shared" si="1"/>
        <v>0</v>
      </c>
    </row>
    <row r="86" customHeight="1" spans="1:17">
      <c r="A86" s="7">
        <v>83</v>
      </c>
      <c r="B86" s="7" t="s">
        <v>184</v>
      </c>
      <c r="C86" s="10" t="s">
        <v>185</v>
      </c>
      <c r="D86" s="7"/>
      <c r="E86" s="7"/>
      <c r="F86" s="16"/>
      <c r="G86" s="16"/>
      <c r="H86" s="16"/>
      <c r="I86" s="11"/>
      <c r="J86" s="16"/>
      <c r="K86" s="16"/>
      <c r="L86" s="16"/>
      <c r="M86" s="37">
        <v>115.32</v>
      </c>
      <c r="N86" s="16"/>
      <c r="O86" s="16"/>
      <c r="P86" s="16"/>
      <c r="Q86" s="11">
        <f t="shared" si="1"/>
        <v>115.32</v>
      </c>
    </row>
    <row r="87" customHeight="1" spans="1:17">
      <c r="A87" s="7">
        <v>84</v>
      </c>
      <c r="B87" s="7" t="s">
        <v>186</v>
      </c>
      <c r="C87" s="10" t="s">
        <v>187</v>
      </c>
      <c r="D87" s="7"/>
      <c r="E87" s="7"/>
      <c r="F87" s="16"/>
      <c r="G87" s="16"/>
      <c r="H87" s="16"/>
      <c r="I87" s="11"/>
      <c r="J87" s="53">
        <v>115.32</v>
      </c>
      <c r="K87" s="16"/>
      <c r="L87" s="16"/>
      <c r="M87" s="16"/>
      <c r="N87" s="16"/>
      <c r="O87" s="16"/>
      <c r="P87" s="16"/>
      <c r="Q87" s="11">
        <f t="shared" si="1"/>
        <v>115.32</v>
      </c>
    </row>
    <row r="88" customHeight="1" spans="1:17">
      <c r="A88" s="7">
        <v>85</v>
      </c>
      <c r="B88" s="7" t="s">
        <v>188</v>
      </c>
      <c r="C88" s="10" t="s">
        <v>189</v>
      </c>
      <c r="D88" s="7"/>
      <c r="E88" s="7"/>
      <c r="F88" s="16"/>
      <c r="G88" s="16"/>
      <c r="H88" s="16"/>
      <c r="I88" s="11"/>
      <c r="J88" s="16"/>
      <c r="K88" s="37">
        <v>115.32</v>
      </c>
      <c r="L88" s="16"/>
      <c r="M88" s="16"/>
      <c r="N88" s="16"/>
      <c r="O88" s="16"/>
      <c r="P88" s="16"/>
      <c r="Q88" s="11">
        <f t="shared" si="1"/>
        <v>115.32</v>
      </c>
    </row>
    <row r="89" customHeight="1" spans="1:17">
      <c r="A89" s="7">
        <v>86</v>
      </c>
      <c r="B89" s="7" t="s">
        <v>190</v>
      </c>
      <c r="C89" s="10" t="s">
        <v>191</v>
      </c>
      <c r="D89" s="7"/>
      <c r="E89" s="7"/>
      <c r="F89" s="16"/>
      <c r="G89" s="16"/>
      <c r="H89" s="16"/>
      <c r="I89" s="11"/>
      <c r="J89" s="37">
        <v>115.32</v>
      </c>
      <c r="K89" s="16"/>
      <c r="L89" s="16"/>
      <c r="M89" s="16"/>
      <c r="N89" s="16"/>
      <c r="O89" s="16"/>
      <c r="P89" s="16"/>
      <c r="Q89" s="11">
        <f t="shared" si="1"/>
        <v>115.32</v>
      </c>
    </row>
    <row r="90" customHeight="1" spans="1:17">
      <c r="A90" s="7">
        <v>87</v>
      </c>
      <c r="B90" s="7" t="s">
        <v>192</v>
      </c>
      <c r="C90" s="10" t="s">
        <v>193</v>
      </c>
      <c r="D90" s="7"/>
      <c r="E90" s="7"/>
      <c r="F90" s="16"/>
      <c r="G90" s="16"/>
      <c r="H90" s="16"/>
      <c r="I90" s="11"/>
      <c r="J90" s="51">
        <v>115.32</v>
      </c>
      <c r="K90" s="16"/>
      <c r="L90" s="16"/>
      <c r="M90" s="16"/>
      <c r="N90" s="16"/>
      <c r="O90" s="16"/>
      <c r="P90" s="16"/>
      <c r="Q90" s="11">
        <f t="shared" si="1"/>
        <v>115.32</v>
      </c>
    </row>
    <row r="91" customHeight="1" spans="1:17">
      <c r="A91" s="7">
        <v>88</v>
      </c>
      <c r="B91" s="7" t="s">
        <v>194</v>
      </c>
      <c r="C91" s="10" t="s">
        <v>195</v>
      </c>
      <c r="D91" s="7"/>
      <c r="E91" s="7"/>
      <c r="F91" s="16"/>
      <c r="G91" s="16"/>
      <c r="H91" s="16"/>
      <c r="I91" s="11"/>
      <c r="J91" s="16"/>
      <c r="K91" s="37">
        <v>115.32</v>
      </c>
      <c r="L91" s="16"/>
      <c r="M91" s="16"/>
      <c r="N91" s="16"/>
      <c r="O91" s="16"/>
      <c r="P91" s="16"/>
      <c r="Q91" s="11">
        <f t="shared" si="1"/>
        <v>115.32</v>
      </c>
    </row>
    <row r="92" customHeight="1" spans="1:17">
      <c r="A92" s="7">
        <v>89</v>
      </c>
      <c r="B92" s="7" t="s">
        <v>196</v>
      </c>
      <c r="C92" s="10" t="s">
        <v>197</v>
      </c>
      <c r="D92" s="7"/>
      <c r="E92" s="7"/>
      <c r="F92" s="16"/>
      <c r="G92" s="16"/>
      <c r="H92" s="16"/>
      <c r="I92" s="11"/>
      <c r="J92" s="37">
        <v>115.32</v>
      </c>
      <c r="K92" s="16"/>
      <c r="L92" s="16"/>
      <c r="M92" s="16"/>
      <c r="N92" s="16"/>
      <c r="O92" s="16"/>
      <c r="P92" s="16"/>
      <c r="Q92" s="11">
        <f t="shared" si="1"/>
        <v>115.32</v>
      </c>
    </row>
    <row r="93" customHeight="1" spans="1:17">
      <c r="A93" s="7">
        <v>90</v>
      </c>
      <c r="B93" s="7" t="s">
        <v>198</v>
      </c>
      <c r="C93" s="10" t="s">
        <v>199</v>
      </c>
      <c r="D93" s="7"/>
      <c r="E93" s="7"/>
      <c r="F93" s="16"/>
      <c r="G93" s="16"/>
      <c r="H93" s="16"/>
      <c r="I93" s="11"/>
      <c r="J93" s="16"/>
      <c r="K93" s="16"/>
      <c r="L93" s="16"/>
      <c r="M93" s="16"/>
      <c r="N93" s="16"/>
      <c r="O93" s="16"/>
      <c r="P93" s="16"/>
      <c r="Q93" s="11">
        <f t="shared" si="1"/>
        <v>0</v>
      </c>
    </row>
    <row r="94" customHeight="1" spans="1:17">
      <c r="A94" s="7">
        <v>91</v>
      </c>
      <c r="B94" s="7" t="s">
        <v>200</v>
      </c>
      <c r="C94" s="10" t="s">
        <v>201</v>
      </c>
      <c r="D94" s="7"/>
      <c r="E94" s="7"/>
      <c r="F94" s="16"/>
      <c r="G94" s="16"/>
      <c r="H94" s="16"/>
      <c r="I94" s="11"/>
      <c r="J94" s="37">
        <v>115.32</v>
      </c>
      <c r="K94" s="16"/>
      <c r="L94" s="16"/>
      <c r="M94" s="16"/>
      <c r="N94" s="16"/>
      <c r="O94" s="16"/>
      <c r="P94" s="16"/>
      <c r="Q94" s="11">
        <f t="shared" si="1"/>
        <v>115.32</v>
      </c>
    </row>
    <row r="95" customHeight="1" spans="1:17">
      <c r="A95" s="7">
        <v>92</v>
      </c>
      <c r="B95" s="7" t="s">
        <v>202</v>
      </c>
      <c r="C95" s="10" t="s">
        <v>203</v>
      </c>
      <c r="D95" s="7"/>
      <c r="E95" s="7"/>
      <c r="F95" s="16"/>
      <c r="G95" s="16"/>
      <c r="H95" s="16"/>
      <c r="I95" s="11"/>
      <c r="J95" s="37">
        <v>115.32</v>
      </c>
      <c r="K95" s="16"/>
      <c r="L95" s="16"/>
      <c r="M95" s="16"/>
      <c r="N95" s="16"/>
      <c r="O95" s="16"/>
      <c r="P95" s="16"/>
      <c r="Q95" s="11">
        <f t="shared" si="1"/>
        <v>115.32</v>
      </c>
    </row>
    <row r="96" customHeight="1" spans="1:17">
      <c r="A96" s="7">
        <v>93</v>
      </c>
      <c r="B96" s="7" t="s">
        <v>204</v>
      </c>
      <c r="C96" s="10" t="s">
        <v>205</v>
      </c>
      <c r="D96" s="7"/>
      <c r="E96" s="7"/>
      <c r="F96" s="16">
        <v>96.66</v>
      </c>
      <c r="G96" s="16"/>
      <c r="H96" s="16"/>
      <c r="I96" s="11"/>
      <c r="J96" s="16"/>
      <c r="K96" s="16"/>
      <c r="L96" s="16"/>
      <c r="M96" s="37">
        <v>115.32</v>
      </c>
      <c r="N96" s="16"/>
      <c r="O96" s="16"/>
      <c r="P96" s="16"/>
      <c r="Q96" s="11">
        <f t="shared" si="1"/>
        <v>211.98</v>
      </c>
    </row>
    <row r="97" customHeight="1" spans="1:17">
      <c r="A97" s="7">
        <v>94</v>
      </c>
      <c r="B97" s="7" t="s">
        <v>206</v>
      </c>
      <c r="C97" s="10" t="s">
        <v>207</v>
      </c>
      <c r="D97" s="7"/>
      <c r="E97" s="7"/>
      <c r="F97" s="16"/>
      <c r="G97" s="16"/>
      <c r="H97" s="16"/>
      <c r="I97" s="11"/>
      <c r="J97" s="16"/>
      <c r="K97" s="16"/>
      <c r="L97" s="16"/>
      <c r="M97" s="37">
        <v>115.32</v>
      </c>
      <c r="N97" s="16"/>
      <c r="O97" s="16"/>
      <c r="P97" s="16"/>
      <c r="Q97" s="11">
        <f t="shared" si="1"/>
        <v>115.32</v>
      </c>
    </row>
    <row r="98" customHeight="1" spans="1:17">
      <c r="A98" s="7">
        <v>95</v>
      </c>
      <c r="B98" s="7" t="s">
        <v>208</v>
      </c>
      <c r="C98" s="10" t="s">
        <v>209</v>
      </c>
      <c r="D98" s="7"/>
      <c r="E98" s="7">
        <v>96.66</v>
      </c>
      <c r="F98" s="16"/>
      <c r="G98" s="16"/>
      <c r="H98" s="16"/>
      <c r="I98" s="11"/>
      <c r="J98" s="16"/>
      <c r="K98" s="37">
        <v>115.32</v>
      </c>
      <c r="L98" s="16"/>
      <c r="M98" s="16"/>
      <c r="N98" s="16"/>
      <c r="O98" s="16"/>
      <c r="P98" s="16"/>
      <c r="Q98" s="11">
        <f t="shared" si="1"/>
        <v>211.98</v>
      </c>
    </row>
    <row r="99" customHeight="1" spans="1:17">
      <c r="A99" s="7">
        <v>96</v>
      </c>
      <c r="B99" s="7" t="s">
        <v>210</v>
      </c>
      <c r="C99" s="10" t="s">
        <v>211</v>
      </c>
      <c r="D99" s="7"/>
      <c r="E99" s="7"/>
      <c r="F99" s="16"/>
      <c r="G99" s="16"/>
      <c r="H99" s="16"/>
      <c r="I99" s="11"/>
      <c r="J99" s="51">
        <v>115.32</v>
      </c>
      <c r="K99" s="16"/>
      <c r="L99" s="16"/>
      <c r="M99" s="16"/>
      <c r="N99" s="16"/>
      <c r="O99" s="16"/>
      <c r="P99" s="16"/>
      <c r="Q99" s="11">
        <f t="shared" si="1"/>
        <v>115.32</v>
      </c>
    </row>
    <row r="100" customHeight="1" spans="1:17">
      <c r="A100" s="7">
        <v>97</v>
      </c>
      <c r="B100" s="7" t="s">
        <v>212</v>
      </c>
      <c r="C100" s="10" t="s">
        <v>213</v>
      </c>
      <c r="D100" s="7"/>
      <c r="E100" s="7"/>
      <c r="F100" s="16"/>
      <c r="G100" s="16"/>
      <c r="H100" s="16"/>
      <c r="I100" s="11"/>
      <c r="J100" s="51">
        <v>115.32</v>
      </c>
      <c r="K100" s="16"/>
      <c r="L100" s="16"/>
      <c r="M100" s="16"/>
      <c r="N100" s="16"/>
      <c r="O100" s="16"/>
      <c r="P100" s="16"/>
      <c r="Q100" s="11">
        <f t="shared" si="1"/>
        <v>115.32</v>
      </c>
    </row>
    <row r="101" customHeight="1" spans="1:17">
      <c r="A101" s="7">
        <v>98</v>
      </c>
      <c r="B101" s="7" t="s">
        <v>214</v>
      </c>
      <c r="C101" s="12" t="s">
        <v>215</v>
      </c>
      <c r="D101" s="7"/>
      <c r="E101" s="7"/>
      <c r="F101" s="16"/>
      <c r="G101" s="16"/>
      <c r="H101" s="16"/>
      <c r="I101" s="11"/>
      <c r="J101" s="16"/>
      <c r="K101" s="37">
        <v>115.32</v>
      </c>
      <c r="L101" s="16"/>
      <c r="M101" s="16"/>
      <c r="N101" s="16"/>
      <c r="O101" s="16"/>
      <c r="P101" s="16"/>
      <c r="Q101" s="11">
        <f t="shared" si="1"/>
        <v>115.32</v>
      </c>
    </row>
    <row r="102" customHeight="1" spans="1:17">
      <c r="A102" s="7">
        <v>99</v>
      </c>
      <c r="B102" s="7" t="s">
        <v>216</v>
      </c>
      <c r="C102" s="10" t="s">
        <v>217</v>
      </c>
      <c r="D102" s="7"/>
      <c r="E102" s="7"/>
      <c r="F102" s="16"/>
      <c r="G102" s="16"/>
      <c r="H102" s="16"/>
      <c r="I102" s="11"/>
      <c r="J102" s="16"/>
      <c r="K102" s="37">
        <v>115.32</v>
      </c>
      <c r="L102" s="16"/>
      <c r="M102" s="16"/>
      <c r="N102" s="16"/>
      <c r="O102" s="16"/>
      <c r="P102" s="16"/>
      <c r="Q102" s="11">
        <f t="shared" si="1"/>
        <v>115.32</v>
      </c>
    </row>
    <row r="103" customHeight="1" spans="1:17">
      <c r="A103" s="7">
        <v>100</v>
      </c>
      <c r="B103" s="7" t="s">
        <v>218</v>
      </c>
      <c r="C103" s="10" t="s">
        <v>219</v>
      </c>
      <c r="D103" s="7"/>
      <c r="E103" s="7"/>
      <c r="F103" s="16"/>
      <c r="G103" s="16">
        <v>96.66</v>
      </c>
      <c r="H103" s="16"/>
      <c r="I103" s="11"/>
      <c r="J103" s="16"/>
      <c r="K103" s="16"/>
      <c r="L103" s="16"/>
      <c r="M103" s="16"/>
      <c r="N103" s="16">
        <v>115.32</v>
      </c>
      <c r="O103" s="16"/>
      <c r="P103" s="16"/>
      <c r="Q103" s="11">
        <f t="shared" si="1"/>
        <v>211.98</v>
      </c>
    </row>
    <row r="104" customHeight="1" spans="1:17">
      <c r="A104" s="7">
        <v>101</v>
      </c>
      <c r="B104" s="7" t="s">
        <v>220</v>
      </c>
      <c r="C104" s="10" t="s">
        <v>221</v>
      </c>
      <c r="D104" s="7"/>
      <c r="E104" s="7"/>
      <c r="F104" s="16"/>
      <c r="G104" s="16"/>
      <c r="H104" s="16"/>
      <c r="I104" s="11"/>
      <c r="J104" s="37">
        <v>115.32</v>
      </c>
      <c r="K104" s="16"/>
      <c r="L104" s="16"/>
      <c r="M104" s="16"/>
      <c r="N104" s="16"/>
      <c r="O104" s="16"/>
      <c r="P104" s="16"/>
      <c r="Q104" s="11">
        <f t="shared" si="1"/>
        <v>115.32</v>
      </c>
    </row>
    <row r="105" customHeight="1" spans="1:17">
      <c r="A105" s="7">
        <v>102</v>
      </c>
      <c r="B105" s="7" t="s">
        <v>222</v>
      </c>
      <c r="C105" s="10" t="s">
        <v>223</v>
      </c>
      <c r="D105" s="7"/>
      <c r="E105" s="7"/>
      <c r="F105" s="16">
        <v>96.66</v>
      </c>
      <c r="G105" s="16"/>
      <c r="H105" s="16"/>
      <c r="I105" s="11"/>
      <c r="J105" s="37">
        <v>115.32</v>
      </c>
      <c r="K105" s="16"/>
      <c r="L105" s="16"/>
      <c r="M105" s="16"/>
      <c r="N105" s="16"/>
      <c r="O105" s="16"/>
      <c r="P105" s="16"/>
      <c r="Q105" s="11">
        <f t="shared" si="1"/>
        <v>211.98</v>
      </c>
    </row>
    <row r="106" customHeight="1" spans="1:17">
      <c r="A106" s="7">
        <v>103</v>
      </c>
      <c r="B106" s="7" t="s">
        <v>224</v>
      </c>
      <c r="C106" s="10" t="s">
        <v>225</v>
      </c>
      <c r="D106" s="7"/>
      <c r="E106" s="7"/>
      <c r="F106" s="16">
        <v>96.66</v>
      </c>
      <c r="G106" s="16"/>
      <c r="H106" s="16"/>
      <c r="I106" s="11"/>
      <c r="J106" s="16"/>
      <c r="K106" s="16"/>
      <c r="L106" s="16"/>
      <c r="M106" s="37">
        <v>115.32</v>
      </c>
      <c r="N106" s="16"/>
      <c r="O106" s="16"/>
      <c r="P106" s="16"/>
      <c r="Q106" s="11">
        <f t="shared" si="1"/>
        <v>211.98</v>
      </c>
    </row>
    <row r="107" customHeight="1" spans="1:17">
      <c r="A107" s="7">
        <v>104</v>
      </c>
      <c r="B107" s="7" t="s">
        <v>226</v>
      </c>
      <c r="C107" s="10" t="s">
        <v>227</v>
      </c>
      <c r="D107" s="7"/>
      <c r="E107" s="7"/>
      <c r="F107" s="16">
        <v>96.66</v>
      </c>
      <c r="G107" s="16"/>
      <c r="H107" s="16"/>
      <c r="I107" s="11"/>
      <c r="J107" s="37">
        <v>115.32</v>
      </c>
      <c r="K107" s="16"/>
      <c r="L107" s="16"/>
      <c r="M107" s="16"/>
      <c r="N107" s="16"/>
      <c r="O107" s="16"/>
      <c r="P107" s="16"/>
      <c r="Q107" s="11">
        <f t="shared" si="1"/>
        <v>211.98</v>
      </c>
    </row>
    <row r="108" customHeight="1" spans="1:17">
      <c r="A108" s="7">
        <v>105</v>
      </c>
      <c r="B108" s="7" t="s">
        <v>228</v>
      </c>
      <c r="C108" s="10" t="s">
        <v>229</v>
      </c>
      <c r="D108" s="7"/>
      <c r="E108" s="7"/>
      <c r="F108" s="16"/>
      <c r="G108" s="16"/>
      <c r="H108" s="16"/>
      <c r="I108" s="11"/>
      <c r="J108" s="51">
        <v>115.32</v>
      </c>
      <c r="K108" s="16"/>
      <c r="L108" s="16"/>
      <c r="M108" s="16"/>
      <c r="N108" s="16"/>
      <c r="O108" s="16"/>
      <c r="P108" s="16"/>
      <c r="Q108" s="11">
        <f t="shared" si="1"/>
        <v>115.32</v>
      </c>
    </row>
    <row r="109" customHeight="1" spans="1:17">
      <c r="A109" s="7">
        <v>106</v>
      </c>
      <c r="B109" s="7" t="s">
        <v>230</v>
      </c>
      <c r="C109" s="10" t="s">
        <v>231</v>
      </c>
      <c r="D109" s="7"/>
      <c r="E109" s="7"/>
      <c r="F109" s="16"/>
      <c r="G109" s="16"/>
      <c r="H109" s="16"/>
      <c r="I109" s="11"/>
      <c r="J109" s="37"/>
      <c r="K109" s="16"/>
      <c r="L109" s="16"/>
      <c r="M109" s="16"/>
      <c r="N109" s="16">
        <v>115.32</v>
      </c>
      <c r="O109" s="16"/>
      <c r="P109" s="16"/>
      <c r="Q109" s="11">
        <f t="shared" si="1"/>
        <v>115.32</v>
      </c>
    </row>
    <row r="110" customHeight="1" spans="1:17">
      <c r="A110" s="7">
        <v>107</v>
      </c>
      <c r="B110" s="7" t="s">
        <v>232</v>
      </c>
      <c r="C110" s="10" t="s">
        <v>233</v>
      </c>
      <c r="D110" s="7"/>
      <c r="E110" s="7"/>
      <c r="F110" s="16"/>
      <c r="G110" s="16"/>
      <c r="H110" s="16"/>
      <c r="I110" s="11"/>
      <c r="J110" s="37">
        <v>115.32</v>
      </c>
      <c r="K110" s="16"/>
      <c r="L110" s="16"/>
      <c r="M110" s="16"/>
      <c r="N110" s="16"/>
      <c r="O110" s="16"/>
      <c r="P110" s="16"/>
      <c r="Q110" s="11">
        <f t="shared" si="1"/>
        <v>115.32</v>
      </c>
    </row>
    <row r="111" customHeight="1" spans="1:17">
      <c r="A111" s="7">
        <v>108</v>
      </c>
      <c r="B111" s="7" t="s">
        <v>234</v>
      </c>
      <c r="C111" s="10" t="s">
        <v>235</v>
      </c>
      <c r="D111" s="7"/>
      <c r="E111" s="7"/>
      <c r="F111" s="16"/>
      <c r="G111" s="16"/>
      <c r="H111" s="16"/>
      <c r="I111" s="11"/>
      <c r="J111" s="51">
        <v>115.32</v>
      </c>
      <c r="K111" s="16"/>
      <c r="L111" s="16"/>
      <c r="M111" s="16"/>
      <c r="N111" s="16"/>
      <c r="O111" s="16"/>
      <c r="P111" s="16"/>
      <c r="Q111" s="11">
        <f t="shared" si="1"/>
        <v>115.32</v>
      </c>
    </row>
    <row r="112" customHeight="1" spans="1:17">
      <c r="A112" s="7">
        <v>109</v>
      </c>
      <c r="B112" s="7" t="s">
        <v>236</v>
      </c>
      <c r="C112" s="10" t="s">
        <v>237</v>
      </c>
      <c r="D112" s="7"/>
      <c r="E112" s="7"/>
      <c r="F112" s="16"/>
      <c r="G112" s="16"/>
      <c r="H112" s="16"/>
      <c r="I112" s="11"/>
      <c r="J112" s="16"/>
      <c r="K112" s="37">
        <v>115.32</v>
      </c>
      <c r="L112" s="16"/>
      <c r="M112" s="16"/>
      <c r="N112" s="16"/>
      <c r="O112" s="16"/>
      <c r="P112" s="16"/>
      <c r="Q112" s="11">
        <f t="shared" si="1"/>
        <v>115.32</v>
      </c>
    </row>
    <row r="113" customHeight="1" spans="1:17">
      <c r="A113" s="7">
        <v>110</v>
      </c>
      <c r="B113" s="7" t="s">
        <v>238</v>
      </c>
      <c r="C113" s="10" t="s">
        <v>239</v>
      </c>
      <c r="D113" s="7"/>
      <c r="E113" s="7"/>
      <c r="F113" s="16"/>
      <c r="G113" s="16"/>
      <c r="H113" s="16"/>
      <c r="I113" s="11"/>
      <c r="J113" s="16"/>
      <c r="K113" s="16"/>
      <c r="L113" s="16">
        <v>115.32</v>
      </c>
      <c r="M113" s="16"/>
      <c r="N113" s="16"/>
      <c r="O113" s="16"/>
      <c r="P113" s="16"/>
      <c r="Q113" s="11">
        <f t="shared" si="1"/>
        <v>115.32</v>
      </c>
    </row>
    <row r="114" customHeight="1" spans="1:17">
      <c r="A114" s="7">
        <v>111</v>
      </c>
      <c r="B114" s="7" t="s">
        <v>240</v>
      </c>
      <c r="C114" s="10" t="s">
        <v>241</v>
      </c>
      <c r="D114" s="7"/>
      <c r="E114" s="7"/>
      <c r="F114" s="16"/>
      <c r="G114" s="16"/>
      <c r="H114" s="16"/>
      <c r="I114" s="11"/>
      <c r="J114" s="37">
        <v>115.32</v>
      </c>
      <c r="K114" s="16"/>
      <c r="L114" s="16"/>
      <c r="M114" s="16"/>
      <c r="N114" s="16"/>
      <c r="O114" s="16"/>
      <c r="P114" s="16"/>
      <c r="Q114" s="11">
        <f t="shared" si="1"/>
        <v>115.32</v>
      </c>
    </row>
    <row r="115" customHeight="1" spans="1:17">
      <c r="A115" s="7">
        <v>112</v>
      </c>
      <c r="B115" s="7" t="s">
        <v>242</v>
      </c>
      <c r="C115" s="10" t="s">
        <v>243</v>
      </c>
      <c r="D115" s="7"/>
      <c r="E115" s="7"/>
      <c r="F115" s="16"/>
      <c r="G115" s="16"/>
      <c r="H115" s="16"/>
      <c r="I115" s="11"/>
      <c r="J115" s="37">
        <v>115.32</v>
      </c>
      <c r="K115" s="16"/>
      <c r="L115" s="16"/>
      <c r="M115" s="16"/>
      <c r="N115" s="16"/>
      <c r="O115" s="16"/>
      <c r="P115" s="16"/>
      <c r="Q115" s="11">
        <f t="shared" si="1"/>
        <v>115.32</v>
      </c>
    </row>
    <row r="116" customHeight="1" spans="1:17">
      <c r="A116" s="7">
        <v>113</v>
      </c>
      <c r="B116" s="7" t="s">
        <v>244</v>
      </c>
      <c r="C116" s="10" t="s">
        <v>245</v>
      </c>
      <c r="D116" s="7"/>
      <c r="E116" s="7"/>
      <c r="F116" s="16"/>
      <c r="G116" s="16"/>
      <c r="H116" s="16"/>
      <c r="I116" s="11"/>
      <c r="J116" s="16"/>
      <c r="K116" s="16"/>
      <c r="L116" s="16"/>
      <c r="M116" s="16"/>
      <c r="N116" s="16"/>
      <c r="O116" s="16"/>
      <c r="P116" s="16"/>
      <c r="Q116" s="11">
        <f t="shared" si="1"/>
        <v>0</v>
      </c>
    </row>
    <row r="117" customHeight="1" spans="1:17">
      <c r="A117" s="7">
        <v>114</v>
      </c>
      <c r="B117" s="7" t="s">
        <v>246</v>
      </c>
      <c r="C117" s="10" t="s">
        <v>247</v>
      </c>
      <c r="D117" s="7"/>
      <c r="E117" s="7"/>
      <c r="F117" s="16"/>
      <c r="G117" s="16"/>
      <c r="H117" s="16"/>
      <c r="I117" s="11"/>
      <c r="J117" s="51">
        <v>115.32</v>
      </c>
      <c r="K117" s="16"/>
      <c r="L117" s="16"/>
      <c r="M117" s="16"/>
      <c r="N117" s="16"/>
      <c r="O117" s="16"/>
      <c r="P117" s="16"/>
      <c r="Q117" s="11">
        <f t="shared" si="1"/>
        <v>115.32</v>
      </c>
    </row>
    <row r="118" customHeight="1" spans="1:17">
      <c r="A118" s="7">
        <v>115</v>
      </c>
      <c r="B118" s="7" t="s">
        <v>248</v>
      </c>
      <c r="C118" s="10" t="s">
        <v>249</v>
      </c>
      <c r="D118" s="7"/>
      <c r="E118" s="7"/>
      <c r="F118" s="16"/>
      <c r="G118" s="16"/>
      <c r="H118" s="16"/>
      <c r="I118" s="11"/>
      <c r="J118" s="16"/>
      <c r="K118" s="37">
        <v>115.32</v>
      </c>
      <c r="L118" s="16"/>
      <c r="M118" s="16"/>
      <c r="N118" s="16"/>
      <c r="O118" s="16"/>
      <c r="P118" s="16"/>
      <c r="Q118" s="11">
        <f t="shared" si="1"/>
        <v>115.32</v>
      </c>
    </row>
    <row r="119" customHeight="1" spans="1:17">
      <c r="A119" s="7">
        <v>116</v>
      </c>
      <c r="B119" s="7" t="s">
        <v>250</v>
      </c>
      <c r="C119" s="10" t="s">
        <v>251</v>
      </c>
      <c r="D119" s="7"/>
      <c r="E119" s="7"/>
      <c r="F119" s="16"/>
      <c r="G119" s="16"/>
      <c r="H119" s="16"/>
      <c r="I119" s="11"/>
      <c r="J119" s="37">
        <v>115.32</v>
      </c>
      <c r="K119" s="16"/>
      <c r="L119" s="16"/>
      <c r="M119" s="16"/>
      <c r="N119" s="16"/>
      <c r="O119" s="16"/>
      <c r="P119" s="16"/>
      <c r="Q119" s="11">
        <f t="shared" si="1"/>
        <v>115.32</v>
      </c>
    </row>
    <row r="120" customHeight="1" spans="1:17">
      <c r="A120" s="7">
        <v>117</v>
      </c>
      <c r="B120" s="7" t="s">
        <v>252</v>
      </c>
      <c r="C120" s="10" t="s">
        <v>253</v>
      </c>
      <c r="D120" s="7"/>
      <c r="E120" s="7"/>
      <c r="F120" s="16"/>
      <c r="G120" s="16"/>
      <c r="H120" s="16"/>
      <c r="I120" s="11"/>
      <c r="J120" s="16"/>
      <c r="K120" s="16"/>
      <c r="L120" s="16"/>
      <c r="M120" s="16"/>
      <c r="N120" s="16"/>
      <c r="O120" s="16"/>
      <c r="P120" s="16"/>
      <c r="Q120" s="11">
        <f t="shared" si="1"/>
        <v>0</v>
      </c>
    </row>
    <row r="121" customHeight="1" spans="1:17">
      <c r="A121" s="7">
        <v>118</v>
      </c>
      <c r="B121" s="7" t="s">
        <v>254</v>
      </c>
      <c r="C121" s="10" t="s">
        <v>255</v>
      </c>
      <c r="D121" s="7"/>
      <c r="E121" s="7"/>
      <c r="F121" s="16"/>
      <c r="G121" s="16"/>
      <c r="H121" s="16"/>
      <c r="I121" s="11"/>
      <c r="J121" s="16"/>
      <c r="K121" s="16"/>
      <c r="L121" s="16"/>
      <c r="M121" s="53">
        <v>115.32</v>
      </c>
      <c r="N121" s="16"/>
      <c r="O121" s="16"/>
      <c r="P121" s="16"/>
      <c r="Q121" s="11">
        <f t="shared" si="1"/>
        <v>115.32</v>
      </c>
    </row>
    <row r="122" customHeight="1" spans="1:17">
      <c r="A122" s="7">
        <v>119</v>
      </c>
      <c r="B122" s="7" t="s">
        <v>256</v>
      </c>
      <c r="C122" s="12" t="s">
        <v>257</v>
      </c>
      <c r="D122" s="7"/>
      <c r="E122" s="7"/>
      <c r="F122" s="16"/>
      <c r="G122" s="16"/>
      <c r="H122" s="16"/>
      <c r="I122" s="11"/>
      <c r="J122" s="37">
        <v>115.32</v>
      </c>
      <c r="K122" s="16"/>
      <c r="L122" s="16"/>
      <c r="M122" s="16"/>
      <c r="N122" s="16"/>
      <c r="O122" s="16"/>
      <c r="P122" s="16"/>
      <c r="Q122" s="11">
        <f t="shared" si="1"/>
        <v>115.32</v>
      </c>
    </row>
    <row r="123" customHeight="1" spans="1:17">
      <c r="A123" s="7">
        <v>120</v>
      </c>
      <c r="B123" s="7" t="s">
        <v>258</v>
      </c>
      <c r="C123" s="10" t="s">
        <v>259</v>
      </c>
      <c r="D123" s="7"/>
      <c r="E123" s="7"/>
      <c r="F123" s="16"/>
      <c r="G123" s="16"/>
      <c r="H123" s="16"/>
      <c r="I123" s="11"/>
      <c r="J123" s="37">
        <v>115.32</v>
      </c>
      <c r="K123" s="16"/>
      <c r="L123" s="16"/>
      <c r="M123" s="16"/>
      <c r="N123" s="16"/>
      <c r="O123" s="16"/>
      <c r="P123" s="16"/>
      <c r="Q123" s="11">
        <f t="shared" si="1"/>
        <v>115.32</v>
      </c>
    </row>
    <row r="124" customHeight="1" spans="1:17">
      <c r="A124" s="7">
        <v>121</v>
      </c>
      <c r="B124" s="7" t="s">
        <v>260</v>
      </c>
      <c r="C124" s="10" t="s">
        <v>261</v>
      </c>
      <c r="D124" s="7"/>
      <c r="E124" s="7"/>
      <c r="F124" s="16"/>
      <c r="G124" s="16"/>
      <c r="H124" s="16"/>
      <c r="I124" s="11"/>
      <c r="J124" s="51">
        <v>110.1</v>
      </c>
      <c r="K124" s="16"/>
      <c r="L124" s="16"/>
      <c r="M124" s="16"/>
      <c r="N124" s="16"/>
      <c r="O124" s="16"/>
      <c r="P124" s="16"/>
      <c r="Q124" s="11">
        <f t="shared" si="1"/>
        <v>110.1</v>
      </c>
    </row>
    <row r="125" customHeight="1" spans="1:17">
      <c r="A125" s="7">
        <v>122</v>
      </c>
      <c r="B125" s="7" t="s">
        <v>262</v>
      </c>
      <c r="C125" s="10" t="s">
        <v>263</v>
      </c>
      <c r="D125" s="7"/>
      <c r="E125" s="7"/>
      <c r="F125" s="16"/>
      <c r="G125" s="16"/>
      <c r="H125" s="16"/>
      <c r="I125" s="11"/>
      <c r="J125" s="37">
        <v>115.32</v>
      </c>
      <c r="K125" s="16"/>
      <c r="L125" s="16"/>
      <c r="M125" s="16"/>
      <c r="N125" s="16"/>
      <c r="O125" s="16"/>
      <c r="P125" s="16"/>
      <c r="Q125" s="11">
        <f t="shared" si="1"/>
        <v>115.32</v>
      </c>
    </row>
    <row r="126" customHeight="1" spans="1:17">
      <c r="A126" s="7">
        <v>123</v>
      </c>
      <c r="B126" s="7" t="s">
        <v>264</v>
      </c>
      <c r="C126" s="10" t="s">
        <v>265</v>
      </c>
      <c r="D126" s="7"/>
      <c r="E126" s="7"/>
      <c r="F126" s="16">
        <v>96.66</v>
      </c>
      <c r="G126" s="16"/>
      <c r="H126" s="16"/>
      <c r="I126" s="11"/>
      <c r="J126" s="37">
        <v>115.32</v>
      </c>
      <c r="K126" s="16"/>
      <c r="L126" s="16"/>
      <c r="M126" s="16"/>
      <c r="N126" s="16"/>
      <c r="O126" s="16"/>
      <c r="P126" s="16"/>
      <c r="Q126" s="11">
        <f t="shared" si="1"/>
        <v>211.98</v>
      </c>
    </row>
    <row r="127" customHeight="1" spans="1:17">
      <c r="A127" s="7">
        <v>124</v>
      </c>
      <c r="B127" s="7" t="s">
        <v>266</v>
      </c>
      <c r="C127" s="10" t="s">
        <v>267</v>
      </c>
      <c r="D127" s="7"/>
      <c r="E127" s="7"/>
      <c r="F127" s="16"/>
      <c r="G127" s="16"/>
      <c r="H127" s="16"/>
      <c r="I127" s="11"/>
      <c r="J127" s="37">
        <v>115.32</v>
      </c>
      <c r="K127" s="16"/>
      <c r="L127" s="16"/>
      <c r="M127" s="16"/>
      <c r="N127" s="16"/>
      <c r="O127" s="16"/>
      <c r="P127" s="16"/>
      <c r="Q127" s="11">
        <f t="shared" si="1"/>
        <v>115.32</v>
      </c>
    </row>
    <row r="128" customHeight="1" spans="1:17">
      <c r="A128" s="7">
        <v>125</v>
      </c>
      <c r="B128" s="7" t="s">
        <v>268</v>
      </c>
      <c r="C128" s="16"/>
      <c r="D128" s="7"/>
      <c r="E128" s="7"/>
      <c r="F128" s="16"/>
      <c r="G128" s="16"/>
      <c r="H128" s="16"/>
      <c r="I128" s="11"/>
      <c r="J128" s="16"/>
      <c r="K128" s="16"/>
      <c r="L128" s="16"/>
      <c r="M128" s="16"/>
      <c r="N128" s="16"/>
      <c r="O128" s="16"/>
      <c r="P128" s="16"/>
      <c r="Q128" s="11">
        <f t="shared" si="1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/>
      <c r="E129" s="7"/>
      <c r="F129" s="16"/>
      <c r="G129" s="16"/>
      <c r="H129" s="16"/>
      <c r="I129" s="11"/>
      <c r="J129" s="16"/>
      <c r="K129" s="16"/>
      <c r="L129" s="16"/>
      <c r="M129" s="16"/>
      <c r="N129" s="16"/>
      <c r="O129" s="16"/>
      <c r="P129" s="16"/>
      <c r="Q129" s="11">
        <f t="shared" si="1"/>
        <v>0</v>
      </c>
    </row>
    <row r="130" customHeight="1" spans="1:17">
      <c r="A130" s="7">
        <v>127</v>
      </c>
      <c r="B130" s="7" t="s">
        <v>271</v>
      </c>
      <c r="C130" s="10" t="s">
        <v>272</v>
      </c>
      <c r="D130" s="7"/>
      <c r="E130" s="7"/>
      <c r="F130" s="16"/>
      <c r="G130" s="16"/>
      <c r="H130" s="16"/>
      <c r="I130" s="11"/>
      <c r="J130" s="16"/>
      <c r="K130" s="16"/>
      <c r="L130" s="16"/>
      <c r="M130" s="16"/>
      <c r="N130" s="16"/>
      <c r="O130" s="16"/>
      <c r="P130" s="16"/>
      <c r="Q130" s="11">
        <f t="shared" si="1"/>
        <v>0</v>
      </c>
    </row>
    <row r="131" customHeight="1" spans="1:17">
      <c r="A131" s="7">
        <v>128</v>
      </c>
      <c r="B131" s="7" t="s">
        <v>273</v>
      </c>
      <c r="C131" s="10" t="s">
        <v>274</v>
      </c>
      <c r="D131" s="7"/>
      <c r="E131" s="7"/>
      <c r="F131" s="16"/>
      <c r="G131" s="16"/>
      <c r="H131" s="16"/>
      <c r="I131" s="11"/>
      <c r="J131" s="16"/>
      <c r="K131" s="16"/>
      <c r="L131" s="16"/>
      <c r="M131" s="37">
        <v>115.32</v>
      </c>
      <c r="N131" s="16"/>
      <c r="O131" s="16"/>
      <c r="P131" s="16"/>
      <c r="Q131" s="11">
        <f t="shared" si="1"/>
        <v>115.32</v>
      </c>
    </row>
    <row r="132" customHeight="1" spans="1:17">
      <c r="A132" s="7">
        <v>129</v>
      </c>
      <c r="B132" s="16"/>
      <c r="C132" s="16" t="s">
        <v>275</v>
      </c>
      <c r="D132" s="16">
        <f t="shared" ref="D132:Q132" si="2">SUM(D4:D131)</f>
        <v>0</v>
      </c>
      <c r="E132" s="16">
        <f t="shared" si="2"/>
        <v>904.74</v>
      </c>
      <c r="F132" s="16">
        <f t="shared" si="2"/>
        <v>1029.42</v>
      </c>
      <c r="G132" s="16">
        <f t="shared" si="2"/>
        <v>282.39</v>
      </c>
      <c r="H132" s="16">
        <f t="shared" si="2"/>
        <v>0</v>
      </c>
      <c r="I132" s="16">
        <f t="shared" si="2"/>
        <v>0</v>
      </c>
      <c r="J132" s="16">
        <f t="shared" si="2"/>
        <v>8215.82999999999</v>
      </c>
      <c r="K132" s="16">
        <f t="shared" si="2"/>
        <v>2243.11</v>
      </c>
      <c r="L132" s="16">
        <f t="shared" si="2"/>
        <v>631.2</v>
      </c>
      <c r="M132" s="16">
        <f t="shared" si="2"/>
        <v>1074.28</v>
      </c>
      <c r="N132" s="16">
        <f t="shared" si="2"/>
        <v>594.8</v>
      </c>
      <c r="O132" s="16">
        <f t="shared" si="2"/>
        <v>400.56</v>
      </c>
      <c r="P132" s="16">
        <f t="shared" si="2"/>
        <v>133.52</v>
      </c>
      <c r="Q132" s="16">
        <f t="shared" si="2"/>
        <v>15509.85</v>
      </c>
    </row>
    <row r="133" customHeight="1" spans="4:4">
      <c r="D133" s="47">
        <v>33322.27</v>
      </c>
    </row>
  </sheetData>
  <mergeCells count="3">
    <mergeCell ref="A1:Q1"/>
    <mergeCell ref="A2:D2"/>
    <mergeCell ref="O2:Q2"/>
  </mergeCells>
  <conditionalFormatting sqref="J4">
    <cfRule type="cellIs" dxfId="1" priority="33" operator="equal">
      <formula>0</formula>
    </cfRule>
  </conditionalFormatting>
  <conditionalFormatting sqref="K6">
    <cfRule type="cellIs" dxfId="1" priority="56" operator="equal">
      <formula>0</formula>
    </cfRule>
  </conditionalFormatting>
  <conditionalFormatting sqref="K9">
    <cfRule type="cellIs" dxfId="1" priority="55" operator="equal">
      <formula>0</formula>
    </cfRule>
  </conditionalFormatting>
  <conditionalFormatting sqref="K33">
    <cfRule type="cellIs" dxfId="1" priority="52" operator="equal">
      <formula>0</formula>
    </cfRule>
  </conditionalFormatting>
  <conditionalFormatting sqref="K42">
    <cfRule type="cellIs" dxfId="1" priority="51" operator="equal">
      <formula>0</formula>
    </cfRule>
  </conditionalFormatting>
  <conditionalFormatting sqref="M42">
    <cfRule type="cellIs" dxfId="1" priority="9" operator="equal">
      <formula>0</formula>
    </cfRule>
  </conditionalFormatting>
  <conditionalFormatting sqref="M43">
    <cfRule type="cellIs" dxfId="1" priority="8" operator="equal">
      <formula>0</formula>
    </cfRule>
  </conditionalFormatting>
  <conditionalFormatting sqref="J51">
    <cfRule type="cellIs" dxfId="1" priority="27" operator="equal">
      <formula>0</formula>
    </cfRule>
  </conditionalFormatting>
  <conditionalFormatting sqref="J57">
    <cfRule type="cellIs" dxfId="1" priority="25" operator="equal">
      <formula>0</formula>
    </cfRule>
  </conditionalFormatting>
  <conditionalFormatting sqref="J63">
    <cfRule type="cellIs" dxfId="1" priority="36" operator="equal">
      <formula>0</formula>
    </cfRule>
  </conditionalFormatting>
  <conditionalFormatting sqref="K67">
    <cfRule type="cellIs" dxfId="1" priority="50" operator="equal">
      <formula>0</formula>
    </cfRule>
  </conditionalFormatting>
  <conditionalFormatting sqref="K68">
    <cfRule type="cellIs" dxfId="1" priority="49" operator="equal">
      <formula>0</formula>
    </cfRule>
  </conditionalFormatting>
  <conditionalFormatting sqref="J71">
    <cfRule type="cellIs" dxfId="1" priority="23" operator="equal">
      <formula>0</formula>
    </cfRule>
  </conditionalFormatting>
  <conditionalFormatting sqref="M73">
    <cfRule type="cellIs" dxfId="1" priority="7" operator="equal">
      <formula>0</formula>
    </cfRule>
  </conditionalFormatting>
  <conditionalFormatting sqref="K74">
    <cfRule type="cellIs" dxfId="1" priority="48" operator="equal">
      <formula>0</formula>
    </cfRule>
  </conditionalFormatting>
  <conditionalFormatting sqref="J79">
    <cfRule type="cellIs" dxfId="1" priority="22" operator="equal">
      <formula>0</formula>
    </cfRule>
  </conditionalFormatting>
  <conditionalFormatting sqref="M86">
    <cfRule type="cellIs" dxfId="1" priority="6" operator="equal">
      <formula>0</formula>
    </cfRule>
  </conditionalFormatting>
  <conditionalFormatting sqref="J87">
    <cfRule type="cellIs" dxfId="1" priority="20" operator="equal">
      <formula>0</formula>
    </cfRule>
  </conditionalFormatting>
  <conditionalFormatting sqref="K88">
    <cfRule type="cellIs" dxfId="1" priority="47" operator="equal">
      <formula>0</formula>
    </cfRule>
  </conditionalFormatting>
  <conditionalFormatting sqref="J89">
    <cfRule type="cellIs" dxfId="1" priority="19" operator="equal">
      <formula>0</formula>
    </cfRule>
  </conditionalFormatting>
  <conditionalFormatting sqref="K91">
    <cfRule type="cellIs" dxfId="1" priority="46" operator="equal">
      <formula>0</formula>
    </cfRule>
  </conditionalFormatting>
  <conditionalFormatting sqref="J92">
    <cfRule type="cellIs" dxfId="1" priority="18" operator="equal">
      <formula>0</formula>
    </cfRule>
  </conditionalFormatting>
  <conditionalFormatting sqref="M96">
    <cfRule type="cellIs" dxfId="1" priority="4" operator="equal">
      <formula>0</formula>
    </cfRule>
  </conditionalFormatting>
  <conditionalFormatting sqref="M97">
    <cfRule type="cellIs" dxfId="1" priority="5" operator="equal">
      <formula>0</formula>
    </cfRule>
  </conditionalFormatting>
  <conditionalFormatting sqref="K98">
    <cfRule type="cellIs" dxfId="1" priority="45" operator="equal">
      <formula>0</formula>
    </cfRule>
  </conditionalFormatting>
  <conditionalFormatting sqref="K101">
    <cfRule type="cellIs" dxfId="1" priority="44" operator="equal">
      <formula>0</formula>
    </cfRule>
  </conditionalFormatting>
  <conditionalFormatting sqref="K102">
    <cfRule type="cellIs" dxfId="1" priority="43" operator="equal">
      <formula>0</formula>
    </cfRule>
  </conditionalFormatting>
  <conditionalFormatting sqref="M106">
    <cfRule type="cellIs" dxfId="1" priority="3" operator="equal">
      <formula>0</formula>
    </cfRule>
  </conditionalFormatting>
  <conditionalFormatting sqref="J107">
    <cfRule type="cellIs" dxfId="1" priority="15" operator="equal">
      <formula>0</formula>
    </cfRule>
  </conditionalFormatting>
  <conditionalFormatting sqref="J109">
    <cfRule type="cellIs" dxfId="1" priority="34" operator="equal">
      <formula>0</formula>
    </cfRule>
  </conditionalFormatting>
  <conditionalFormatting sqref="J110">
    <cfRule type="cellIs" dxfId="1" priority="14" operator="equal">
      <formula>0</formula>
    </cfRule>
  </conditionalFormatting>
  <conditionalFormatting sqref="K112">
    <cfRule type="cellIs" dxfId="1" priority="42" operator="equal">
      <formula>0</formula>
    </cfRule>
  </conditionalFormatting>
  <conditionalFormatting sqref="K118">
    <cfRule type="cellIs" dxfId="1" priority="41" operator="equal">
      <formula>0</formula>
    </cfRule>
  </conditionalFormatting>
  <conditionalFormatting sqref="J119">
    <cfRule type="cellIs" dxfId="1" priority="12" operator="equal">
      <formula>0</formula>
    </cfRule>
  </conditionalFormatting>
  <conditionalFormatting sqref="M121">
    <cfRule type="cellIs" dxfId="1" priority="2" operator="equal">
      <formula>0</formula>
    </cfRule>
  </conditionalFormatting>
  <conditionalFormatting sqref="M131">
    <cfRule type="cellIs" dxfId="1" priority="1" operator="equal">
      <formula>0</formula>
    </cfRule>
  </conditionalFormatting>
  <conditionalFormatting sqref="C4:C67">
    <cfRule type="cellIs" dxfId="1" priority="60" operator="equal">
      <formula>0</formula>
    </cfRule>
    <cfRule type="duplicateValues" dxfId="0" priority="59"/>
  </conditionalFormatting>
  <conditionalFormatting sqref="J12:J15">
    <cfRule type="cellIs" dxfId="1" priority="32" operator="equal">
      <formula>0</formula>
    </cfRule>
  </conditionalFormatting>
  <conditionalFormatting sqref="J34:J35">
    <cfRule type="cellIs" dxfId="1" priority="31" operator="equal">
      <formula>0</formula>
    </cfRule>
  </conditionalFormatting>
  <conditionalFormatting sqref="J39:J41">
    <cfRule type="cellIs" dxfId="1" priority="30" operator="equal">
      <formula>0</formula>
    </cfRule>
  </conditionalFormatting>
  <conditionalFormatting sqref="J44:J45">
    <cfRule type="cellIs" dxfId="1" priority="29" operator="equal">
      <formula>0</formula>
    </cfRule>
  </conditionalFormatting>
  <conditionalFormatting sqref="J48:J49">
    <cfRule type="cellIs" dxfId="1" priority="28" operator="equal">
      <formula>0</formula>
    </cfRule>
  </conditionalFormatting>
  <conditionalFormatting sqref="J54:J55">
    <cfRule type="cellIs" dxfId="1" priority="26" operator="equal">
      <formula>0</formula>
    </cfRule>
  </conditionalFormatting>
  <conditionalFormatting sqref="J64:J65">
    <cfRule type="cellIs" dxfId="1" priority="24" operator="equal">
      <formula>0</formula>
    </cfRule>
  </conditionalFormatting>
  <conditionalFormatting sqref="J72:J77">
    <cfRule type="cellIs" dxfId="1" priority="35" operator="equal">
      <formula>0</formula>
    </cfRule>
  </conditionalFormatting>
  <conditionalFormatting sqref="J83:J84">
    <cfRule type="cellIs" dxfId="1" priority="21" operator="equal">
      <formula>0</formula>
    </cfRule>
  </conditionalFormatting>
  <conditionalFormatting sqref="J94:J95">
    <cfRule type="cellIs" dxfId="1" priority="17" operator="equal">
      <formula>0</formula>
    </cfRule>
  </conditionalFormatting>
  <conditionalFormatting sqref="J104:J105">
    <cfRule type="cellIs" dxfId="1" priority="16" operator="equal">
      <formula>0</formula>
    </cfRule>
  </conditionalFormatting>
  <conditionalFormatting sqref="J114:J115">
    <cfRule type="cellIs" dxfId="1" priority="13" operator="equal">
      <formula>0</formula>
    </cfRule>
  </conditionalFormatting>
  <conditionalFormatting sqref="J122:J123">
    <cfRule type="cellIs" dxfId="1" priority="11" operator="equal">
      <formula>0</formula>
    </cfRule>
  </conditionalFormatting>
  <conditionalFormatting sqref="J125:J127">
    <cfRule type="cellIs" dxfId="1" priority="10" operator="equal">
      <formula>0</formula>
    </cfRule>
  </conditionalFormatting>
  <conditionalFormatting sqref="K29:K30">
    <cfRule type="cellIs" dxfId="1" priority="53" operator="equal">
      <formula>0</formula>
    </cfRule>
  </conditionalFormatting>
  <conditionalFormatting sqref="J6:J7 J9">
    <cfRule type="cellIs" dxfId="1" priority="40" operator="equal">
      <formula>0</formula>
    </cfRule>
  </conditionalFormatting>
  <conditionalFormatting sqref="K16:K19 K20 K21">
    <cfRule type="cellIs" dxfId="1" priority="54" operator="equal">
      <formula>0</formula>
    </cfRule>
  </conditionalFormatting>
  <conditionalFormatting sqref="J20 J22:J23">
    <cfRule type="cellIs" dxfId="1" priority="39" operator="equal">
      <formula>0</formula>
    </cfRule>
  </conditionalFormatting>
  <conditionalFormatting sqref="J29 J31">
    <cfRule type="cellIs" dxfId="1" priority="38" operator="equal">
      <formula>0</formula>
    </cfRule>
  </conditionalFormatting>
  <conditionalFormatting sqref="C68:C127 C129:C131">
    <cfRule type="cellIs" dxfId="1" priority="58" operator="equal">
      <formula>0</formula>
    </cfRule>
    <cfRule type="cellIs" dxfId="1" priority="57" operator="equal">
      <formula>0</formula>
    </cfRule>
  </conditionalFormatting>
  <pageMargins left="0.393055555555556" right="0.393055555555556" top="0.66875" bottom="0.393055555555556" header="0.298611111111111" footer="0.298611111111111"/>
  <pageSetup paperSize="9" scale="60" fitToHeight="0" orientation="portrait" horizontalDpi="600"/>
  <headerFooter/>
  <rowBreaks count="3" manualBreakCount="3">
    <brk id="34" max="16383" man="1"/>
    <brk id="67" max="16383" man="1"/>
    <brk id="105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33"/>
  <sheetViews>
    <sheetView view="pageBreakPreview" zoomScaleNormal="100" topLeftCell="A88" workbookViewId="0">
      <selection activeCell="N104" sqref="N104"/>
    </sheetView>
  </sheetViews>
  <sheetFormatPr defaultColWidth="9" defaultRowHeight="30" customHeight="1"/>
  <cols>
    <col min="1" max="1" width="5" style="3" customWidth="1"/>
    <col min="2" max="2" width="9" style="3"/>
    <col min="3" max="3" width="9.5" style="3" customWidth="1"/>
    <col min="4" max="4" width="12.125" style="3" customWidth="1"/>
    <col min="5" max="5" width="7.625" style="3" customWidth="1"/>
    <col min="6" max="6" width="8.75" style="3" customWidth="1"/>
    <col min="7" max="11" width="9" style="3"/>
    <col min="12" max="12" width="10.8833333333333" style="3" customWidth="1"/>
    <col min="13" max="14" width="9" style="3"/>
    <col min="15" max="15" width="9" style="34"/>
    <col min="16" max="16" width="9" style="35"/>
    <col min="17" max="17" width="11" style="35" customWidth="1"/>
    <col min="18" max="16384" width="9" style="2"/>
  </cols>
  <sheetData>
    <row r="1" customHeight="1" spans="1:17">
      <c r="A1" s="4" t="s">
        <v>282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39"/>
      <c r="P1" s="39"/>
      <c r="Q1" s="39"/>
    </row>
    <row r="2" customFormat="1" customHeight="1" spans="1:17">
      <c r="A2" s="5" t="s">
        <v>1</v>
      </c>
      <c r="B2" s="5"/>
      <c r="C2" s="5"/>
      <c r="D2" s="5"/>
      <c r="E2" s="6"/>
      <c r="F2" s="3"/>
      <c r="G2" s="3"/>
      <c r="H2" s="3"/>
      <c r="I2" s="3"/>
      <c r="J2" s="3"/>
      <c r="K2" s="3"/>
      <c r="L2" s="3"/>
      <c r="M2" s="3"/>
      <c r="N2" s="3"/>
      <c r="O2" s="40" t="s">
        <v>2</v>
      </c>
      <c r="P2" s="41"/>
      <c r="Q2" s="41"/>
    </row>
    <row r="3" s="1" customFormat="1" customHeight="1" spans="1:17">
      <c r="A3" s="7" t="s">
        <v>3</v>
      </c>
      <c r="B3" s="7" t="s">
        <v>4</v>
      </c>
      <c r="C3" s="7" t="s">
        <v>5</v>
      </c>
      <c r="D3" s="36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42" t="s">
        <v>17</v>
      </c>
      <c r="P3" s="42" t="s">
        <v>18</v>
      </c>
      <c r="Q3" s="45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/>
      <c r="E4" s="7"/>
      <c r="F4" s="16"/>
      <c r="G4" s="16"/>
      <c r="H4" s="16">
        <v>0</v>
      </c>
      <c r="I4" s="16">
        <v>217.78</v>
      </c>
      <c r="J4" s="16">
        <v>0</v>
      </c>
      <c r="K4" s="16"/>
      <c r="L4" s="16"/>
      <c r="M4" s="16"/>
      <c r="N4" s="16"/>
      <c r="O4" s="43"/>
      <c r="P4" s="44"/>
      <c r="Q4" s="44">
        <f t="shared" ref="Q4:Q67" si="0">D4+E4+F4+G4+H4+I4+J4+K4+L4+M4+N4+O4+P4</f>
        <v>217.78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/>
      <c r="E5" s="7"/>
      <c r="F5" s="16"/>
      <c r="G5" s="37">
        <v>149.18</v>
      </c>
      <c r="H5" s="16">
        <v>0</v>
      </c>
      <c r="I5" s="16">
        <v>217.78</v>
      </c>
      <c r="J5" s="16">
        <v>0</v>
      </c>
      <c r="K5" s="16"/>
      <c r="L5" s="16"/>
      <c r="M5" s="16"/>
      <c r="N5" s="16"/>
      <c r="O5" s="43"/>
      <c r="P5" s="44"/>
      <c r="Q5" s="44">
        <f t="shared" si="0"/>
        <v>366.96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/>
      <c r="E6" s="7"/>
      <c r="F6" s="16"/>
      <c r="G6" s="16"/>
      <c r="H6" s="16">
        <v>0</v>
      </c>
      <c r="I6" s="16">
        <v>366.96</v>
      </c>
      <c r="J6" s="16">
        <v>0</v>
      </c>
      <c r="K6" s="16"/>
      <c r="L6" s="16"/>
      <c r="M6" s="16"/>
      <c r="N6" s="16"/>
      <c r="O6" s="43"/>
      <c r="P6" s="44"/>
      <c r="Q6" s="44">
        <f t="shared" si="0"/>
        <v>366.96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/>
      <c r="E7" s="7"/>
      <c r="F7" s="16"/>
      <c r="G7" s="38">
        <v>282.7</v>
      </c>
      <c r="H7" s="16">
        <v>0</v>
      </c>
      <c r="I7" s="16">
        <v>0</v>
      </c>
      <c r="J7" s="16">
        <v>0</v>
      </c>
      <c r="K7" s="16"/>
      <c r="L7" s="16"/>
      <c r="M7" s="16"/>
      <c r="N7" s="16"/>
      <c r="O7" s="43"/>
      <c r="P7" s="44"/>
      <c r="Q7" s="44">
        <f t="shared" si="0"/>
        <v>282.7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/>
      <c r="E8" s="7"/>
      <c r="F8" s="16"/>
      <c r="G8" s="37">
        <v>149.18</v>
      </c>
      <c r="H8" s="16">
        <v>0</v>
      </c>
      <c r="I8" s="16">
        <v>217.78</v>
      </c>
      <c r="J8" s="16">
        <v>0</v>
      </c>
      <c r="K8" s="16"/>
      <c r="L8" s="16"/>
      <c r="M8" s="16"/>
      <c r="N8" s="16"/>
      <c r="O8" s="43"/>
      <c r="P8" s="44"/>
      <c r="Q8" s="44">
        <f t="shared" si="0"/>
        <v>366.96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/>
      <c r="E9" s="7"/>
      <c r="F9" s="16"/>
      <c r="G9" s="37">
        <v>149.18</v>
      </c>
      <c r="H9" s="16">
        <v>0</v>
      </c>
      <c r="I9" s="16">
        <v>217.78</v>
      </c>
      <c r="J9" s="16">
        <v>0</v>
      </c>
      <c r="K9" s="16"/>
      <c r="L9" s="16"/>
      <c r="M9" s="16"/>
      <c r="N9" s="16"/>
      <c r="O9" s="43"/>
      <c r="P9" s="44"/>
      <c r="Q9" s="44">
        <f t="shared" si="0"/>
        <v>366.96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/>
      <c r="E10" s="7"/>
      <c r="F10" s="16"/>
      <c r="G10" s="37">
        <v>149.18</v>
      </c>
      <c r="H10" s="16">
        <v>0</v>
      </c>
      <c r="I10" s="16">
        <v>217.78</v>
      </c>
      <c r="J10" s="16">
        <v>0</v>
      </c>
      <c r="K10" s="16"/>
      <c r="L10" s="16"/>
      <c r="M10" s="16"/>
      <c r="N10" s="16"/>
      <c r="O10" s="43"/>
      <c r="P10" s="44"/>
      <c r="Q10" s="44">
        <f t="shared" si="0"/>
        <v>366.96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/>
      <c r="E11" s="7"/>
      <c r="F11" s="16"/>
      <c r="G11" s="37">
        <v>149.18</v>
      </c>
      <c r="H11" s="16">
        <v>0</v>
      </c>
      <c r="I11" s="16">
        <v>0</v>
      </c>
      <c r="J11" s="16">
        <v>366.96</v>
      </c>
      <c r="K11" s="16"/>
      <c r="L11" s="16"/>
      <c r="M11" s="16"/>
      <c r="N11" s="16"/>
      <c r="O11" s="43"/>
      <c r="P11" s="44"/>
      <c r="Q11" s="44">
        <f t="shared" si="0"/>
        <v>516.14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/>
      <c r="E12" s="7"/>
      <c r="F12" s="16"/>
      <c r="G12" s="37">
        <v>149.18</v>
      </c>
      <c r="H12" s="16">
        <v>0</v>
      </c>
      <c r="I12" s="16">
        <v>0</v>
      </c>
      <c r="J12" s="16">
        <v>366.96</v>
      </c>
      <c r="K12" s="16"/>
      <c r="L12" s="16"/>
      <c r="M12" s="16"/>
      <c r="N12" s="16"/>
      <c r="O12" s="43"/>
      <c r="P12" s="44"/>
      <c r="Q12" s="44">
        <f t="shared" si="0"/>
        <v>516.14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/>
      <c r="E13" s="7"/>
      <c r="F13" s="16"/>
      <c r="G13" s="37"/>
      <c r="H13" s="16">
        <v>0</v>
      </c>
      <c r="I13" s="16">
        <v>0</v>
      </c>
      <c r="J13" s="16">
        <v>0</v>
      </c>
      <c r="K13" s="16"/>
      <c r="L13" s="16"/>
      <c r="M13" s="16"/>
      <c r="N13" s="16"/>
      <c r="O13" s="43"/>
      <c r="P13" s="44"/>
      <c r="Q13" s="44">
        <f t="shared" si="0"/>
        <v>0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/>
      <c r="E14" s="7"/>
      <c r="F14" s="16"/>
      <c r="G14" s="37">
        <v>149.18</v>
      </c>
      <c r="H14" s="16">
        <v>0</v>
      </c>
      <c r="I14" s="16">
        <v>0</v>
      </c>
      <c r="J14" s="16">
        <v>0</v>
      </c>
      <c r="K14" s="16"/>
      <c r="L14" s="16">
        <v>366.96</v>
      </c>
      <c r="M14" s="16"/>
      <c r="N14" s="16"/>
      <c r="O14" s="43">
        <v>366.96</v>
      </c>
      <c r="P14" s="44"/>
      <c r="Q14" s="44">
        <f t="shared" si="0"/>
        <v>883.1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/>
      <c r="E15" s="7"/>
      <c r="F15" s="16"/>
      <c r="G15" s="37">
        <v>149.18</v>
      </c>
      <c r="H15" s="37">
        <v>217.78</v>
      </c>
      <c r="I15" s="16">
        <v>0</v>
      </c>
      <c r="J15" s="16">
        <v>0</v>
      </c>
      <c r="K15" s="16"/>
      <c r="L15" s="16">
        <v>0</v>
      </c>
      <c r="M15" s="16"/>
      <c r="N15" s="16"/>
      <c r="O15" s="43"/>
      <c r="P15" s="44"/>
      <c r="Q15" s="44">
        <f t="shared" si="0"/>
        <v>366.96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/>
      <c r="E16" s="7"/>
      <c r="F16" s="16"/>
      <c r="G16" s="37">
        <v>149.18</v>
      </c>
      <c r="H16" s="16">
        <v>0</v>
      </c>
      <c r="I16" s="16">
        <v>217.78</v>
      </c>
      <c r="J16" s="16">
        <v>0</v>
      </c>
      <c r="K16" s="16"/>
      <c r="L16" s="16">
        <v>0</v>
      </c>
      <c r="M16" s="16"/>
      <c r="N16" s="16"/>
      <c r="O16" s="43"/>
      <c r="P16" s="44"/>
      <c r="Q16" s="44">
        <f t="shared" si="0"/>
        <v>366.96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/>
      <c r="E17" s="7"/>
      <c r="F17" s="16"/>
      <c r="G17" s="16"/>
      <c r="H17" s="16">
        <v>0</v>
      </c>
      <c r="I17" s="16">
        <v>0</v>
      </c>
      <c r="J17" s="16">
        <v>0</v>
      </c>
      <c r="K17" s="16"/>
      <c r="L17" s="16">
        <v>0</v>
      </c>
      <c r="M17" s="16"/>
      <c r="N17" s="16"/>
      <c r="O17" s="43"/>
      <c r="P17" s="44"/>
      <c r="Q17" s="44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/>
      <c r="E18" s="7"/>
      <c r="F18" s="16"/>
      <c r="G18" s="16"/>
      <c r="H18" s="16">
        <v>0</v>
      </c>
      <c r="I18" s="16">
        <v>0</v>
      </c>
      <c r="J18" s="16">
        <v>0</v>
      </c>
      <c r="K18" s="16"/>
      <c r="L18" s="16">
        <v>0</v>
      </c>
      <c r="M18" s="16"/>
      <c r="N18" s="16"/>
      <c r="O18" s="43"/>
      <c r="P18" s="44"/>
      <c r="Q18" s="44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/>
      <c r="E19" s="7"/>
      <c r="F19" s="16"/>
      <c r="G19" s="37">
        <v>149.18</v>
      </c>
      <c r="H19" s="16">
        <v>0</v>
      </c>
      <c r="I19" s="16">
        <v>217.78</v>
      </c>
      <c r="J19" s="16">
        <v>0</v>
      </c>
      <c r="K19" s="16"/>
      <c r="L19" s="16">
        <v>0</v>
      </c>
      <c r="M19" s="16"/>
      <c r="N19" s="16"/>
      <c r="O19" s="43"/>
      <c r="P19" s="44"/>
      <c r="Q19" s="44">
        <f t="shared" si="0"/>
        <v>366.96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/>
      <c r="E20" s="7"/>
      <c r="F20" s="16"/>
      <c r="G20" s="37">
        <v>149.18</v>
      </c>
      <c r="H20" s="16">
        <v>0</v>
      </c>
      <c r="I20" s="16">
        <v>0</v>
      </c>
      <c r="J20" s="16">
        <v>0</v>
      </c>
      <c r="K20" s="16">
        <v>366.96</v>
      </c>
      <c r="L20" s="16">
        <v>0</v>
      </c>
      <c r="M20" s="16"/>
      <c r="N20" s="16"/>
      <c r="O20" s="43"/>
      <c r="P20" s="44"/>
      <c r="Q20" s="44">
        <f t="shared" si="0"/>
        <v>516.14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/>
      <c r="E21" s="7"/>
      <c r="F21" s="16"/>
      <c r="G21" s="37">
        <v>149.18</v>
      </c>
      <c r="H21" s="16">
        <v>0</v>
      </c>
      <c r="I21" s="16">
        <v>217.78</v>
      </c>
      <c r="J21" s="16">
        <v>0</v>
      </c>
      <c r="K21" s="16">
        <v>0</v>
      </c>
      <c r="L21" s="16">
        <v>0</v>
      </c>
      <c r="M21" s="16"/>
      <c r="N21" s="16"/>
      <c r="O21" s="43"/>
      <c r="P21" s="44"/>
      <c r="Q21" s="44">
        <f t="shared" si="0"/>
        <v>366.96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/>
      <c r="E22" s="7"/>
      <c r="F22" s="16"/>
      <c r="G22" s="37">
        <v>149.18</v>
      </c>
      <c r="H22" s="16">
        <v>0</v>
      </c>
      <c r="I22" s="16">
        <v>0</v>
      </c>
      <c r="J22" s="16">
        <v>366.96</v>
      </c>
      <c r="K22" s="16">
        <v>0</v>
      </c>
      <c r="L22" s="16">
        <v>0</v>
      </c>
      <c r="M22" s="16"/>
      <c r="N22" s="16"/>
      <c r="O22" s="43"/>
      <c r="P22" s="44"/>
      <c r="Q22" s="44">
        <f t="shared" si="0"/>
        <v>516.14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/>
      <c r="E23" s="7"/>
      <c r="F23" s="16"/>
      <c r="G23" s="37">
        <v>149.18</v>
      </c>
      <c r="H23" s="37">
        <v>217.78</v>
      </c>
      <c r="I23" s="16">
        <v>0</v>
      </c>
      <c r="J23" s="16">
        <v>0</v>
      </c>
      <c r="K23" s="16">
        <v>0</v>
      </c>
      <c r="L23" s="16">
        <v>0</v>
      </c>
      <c r="M23" s="16"/>
      <c r="N23" s="16"/>
      <c r="O23" s="43"/>
      <c r="P23" s="44"/>
      <c r="Q23" s="44">
        <f t="shared" si="0"/>
        <v>366.96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/>
      <c r="E24" s="7"/>
      <c r="F24" s="16"/>
      <c r="G24" s="37">
        <v>149.18</v>
      </c>
      <c r="H24" s="16">
        <v>0</v>
      </c>
      <c r="I24" s="16">
        <v>217.78</v>
      </c>
      <c r="J24" s="16">
        <v>0</v>
      </c>
      <c r="K24" s="16">
        <v>0</v>
      </c>
      <c r="L24" s="16">
        <v>0</v>
      </c>
      <c r="M24" s="16"/>
      <c r="N24" s="16"/>
      <c r="O24" s="43"/>
      <c r="P24" s="44"/>
      <c r="Q24" s="44">
        <f t="shared" si="0"/>
        <v>366.96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/>
      <c r="E25" s="7"/>
      <c r="F25" s="16"/>
      <c r="G25" s="16"/>
      <c r="H25" s="16">
        <v>0</v>
      </c>
      <c r="I25" s="16">
        <v>0</v>
      </c>
      <c r="J25" s="16">
        <v>0</v>
      </c>
      <c r="K25" s="16">
        <v>0</v>
      </c>
      <c r="L25" s="16">
        <v>500.48</v>
      </c>
      <c r="M25" s="16"/>
      <c r="N25" s="16"/>
      <c r="O25" s="43"/>
      <c r="P25" s="44"/>
      <c r="Q25" s="44">
        <f t="shared" si="0"/>
        <v>500.48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/>
      <c r="E26" s="7"/>
      <c r="F26" s="16"/>
      <c r="G26" s="37">
        <v>149.18</v>
      </c>
      <c r="H26" s="16">
        <v>0</v>
      </c>
      <c r="I26" s="16">
        <v>217.78</v>
      </c>
      <c r="J26" s="16">
        <v>0</v>
      </c>
      <c r="K26" s="16">
        <v>0</v>
      </c>
      <c r="L26" s="16">
        <v>0</v>
      </c>
      <c r="M26" s="16"/>
      <c r="N26" s="16"/>
      <c r="O26" s="43"/>
      <c r="P26" s="44"/>
      <c r="Q26" s="44">
        <f t="shared" si="0"/>
        <v>366.96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/>
      <c r="E27" s="7"/>
      <c r="F27" s="16"/>
      <c r="G27" s="16"/>
      <c r="H27" s="16">
        <v>0</v>
      </c>
      <c r="I27" s="16">
        <v>0</v>
      </c>
      <c r="J27" s="16">
        <v>500.48</v>
      </c>
      <c r="K27" s="16">
        <v>0</v>
      </c>
      <c r="L27" s="16">
        <v>0</v>
      </c>
      <c r="M27" s="16"/>
      <c r="N27" s="16"/>
      <c r="O27" s="43"/>
      <c r="P27" s="44"/>
      <c r="Q27" s="44">
        <f t="shared" si="0"/>
        <v>500.48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/>
      <c r="E28" s="7"/>
      <c r="F28" s="16"/>
      <c r="G28" s="37">
        <v>149.18</v>
      </c>
      <c r="H28" s="16">
        <v>0</v>
      </c>
      <c r="I28" s="16">
        <v>217.78</v>
      </c>
      <c r="J28" s="16">
        <v>0</v>
      </c>
      <c r="K28" s="16">
        <v>0</v>
      </c>
      <c r="L28" s="16">
        <v>0</v>
      </c>
      <c r="M28" s="16"/>
      <c r="N28" s="16"/>
      <c r="O28" s="43"/>
      <c r="P28" s="44"/>
      <c r="Q28" s="44">
        <f t="shared" si="0"/>
        <v>366.96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/>
      <c r="E29" s="7"/>
      <c r="F29" s="16"/>
      <c r="G29" s="37">
        <v>149.18</v>
      </c>
      <c r="H29" s="16">
        <v>0</v>
      </c>
      <c r="I29" s="16">
        <v>217.78</v>
      </c>
      <c r="J29" s="16">
        <v>0</v>
      </c>
      <c r="K29" s="16">
        <v>0</v>
      </c>
      <c r="L29" s="16">
        <v>0</v>
      </c>
      <c r="M29" s="16"/>
      <c r="N29" s="16"/>
      <c r="O29" s="43"/>
      <c r="P29" s="44"/>
      <c r="Q29" s="44">
        <f t="shared" si="0"/>
        <v>366.96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/>
      <c r="E30" s="7"/>
      <c r="F30" s="16"/>
      <c r="G30" s="37">
        <v>149.18</v>
      </c>
      <c r="H30" s="16">
        <v>0</v>
      </c>
      <c r="I30" s="16">
        <v>217.78</v>
      </c>
      <c r="J30" s="16">
        <v>0</v>
      </c>
      <c r="K30" s="16">
        <v>0</v>
      </c>
      <c r="L30" s="16">
        <v>0</v>
      </c>
      <c r="M30" s="16"/>
      <c r="N30" s="16"/>
      <c r="O30" s="43"/>
      <c r="P30" s="44"/>
      <c r="Q30" s="44">
        <f t="shared" si="0"/>
        <v>366.96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/>
      <c r="E31" s="7"/>
      <c r="F31" s="16"/>
      <c r="G31" s="16"/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500.48</v>
      </c>
      <c r="N31" s="16"/>
      <c r="O31" s="43"/>
      <c r="P31" s="44"/>
      <c r="Q31" s="44">
        <f t="shared" si="0"/>
        <v>500.48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/>
      <c r="E32" s="7"/>
      <c r="F32" s="16"/>
      <c r="G32" s="37">
        <v>149.18</v>
      </c>
      <c r="H32" s="16">
        <v>0</v>
      </c>
      <c r="I32" s="16">
        <v>217.78</v>
      </c>
      <c r="J32" s="16">
        <v>0</v>
      </c>
      <c r="K32" s="16">
        <v>0</v>
      </c>
      <c r="L32" s="16">
        <v>0</v>
      </c>
      <c r="M32" s="16">
        <v>0</v>
      </c>
      <c r="N32" s="16"/>
      <c r="O32" s="43"/>
      <c r="P32" s="44"/>
      <c r="Q32" s="44">
        <f t="shared" si="0"/>
        <v>366.96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/>
      <c r="E33" s="7"/>
      <c r="F33" s="16"/>
      <c r="G33" s="16"/>
      <c r="H33" s="16">
        <v>0</v>
      </c>
      <c r="I33" s="16">
        <v>366.96</v>
      </c>
      <c r="J33" s="16">
        <v>0</v>
      </c>
      <c r="K33" s="16">
        <v>0</v>
      </c>
      <c r="L33" s="16">
        <v>0</v>
      </c>
      <c r="M33" s="16">
        <v>0</v>
      </c>
      <c r="N33" s="16"/>
      <c r="O33" s="43"/>
      <c r="P33" s="44"/>
      <c r="Q33" s="44">
        <f t="shared" si="0"/>
        <v>366.96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/>
      <c r="E34" s="7"/>
      <c r="F34" s="16"/>
      <c r="G34" s="16"/>
      <c r="H34" s="16">
        <v>366.96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/>
      <c r="O34" s="43"/>
      <c r="P34" s="44"/>
      <c r="Q34" s="44">
        <f t="shared" si="0"/>
        <v>366.96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/>
      <c r="E35" s="7"/>
      <c r="F35" s="16"/>
      <c r="G35" s="37">
        <v>149.18</v>
      </c>
      <c r="H35" s="16">
        <v>217.78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/>
      <c r="O35" s="43"/>
      <c r="P35" s="44"/>
      <c r="Q35" s="44">
        <f t="shared" si="0"/>
        <v>366.96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/>
      <c r="E36" s="7"/>
      <c r="F36" s="16"/>
      <c r="G36" s="16"/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/>
      <c r="O36" s="43"/>
      <c r="P36" s="44"/>
      <c r="Q36" s="44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/>
      <c r="E37" s="7">
        <v>133.52</v>
      </c>
      <c r="F37" s="16"/>
      <c r="G37" s="16"/>
      <c r="H37" s="16">
        <v>0</v>
      </c>
      <c r="I37" s="16">
        <v>366.96</v>
      </c>
      <c r="J37" s="16">
        <v>0</v>
      </c>
      <c r="K37" s="16">
        <v>0</v>
      </c>
      <c r="L37" s="16">
        <v>0</v>
      </c>
      <c r="M37" s="16">
        <v>0</v>
      </c>
      <c r="N37" s="16"/>
      <c r="O37" s="43"/>
      <c r="P37" s="44"/>
      <c r="Q37" s="44">
        <f t="shared" si="0"/>
        <v>500.48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/>
      <c r="E38" s="7"/>
      <c r="F38" s="16"/>
      <c r="G38" s="37">
        <v>149.18</v>
      </c>
      <c r="H38" s="16">
        <v>0</v>
      </c>
      <c r="I38" s="16">
        <v>217.78</v>
      </c>
      <c r="J38" s="16">
        <v>0</v>
      </c>
      <c r="K38" s="16">
        <v>0</v>
      </c>
      <c r="L38" s="16">
        <v>0</v>
      </c>
      <c r="M38" s="16">
        <v>0</v>
      </c>
      <c r="N38" s="16"/>
      <c r="O38" s="43"/>
      <c r="P38" s="44"/>
      <c r="Q38" s="44">
        <f t="shared" si="0"/>
        <v>366.96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/>
      <c r="E39" s="7"/>
      <c r="F39" s="16"/>
      <c r="G39" s="16"/>
      <c r="H39" s="16">
        <v>366.96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/>
      <c r="O39" s="43"/>
      <c r="P39" s="44"/>
      <c r="Q39" s="44">
        <f t="shared" si="0"/>
        <v>366.96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/>
      <c r="E40" s="7"/>
      <c r="F40" s="16"/>
      <c r="G40" s="16"/>
      <c r="H40" s="16">
        <v>366.96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/>
      <c r="O40" s="43"/>
      <c r="P40" s="44"/>
      <c r="Q40" s="44">
        <f t="shared" si="0"/>
        <v>366.96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/>
      <c r="E41" s="7"/>
      <c r="F41" s="16"/>
      <c r="G41" s="37">
        <v>149.18</v>
      </c>
      <c r="H41" s="16">
        <v>0</v>
      </c>
      <c r="I41" s="16">
        <v>0</v>
      </c>
      <c r="J41" s="16">
        <v>0</v>
      </c>
      <c r="K41" s="16">
        <v>366.96</v>
      </c>
      <c r="L41" s="16">
        <v>0</v>
      </c>
      <c r="M41" s="16">
        <v>0</v>
      </c>
      <c r="N41" s="16"/>
      <c r="O41" s="43"/>
      <c r="P41" s="44"/>
      <c r="Q41" s="44">
        <f t="shared" si="0"/>
        <v>516.14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/>
      <c r="E42" s="7"/>
      <c r="F42" s="16"/>
      <c r="G42" s="37">
        <v>149.18</v>
      </c>
      <c r="H42" s="16">
        <v>0</v>
      </c>
      <c r="I42" s="16">
        <v>217.78</v>
      </c>
      <c r="J42" s="16">
        <v>0</v>
      </c>
      <c r="K42" s="16">
        <v>0</v>
      </c>
      <c r="L42" s="16">
        <v>0</v>
      </c>
      <c r="M42" s="16">
        <v>0</v>
      </c>
      <c r="N42" s="16"/>
      <c r="O42" s="43"/>
      <c r="P42" s="44"/>
      <c r="Q42" s="44">
        <f t="shared" si="0"/>
        <v>366.96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/>
      <c r="E43" s="7"/>
      <c r="F43" s="16"/>
      <c r="G43" s="37">
        <v>149.18</v>
      </c>
      <c r="H43" s="16">
        <v>0</v>
      </c>
      <c r="I43" s="16">
        <v>217.78</v>
      </c>
      <c r="J43" s="16">
        <v>0</v>
      </c>
      <c r="K43" s="16">
        <v>0</v>
      </c>
      <c r="L43" s="16">
        <v>0</v>
      </c>
      <c r="M43" s="16">
        <v>0</v>
      </c>
      <c r="N43" s="16"/>
      <c r="O43" s="43"/>
      <c r="P43" s="44"/>
      <c r="Q43" s="44">
        <f t="shared" si="0"/>
        <v>366.96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/>
      <c r="E44" s="7"/>
      <c r="F44" s="16"/>
      <c r="G44" s="37">
        <v>149.18</v>
      </c>
      <c r="H44" s="16">
        <v>0</v>
      </c>
      <c r="I44" s="16">
        <v>217.78</v>
      </c>
      <c r="J44" s="16">
        <v>0</v>
      </c>
      <c r="K44" s="16">
        <v>0</v>
      </c>
      <c r="L44" s="16">
        <v>0</v>
      </c>
      <c r="M44" s="16">
        <v>0</v>
      </c>
      <c r="N44" s="16"/>
      <c r="O44" s="43"/>
      <c r="P44" s="44"/>
      <c r="Q44" s="44">
        <f t="shared" si="0"/>
        <v>366.96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/>
      <c r="E45" s="7"/>
      <c r="F45" s="16"/>
      <c r="G45" s="37">
        <v>149.18</v>
      </c>
      <c r="H45" s="16">
        <v>217.78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/>
      <c r="O45" s="43"/>
      <c r="P45" s="44"/>
      <c r="Q45" s="44">
        <f t="shared" si="0"/>
        <v>366.96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/>
      <c r="E46" s="7"/>
      <c r="F46" s="16"/>
      <c r="G46" s="37"/>
      <c r="H46" s="16">
        <v>500.48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/>
      <c r="O46" s="43"/>
      <c r="P46" s="44"/>
      <c r="Q46" s="44">
        <f t="shared" si="0"/>
        <v>500.48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/>
      <c r="E47" s="7"/>
      <c r="F47" s="16"/>
      <c r="G47" s="37"/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366.96</v>
      </c>
      <c r="N47" s="16"/>
      <c r="O47" s="43"/>
      <c r="P47" s="44"/>
      <c r="Q47" s="44">
        <f t="shared" si="0"/>
        <v>366.96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/>
      <c r="E48" s="7"/>
      <c r="F48" s="16"/>
      <c r="G48" s="37">
        <v>149.18</v>
      </c>
      <c r="H48" s="16">
        <v>217.78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/>
      <c r="O48" s="43"/>
      <c r="P48" s="44"/>
      <c r="Q48" s="44">
        <f t="shared" si="0"/>
        <v>366.96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/>
      <c r="E49" s="7"/>
      <c r="F49" s="16"/>
      <c r="G49" s="37">
        <v>149.18</v>
      </c>
      <c r="H49" s="16">
        <v>217.78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/>
      <c r="O49" s="43"/>
      <c r="P49" s="44"/>
      <c r="Q49" s="44">
        <f t="shared" si="0"/>
        <v>366.96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/>
      <c r="E50" s="7"/>
      <c r="F50" s="16"/>
      <c r="G50" s="37"/>
      <c r="H50" s="16">
        <v>0</v>
      </c>
      <c r="I50" s="16">
        <v>0</v>
      </c>
      <c r="J50" s="16">
        <v>366.96</v>
      </c>
      <c r="K50" s="16">
        <v>0</v>
      </c>
      <c r="L50" s="16">
        <v>0</v>
      </c>
      <c r="M50" s="16">
        <v>0</v>
      </c>
      <c r="N50" s="16"/>
      <c r="O50" s="43"/>
      <c r="P50" s="44"/>
      <c r="Q50" s="44">
        <f t="shared" si="0"/>
        <v>366.96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/>
      <c r="E51" s="7"/>
      <c r="F51" s="16"/>
      <c r="G51" s="37">
        <v>149.18</v>
      </c>
      <c r="H51" s="16">
        <v>0</v>
      </c>
      <c r="I51" s="16">
        <v>200</v>
      </c>
      <c r="J51" s="16">
        <v>0</v>
      </c>
      <c r="K51" s="16">
        <v>0</v>
      </c>
      <c r="L51" s="16">
        <v>0</v>
      </c>
      <c r="M51" s="16">
        <v>0</v>
      </c>
      <c r="N51" s="16"/>
      <c r="O51" s="43"/>
      <c r="P51" s="44"/>
      <c r="Q51" s="44">
        <f t="shared" si="0"/>
        <v>349.18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/>
      <c r="E52" s="7"/>
      <c r="F52" s="16"/>
      <c r="G52" s="16"/>
      <c r="H52" s="16">
        <v>0</v>
      </c>
      <c r="I52" s="16">
        <v>0</v>
      </c>
      <c r="J52" s="16">
        <v>0</v>
      </c>
      <c r="K52" s="16">
        <v>500.48</v>
      </c>
      <c r="L52" s="16">
        <v>0</v>
      </c>
      <c r="M52" s="16">
        <v>0</v>
      </c>
      <c r="N52" s="16"/>
      <c r="O52" s="43"/>
      <c r="P52" s="44"/>
      <c r="Q52" s="44">
        <f t="shared" si="0"/>
        <v>500.48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/>
      <c r="E53" s="7"/>
      <c r="F53" s="16"/>
      <c r="G53" s="37">
        <v>149.18</v>
      </c>
      <c r="H53" s="16">
        <v>0</v>
      </c>
      <c r="I53" s="16">
        <v>217.78</v>
      </c>
      <c r="J53" s="16">
        <v>0</v>
      </c>
      <c r="K53" s="16">
        <v>0</v>
      </c>
      <c r="L53" s="16">
        <v>0</v>
      </c>
      <c r="M53" s="16">
        <v>0</v>
      </c>
      <c r="N53" s="16"/>
      <c r="O53" s="43"/>
      <c r="P53" s="44"/>
      <c r="Q53" s="44">
        <f t="shared" si="0"/>
        <v>366.96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/>
      <c r="E54" s="7"/>
      <c r="F54" s="16"/>
      <c r="G54" s="16"/>
      <c r="H54" s="16">
        <v>149.18</v>
      </c>
      <c r="I54" s="16">
        <v>217.78</v>
      </c>
      <c r="J54" s="16">
        <v>0</v>
      </c>
      <c r="K54" s="16">
        <v>0</v>
      </c>
      <c r="L54" s="16">
        <v>0</v>
      </c>
      <c r="M54" s="16">
        <v>0</v>
      </c>
      <c r="N54" s="16"/>
      <c r="O54" s="43"/>
      <c r="P54" s="44"/>
      <c r="Q54" s="44">
        <f t="shared" si="0"/>
        <v>366.96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/>
      <c r="E55" s="7"/>
      <c r="F55" s="16"/>
      <c r="G55" s="37">
        <v>149.18</v>
      </c>
      <c r="H55" s="16">
        <v>0</v>
      </c>
      <c r="I55" s="16">
        <v>217.78</v>
      </c>
      <c r="J55" s="16">
        <v>0</v>
      </c>
      <c r="K55" s="16">
        <v>0</v>
      </c>
      <c r="L55" s="16">
        <v>0</v>
      </c>
      <c r="M55" s="16">
        <v>0</v>
      </c>
      <c r="N55" s="16"/>
      <c r="O55" s="43"/>
      <c r="P55" s="44"/>
      <c r="Q55" s="44">
        <f t="shared" si="0"/>
        <v>366.96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/>
      <c r="E56" s="7"/>
      <c r="F56" s="16"/>
      <c r="G56" s="37">
        <v>149.18</v>
      </c>
      <c r="H56" s="16">
        <v>0</v>
      </c>
      <c r="I56" s="16">
        <v>217.78</v>
      </c>
      <c r="J56" s="16">
        <v>0</v>
      </c>
      <c r="K56" s="16">
        <v>0</v>
      </c>
      <c r="L56" s="16">
        <v>0</v>
      </c>
      <c r="M56" s="16">
        <v>0</v>
      </c>
      <c r="N56" s="16"/>
      <c r="O56" s="43"/>
      <c r="P56" s="44"/>
      <c r="Q56" s="44">
        <f t="shared" si="0"/>
        <v>366.96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/>
      <c r="E57" s="7"/>
      <c r="F57" s="16"/>
      <c r="G57" s="37">
        <v>149.18</v>
      </c>
      <c r="H57" s="16">
        <v>217.78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/>
      <c r="O57" s="43"/>
      <c r="P57" s="44"/>
      <c r="Q57" s="44">
        <f t="shared" si="0"/>
        <v>366.96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/>
      <c r="E58" s="7"/>
      <c r="F58" s="16"/>
      <c r="G58" s="37">
        <v>149.18</v>
      </c>
      <c r="H58" s="16">
        <v>0</v>
      </c>
      <c r="I58" s="16">
        <v>217.78</v>
      </c>
      <c r="J58" s="16">
        <v>0</v>
      </c>
      <c r="K58" s="16">
        <v>0</v>
      </c>
      <c r="L58" s="16">
        <v>0</v>
      </c>
      <c r="M58" s="16">
        <v>0</v>
      </c>
      <c r="N58" s="16"/>
      <c r="O58" s="43"/>
      <c r="P58" s="44"/>
      <c r="Q58" s="44">
        <f t="shared" si="0"/>
        <v>366.96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/>
      <c r="E59" s="7"/>
      <c r="F59" s="16"/>
      <c r="G59" s="37">
        <v>149.18</v>
      </c>
      <c r="H59" s="16">
        <v>0</v>
      </c>
      <c r="I59" s="16">
        <v>217.78</v>
      </c>
      <c r="J59" s="16">
        <v>0</v>
      </c>
      <c r="K59" s="16">
        <v>0</v>
      </c>
      <c r="L59" s="16">
        <v>0</v>
      </c>
      <c r="M59" s="16">
        <v>0</v>
      </c>
      <c r="N59" s="16"/>
      <c r="O59" s="43"/>
      <c r="P59" s="44"/>
      <c r="Q59" s="44">
        <f t="shared" si="0"/>
        <v>366.96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/>
      <c r="E60" s="7"/>
      <c r="F60" s="16"/>
      <c r="G60" s="16"/>
      <c r="H60" s="16">
        <v>149.18</v>
      </c>
      <c r="I60" s="16">
        <v>217.78</v>
      </c>
      <c r="J60" s="16">
        <v>0</v>
      </c>
      <c r="K60" s="16">
        <v>0</v>
      </c>
      <c r="L60" s="16">
        <v>0</v>
      </c>
      <c r="M60" s="16">
        <v>0</v>
      </c>
      <c r="N60" s="16"/>
      <c r="O60" s="43"/>
      <c r="P60" s="44"/>
      <c r="Q60" s="44">
        <f t="shared" si="0"/>
        <v>366.96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/>
      <c r="E61" s="7"/>
      <c r="F61" s="16"/>
      <c r="G61" s="37">
        <v>149.18</v>
      </c>
      <c r="H61" s="16"/>
      <c r="I61" s="16">
        <v>217.78</v>
      </c>
      <c r="J61" s="16">
        <v>0</v>
      </c>
      <c r="K61" s="16">
        <v>0</v>
      </c>
      <c r="L61" s="16">
        <v>0</v>
      </c>
      <c r="M61" s="16">
        <v>0</v>
      </c>
      <c r="N61" s="16"/>
      <c r="O61" s="43"/>
      <c r="P61" s="44"/>
      <c r="Q61" s="44">
        <f t="shared" si="0"/>
        <v>366.96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/>
      <c r="E62" s="7"/>
      <c r="F62" s="16"/>
      <c r="G62" s="37">
        <v>149.18</v>
      </c>
      <c r="H62" s="16"/>
      <c r="I62" s="16">
        <v>217.78</v>
      </c>
      <c r="J62" s="16">
        <v>0</v>
      </c>
      <c r="K62" s="16">
        <v>0</v>
      </c>
      <c r="L62" s="16">
        <v>0</v>
      </c>
      <c r="M62" s="16">
        <v>0</v>
      </c>
      <c r="N62" s="16"/>
      <c r="O62" s="43"/>
      <c r="P62" s="44"/>
      <c r="Q62" s="44">
        <f t="shared" si="0"/>
        <v>366.96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/>
      <c r="E63" s="7"/>
      <c r="F63" s="16"/>
      <c r="G63" s="37">
        <v>149.18</v>
      </c>
      <c r="H63" s="16"/>
      <c r="I63" s="16">
        <v>217.78</v>
      </c>
      <c r="J63" s="16">
        <v>0</v>
      </c>
      <c r="K63" s="16">
        <v>0</v>
      </c>
      <c r="L63" s="16">
        <v>0</v>
      </c>
      <c r="M63" s="16">
        <v>0</v>
      </c>
      <c r="N63" s="16"/>
      <c r="O63" s="43"/>
      <c r="P63" s="44"/>
      <c r="Q63" s="44">
        <f t="shared" si="0"/>
        <v>366.96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/>
      <c r="E64" s="7"/>
      <c r="F64" s="16"/>
      <c r="G64" s="37">
        <v>149.18</v>
      </c>
      <c r="H64" s="16"/>
      <c r="I64" s="16">
        <v>274.09</v>
      </c>
      <c r="J64" s="16">
        <v>0</v>
      </c>
      <c r="K64" s="16">
        <v>0</v>
      </c>
      <c r="L64" s="16">
        <v>0</v>
      </c>
      <c r="M64" s="16">
        <v>56.31</v>
      </c>
      <c r="N64" s="16"/>
      <c r="O64" s="43"/>
      <c r="P64" s="44"/>
      <c r="Q64" s="44">
        <f t="shared" si="0"/>
        <v>479.58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/>
      <c r="E65" s="7"/>
      <c r="F65" s="16"/>
      <c r="G65" s="37">
        <v>149.18</v>
      </c>
      <c r="H65" s="16"/>
      <c r="I65" s="16">
        <v>217.78</v>
      </c>
      <c r="J65" s="16">
        <v>0</v>
      </c>
      <c r="K65" s="16">
        <v>0</v>
      </c>
      <c r="L65" s="16"/>
      <c r="M65" s="16">
        <v>0</v>
      </c>
      <c r="N65" s="16"/>
      <c r="O65" s="43"/>
      <c r="P65" s="44"/>
      <c r="Q65" s="44">
        <f t="shared" si="0"/>
        <v>366.96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/>
      <c r="E66" s="7"/>
      <c r="F66" s="16"/>
      <c r="G66" s="37">
        <v>149.18</v>
      </c>
      <c r="H66" s="16"/>
      <c r="I66" s="16">
        <v>217.78</v>
      </c>
      <c r="J66" s="16">
        <v>0</v>
      </c>
      <c r="K66" s="16"/>
      <c r="L66" s="16"/>
      <c r="M66" s="16"/>
      <c r="N66" s="16"/>
      <c r="O66" s="43"/>
      <c r="P66" s="44"/>
      <c r="Q66" s="44">
        <f t="shared" si="0"/>
        <v>366.96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/>
      <c r="E67" s="7"/>
      <c r="F67" s="16"/>
      <c r="G67" s="37">
        <v>149.18</v>
      </c>
      <c r="H67" s="16"/>
      <c r="I67" s="16">
        <v>217.78</v>
      </c>
      <c r="J67" s="16">
        <v>0</v>
      </c>
      <c r="K67" s="16"/>
      <c r="L67" s="16"/>
      <c r="M67" s="16"/>
      <c r="N67" s="16"/>
      <c r="O67" s="43"/>
      <c r="P67" s="44"/>
      <c r="Q67" s="44">
        <f t="shared" si="0"/>
        <v>366.96</v>
      </c>
    </row>
    <row r="68" customHeight="1" spans="1:17">
      <c r="A68" s="7">
        <v>65</v>
      </c>
      <c r="B68" s="7" t="s">
        <v>148</v>
      </c>
      <c r="C68" s="10" t="s">
        <v>149</v>
      </c>
      <c r="D68" s="7"/>
      <c r="E68" s="7"/>
      <c r="F68" s="16"/>
      <c r="G68" s="37">
        <v>149.18</v>
      </c>
      <c r="H68" s="16">
        <v>0</v>
      </c>
      <c r="I68" s="16">
        <v>217.78</v>
      </c>
      <c r="J68" s="16">
        <v>0</v>
      </c>
      <c r="K68" s="16"/>
      <c r="L68" s="16"/>
      <c r="M68" s="16"/>
      <c r="N68" s="16"/>
      <c r="O68" s="43"/>
      <c r="P68" s="44"/>
      <c r="Q68" s="44">
        <f t="shared" ref="Q68:Q131" si="1">D68+E68+F68+G68+H68+I68+J68+K68+L68+M68+N68+O68+P68</f>
        <v>366.96</v>
      </c>
    </row>
    <row r="69" customHeight="1" spans="1:17">
      <c r="A69" s="7">
        <v>66</v>
      </c>
      <c r="B69" s="7" t="s">
        <v>150</v>
      </c>
      <c r="C69" s="10" t="s">
        <v>151</v>
      </c>
      <c r="D69" s="7"/>
      <c r="E69" s="7"/>
      <c r="F69" s="16"/>
      <c r="G69" s="16"/>
      <c r="H69" s="16">
        <v>0</v>
      </c>
      <c r="I69" s="16">
        <v>366.96</v>
      </c>
      <c r="J69" s="16">
        <v>0</v>
      </c>
      <c r="K69" s="16"/>
      <c r="L69" s="16"/>
      <c r="M69" s="16"/>
      <c r="N69" s="16"/>
      <c r="O69" s="43"/>
      <c r="P69" s="44"/>
      <c r="Q69" s="44">
        <f t="shared" si="1"/>
        <v>366.96</v>
      </c>
    </row>
    <row r="70" customHeight="1" spans="1:17">
      <c r="A70" s="7">
        <v>67</v>
      </c>
      <c r="B70" s="7" t="s">
        <v>152</v>
      </c>
      <c r="C70" s="10" t="s">
        <v>153</v>
      </c>
      <c r="D70" s="7"/>
      <c r="E70" s="7"/>
      <c r="F70" s="16"/>
      <c r="G70" s="37">
        <v>149.18</v>
      </c>
      <c r="H70" s="16">
        <v>0</v>
      </c>
      <c r="I70" s="16">
        <v>217.78</v>
      </c>
      <c r="J70" s="16">
        <v>0</v>
      </c>
      <c r="K70" s="16"/>
      <c r="L70" s="16"/>
      <c r="M70" s="16"/>
      <c r="N70" s="16"/>
      <c r="O70" s="43"/>
      <c r="P70" s="44"/>
      <c r="Q70" s="44">
        <f t="shared" si="1"/>
        <v>366.96</v>
      </c>
    </row>
    <row r="71" customHeight="1" spans="1:17">
      <c r="A71" s="7">
        <v>68</v>
      </c>
      <c r="B71" s="7" t="s">
        <v>154</v>
      </c>
      <c r="C71" s="10" t="s">
        <v>155</v>
      </c>
      <c r="D71" s="7"/>
      <c r="E71" s="7"/>
      <c r="F71" s="16"/>
      <c r="G71" s="16"/>
      <c r="H71" s="16">
        <v>0</v>
      </c>
      <c r="I71" s="16">
        <v>366.96</v>
      </c>
      <c r="J71" s="16">
        <v>0</v>
      </c>
      <c r="K71" s="16"/>
      <c r="L71" s="16"/>
      <c r="M71" s="16"/>
      <c r="N71" s="16"/>
      <c r="O71" s="43"/>
      <c r="P71" s="44"/>
      <c r="Q71" s="44">
        <f t="shared" si="1"/>
        <v>366.96</v>
      </c>
    </row>
    <row r="72" customHeight="1" spans="1:17">
      <c r="A72" s="7">
        <v>69</v>
      </c>
      <c r="B72" s="7" t="s">
        <v>156</v>
      </c>
      <c r="C72" s="10" t="s">
        <v>157</v>
      </c>
      <c r="D72" s="7"/>
      <c r="E72" s="7"/>
      <c r="F72" s="16"/>
      <c r="G72" s="37">
        <v>149.18</v>
      </c>
      <c r="H72" s="16">
        <v>0</v>
      </c>
      <c r="I72" s="16">
        <v>217.78</v>
      </c>
      <c r="J72" s="16">
        <v>0</v>
      </c>
      <c r="K72" s="16"/>
      <c r="L72" s="16"/>
      <c r="M72" s="16"/>
      <c r="N72" s="16"/>
      <c r="O72" s="43"/>
      <c r="P72" s="44"/>
      <c r="Q72" s="44">
        <f t="shared" si="1"/>
        <v>366.96</v>
      </c>
    </row>
    <row r="73" customHeight="1" spans="1:17">
      <c r="A73" s="7">
        <v>70</v>
      </c>
      <c r="B73" s="7" t="s">
        <v>158</v>
      </c>
      <c r="C73" s="10" t="s">
        <v>159</v>
      </c>
      <c r="D73" s="7"/>
      <c r="E73" s="7"/>
      <c r="F73" s="16"/>
      <c r="G73" s="37">
        <v>149.18</v>
      </c>
      <c r="H73" s="16">
        <v>0</v>
      </c>
      <c r="I73" s="16">
        <v>0</v>
      </c>
      <c r="J73" s="16">
        <v>0</v>
      </c>
      <c r="K73" s="16">
        <v>366.96</v>
      </c>
      <c r="L73" s="16"/>
      <c r="M73" s="16"/>
      <c r="N73" s="16"/>
      <c r="O73" s="43"/>
      <c r="P73" s="44"/>
      <c r="Q73" s="44">
        <f t="shared" si="1"/>
        <v>516.14</v>
      </c>
    </row>
    <row r="74" customHeight="1" spans="1:17">
      <c r="A74" s="7">
        <v>71</v>
      </c>
      <c r="B74" s="7" t="s">
        <v>160</v>
      </c>
      <c r="C74" s="10" t="s">
        <v>161</v>
      </c>
      <c r="D74" s="7"/>
      <c r="E74" s="37">
        <v>115.32</v>
      </c>
      <c r="F74" s="16"/>
      <c r="G74" s="37">
        <v>149.18</v>
      </c>
      <c r="H74" s="16">
        <v>0</v>
      </c>
      <c r="I74" s="16">
        <v>0</v>
      </c>
      <c r="J74" s="16">
        <v>482.28</v>
      </c>
      <c r="K74" s="16">
        <v>0</v>
      </c>
      <c r="L74" s="16"/>
      <c r="M74" s="16">
        <v>366.96</v>
      </c>
      <c r="N74" s="16"/>
      <c r="O74" s="43"/>
      <c r="P74" s="44"/>
      <c r="Q74" s="44">
        <f t="shared" si="1"/>
        <v>1113.74</v>
      </c>
    </row>
    <row r="75" customHeight="1" spans="1:17">
      <c r="A75" s="7">
        <v>72</v>
      </c>
      <c r="B75" s="7" t="s">
        <v>162</v>
      </c>
      <c r="C75" s="10" t="s">
        <v>163</v>
      </c>
      <c r="D75" s="7"/>
      <c r="E75" s="7"/>
      <c r="F75" s="16"/>
      <c r="G75" s="37"/>
      <c r="H75" s="16">
        <v>0</v>
      </c>
      <c r="I75" s="16">
        <v>0</v>
      </c>
      <c r="J75" s="16">
        <v>0</v>
      </c>
      <c r="K75" s="16">
        <v>0</v>
      </c>
      <c r="L75" s="16"/>
      <c r="M75" s="16">
        <v>0</v>
      </c>
      <c r="N75" s="16"/>
      <c r="O75" s="43"/>
      <c r="P75" s="44"/>
      <c r="Q75" s="44">
        <f t="shared" si="1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/>
      <c r="E76" s="7"/>
      <c r="F76" s="16"/>
      <c r="G76" s="37">
        <v>149.18</v>
      </c>
      <c r="H76" s="16">
        <v>0</v>
      </c>
      <c r="I76" s="16">
        <v>217.78</v>
      </c>
      <c r="J76" s="16">
        <v>0</v>
      </c>
      <c r="K76" s="16">
        <v>0</v>
      </c>
      <c r="L76" s="16"/>
      <c r="M76" s="16">
        <v>0</v>
      </c>
      <c r="N76" s="16"/>
      <c r="O76" s="43"/>
      <c r="P76" s="44"/>
      <c r="Q76" s="44">
        <f t="shared" si="1"/>
        <v>366.96</v>
      </c>
    </row>
    <row r="77" customHeight="1" spans="1:17">
      <c r="A77" s="7">
        <v>74</v>
      </c>
      <c r="B77" s="7" t="s">
        <v>166</v>
      </c>
      <c r="C77" s="10" t="s">
        <v>167</v>
      </c>
      <c r="D77" s="7"/>
      <c r="E77" s="7"/>
      <c r="F77" s="16"/>
      <c r="G77" s="37">
        <f>115.32+149.18</f>
        <v>264.5</v>
      </c>
      <c r="H77" s="16">
        <v>0</v>
      </c>
      <c r="I77" s="16">
        <v>0</v>
      </c>
      <c r="J77" s="16">
        <v>0</v>
      </c>
      <c r="K77" s="16">
        <v>0</v>
      </c>
      <c r="L77" s="16"/>
      <c r="M77" s="16">
        <v>0</v>
      </c>
      <c r="N77" s="16"/>
      <c r="O77" s="43">
        <v>366.96</v>
      </c>
      <c r="P77" s="44"/>
      <c r="Q77" s="44">
        <f t="shared" si="1"/>
        <v>631.46</v>
      </c>
    </row>
    <row r="78" customHeight="1" spans="1:17">
      <c r="A78" s="7">
        <v>75</v>
      </c>
      <c r="B78" s="7" t="s">
        <v>168</v>
      </c>
      <c r="C78" s="15" t="s">
        <v>169</v>
      </c>
      <c r="D78" s="7"/>
      <c r="E78" s="7"/>
      <c r="F78" s="16"/>
      <c r="G78" s="37">
        <v>149.18</v>
      </c>
      <c r="H78" s="16">
        <v>0</v>
      </c>
      <c r="I78" s="16">
        <v>0</v>
      </c>
      <c r="J78" s="16">
        <v>0</v>
      </c>
      <c r="K78" s="16">
        <v>366.96</v>
      </c>
      <c r="L78" s="16">
        <v>366.96</v>
      </c>
      <c r="M78" s="16">
        <v>0</v>
      </c>
      <c r="N78" s="16"/>
      <c r="O78" s="43"/>
      <c r="P78" s="44"/>
      <c r="Q78" s="44">
        <f t="shared" si="1"/>
        <v>883.1</v>
      </c>
    </row>
    <row r="79" customHeight="1" spans="1:17">
      <c r="A79" s="7">
        <v>76</v>
      </c>
      <c r="B79" s="7" t="s">
        <v>170</v>
      </c>
      <c r="C79" s="10" t="s">
        <v>171</v>
      </c>
      <c r="D79" s="7"/>
      <c r="E79" s="7"/>
      <c r="F79" s="16"/>
      <c r="G79" s="16"/>
      <c r="H79" s="16">
        <v>0</v>
      </c>
      <c r="I79" s="16">
        <v>366.96</v>
      </c>
      <c r="J79" s="16">
        <v>0</v>
      </c>
      <c r="K79" s="16"/>
      <c r="L79" s="16">
        <v>0</v>
      </c>
      <c r="M79" s="16">
        <v>0</v>
      </c>
      <c r="N79" s="16"/>
      <c r="O79" s="43"/>
      <c r="P79" s="44"/>
      <c r="Q79" s="44">
        <f t="shared" si="1"/>
        <v>366.96</v>
      </c>
    </row>
    <row r="80" customHeight="1" spans="1:17">
      <c r="A80" s="7">
        <v>77</v>
      </c>
      <c r="B80" s="7" t="s">
        <v>172</v>
      </c>
      <c r="C80" s="10" t="s">
        <v>173</v>
      </c>
      <c r="D80" s="7"/>
      <c r="E80" s="7"/>
      <c r="F80" s="16"/>
      <c r="G80" s="37">
        <v>149.18</v>
      </c>
      <c r="H80" s="16">
        <v>0</v>
      </c>
      <c r="I80" s="16">
        <v>217.78</v>
      </c>
      <c r="J80" s="16">
        <v>0</v>
      </c>
      <c r="K80" s="16"/>
      <c r="L80" s="16">
        <v>0</v>
      </c>
      <c r="M80" s="16">
        <v>0</v>
      </c>
      <c r="N80" s="16"/>
      <c r="O80" s="43"/>
      <c r="P80" s="44"/>
      <c r="Q80" s="44">
        <f t="shared" si="1"/>
        <v>366.96</v>
      </c>
    </row>
    <row r="81" customHeight="1" spans="1:17">
      <c r="A81" s="7">
        <v>78</v>
      </c>
      <c r="B81" s="7" t="s">
        <v>174</v>
      </c>
      <c r="C81" s="10" t="s">
        <v>175</v>
      </c>
      <c r="D81" s="7"/>
      <c r="E81" s="7"/>
      <c r="F81" s="16"/>
      <c r="G81" s="16"/>
      <c r="H81" s="16">
        <v>0</v>
      </c>
      <c r="I81" s="16">
        <v>0</v>
      </c>
      <c r="J81" s="16">
        <v>0</v>
      </c>
      <c r="K81" s="16"/>
      <c r="L81" s="16">
        <v>0</v>
      </c>
      <c r="M81" s="16">
        <v>0</v>
      </c>
      <c r="N81" s="16"/>
      <c r="O81" s="43"/>
      <c r="P81" s="44"/>
      <c r="Q81" s="44">
        <f t="shared" si="1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/>
      <c r="E82" s="7"/>
      <c r="F82" s="16"/>
      <c r="G82" s="37">
        <v>149.18</v>
      </c>
      <c r="H82" s="16">
        <v>0</v>
      </c>
      <c r="I82" s="16">
        <v>0</v>
      </c>
      <c r="J82" s="16">
        <v>0</v>
      </c>
      <c r="K82" s="16"/>
      <c r="L82" s="16">
        <v>0</v>
      </c>
      <c r="M82" s="16">
        <v>0</v>
      </c>
      <c r="N82" s="16"/>
      <c r="O82" s="43"/>
      <c r="P82" s="44"/>
      <c r="Q82" s="44">
        <f t="shared" si="1"/>
        <v>149.18</v>
      </c>
    </row>
    <row r="83" customHeight="1" spans="1:17">
      <c r="A83" s="7">
        <v>80</v>
      </c>
      <c r="B83" s="7" t="s">
        <v>178</v>
      </c>
      <c r="C83" s="10" t="s">
        <v>179</v>
      </c>
      <c r="D83" s="7"/>
      <c r="E83" s="7"/>
      <c r="F83" s="16"/>
      <c r="G83" s="37">
        <v>149.18</v>
      </c>
      <c r="H83" s="16">
        <v>0</v>
      </c>
      <c r="I83" s="16">
        <v>0</v>
      </c>
      <c r="J83" s="16">
        <v>0</v>
      </c>
      <c r="K83" s="16"/>
      <c r="L83" s="16">
        <v>366.96</v>
      </c>
      <c r="M83" s="16">
        <v>0</v>
      </c>
      <c r="N83" s="16"/>
      <c r="O83" s="43"/>
      <c r="P83" s="44"/>
      <c r="Q83" s="44">
        <f t="shared" si="1"/>
        <v>516.14</v>
      </c>
    </row>
    <row r="84" customHeight="1" spans="1:17">
      <c r="A84" s="7">
        <v>81</v>
      </c>
      <c r="B84" s="7" t="s">
        <v>180</v>
      </c>
      <c r="C84" s="10" t="s">
        <v>181</v>
      </c>
      <c r="D84" s="7"/>
      <c r="E84" s="7"/>
      <c r="F84" s="16"/>
      <c r="G84" s="37">
        <v>149.18</v>
      </c>
      <c r="H84" s="16">
        <v>0</v>
      </c>
      <c r="I84" s="16">
        <v>217.78</v>
      </c>
      <c r="J84" s="16">
        <v>0</v>
      </c>
      <c r="K84" s="16"/>
      <c r="L84" s="16">
        <v>0</v>
      </c>
      <c r="M84" s="16">
        <v>0</v>
      </c>
      <c r="N84" s="16"/>
      <c r="O84" s="43"/>
      <c r="P84" s="44"/>
      <c r="Q84" s="44">
        <f t="shared" si="1"/>
        <v>366.96</v>
      </c>
    </row>
    <row r="85" customHeight="1" spans="1:17">
      <c r="A85" s="7">
        <v>82</v>
      </c>
      <c r="B85" s="7" t="s">
        <v>182</v>
      </c>
      <c r="C85" s="10" t="s">
        <v>183</v>
      </c>
      <c r="D85" s="7"/>
      <c r="E85" s="7"/>
      <c r="F85" s="16"/>
      <c r="G85" s="16"/>
      <c r="H85" s="16">
        <v>0</v>
      </c>
      <c r="I85" s="16">
        <v>366.96</v>
      </c>
      <c r="J85" s="16">
        <v>0</v>
      </c>
      <c r="K85" s="16"/>
      <c r="L85" s="16">
        <v>0</v>
      </c>
      <c r="M85" s="16">
        <v>0</v>
      </c>
      <c r="N85" s="16"/>
      <c r="O85" s="43"/>
      <c r="P85" s="44"/>
      <c r="Q85" s="44">
        <f t="shared" si="1"/>
        <v>366.96</v>
      </c>
    </row>
    <row r="86" customHeight="1" spans="1:17">
      <c r="A86" s="7">
        <v>83</v>
      </c>
      <c r="B86" s="7" t="s">
        <v>184</v>
      </c>
      <c r="C86" s="10" t="s">
        <v>185</v>
      </c>
      <c r="D86" s="7"/>
      <c r="E86" s="7"/>
      <c r="F86" s="16"/>
      <c r="G86" s="16"/>
      <c r="H86" s="16">
        <v>0</v>
      </c>
      <c r="I86" s="16">
        <v>366.96</v>
      </c>
      <c r="J86" s="16">
        <v>0</v>
      </c>
      <c r="K86" s="16"/>
      <c r="L86" s="16">
        <v>0</v>
      </c>
      <c r="M86" s="16">
        <v>0</v>
      </c>
      <c r="N86" s="16"/>
      <c r="O86" s="43"/>
      <c r="P86" s="44"/>
      <c r="Q86" s="44">
        <f t="shared" si="1"/>
        <v>366.96</v>
      </c>
    </row>
    <row r="87" customHeight="1" spans="1:17">
      <c r="A87" s="7">
        <v>84</v>
      </c>
      <c r="B87" s="7" t="s">
        <v>186</v>
      </c>
      <c r="C87" s="10" t="s">
        <v>187</v>
      </c>
      <c r="D87" s="7"/>
      <c r="E87" s="7"/>
      <c r="F87" s="16"/>
      <c r="G87" s="16"/>
      <c r="H87" s="16">
        <v>366.96</v>
      </c>
      <c r="I87" s="16">
        <v>0</v>
      </c>
      <c r="J87" s="16">
        <v>0</v>
      </c>
      <c r="K87" s="16"/>
      <c r="L87" s="16">
        <v>0</v>
      </c>
      <c r="M87" s="16">
        <v>0</v>
      </c>
      <c r="N87" s="16"/>
      <c r="O87" s="43"/>
      <c r="P87" s="44"/>
      <c r="Q87" s="44">
        <f t="shared" si="1"/>
        <v>366.96</v>
      </c>
    </row>
    <row r="88" customHeight="1" spans="1:17">
      <c r="A88" s="7">
        <v>85</v>
      </c>
      <c r="B88" s="7" t="s">
        <v>188</v>
      </c>
      <c r="C88" s="10" t="s">
        <v>189</v>
      </c>
      <c r="D88" s="7"/>
      <c r="E88" s="7"/>
      <c r="F88" s="16"/>
      <c r="G88" s="46">
        <v>149.18</v>
      </c>
      <c r="H88" s="16">
        <v>0</v>
      </c>
      <c r="I88" s="16">
        <v>217.78</v>
      </c>
      <c r="J88" s="16">
        <v>0</v>
      </c>
      <c r="K88" s="16"/>
      <c r="L88" s="16">
        <v>0</v>
      </c>
      <c r="M88" s="16">
        <v>0</v>
      </c>
      <c r="N88" s="16"/>
      <c r="O88" s="43"/>
      <c r="P88" s="44"/>
      <c r="Q88" s="44">
        <f t="shared" si="1"/>
        <v>366.96</v>
      </c>
    </row>
    <row r="89" customHeight="1" spans="1:17">
      <c r="A89" s="7">
        <v>86</v>
      </c>
      <c r="B89" s="7" t="s">
        <v>190</v>
      </c>
      <c r="C89" s="10" t="s">
        <v>191</v>
      </c>
      <c r="D89" s="7"/>
      <c r="E89" s="7"/>
      <c r="F89" s="16"/>
      <c r="G89" s="37">
        <v>149.18</v>
      </c>
      <c r="H89" s="16">
        <v>217.78</v>
      </c>
      <c r="I89" s="16">
        <v>0</v>
      </c>
      <c r="J89" s="16">
        <v>0</v>
      </c>
      <c r="K89" s="16"/>
      <c r="L89" s="16">
        <v>0</v>
      </c>
      <c r="M89" s="16">
        <v>0</v>
      </c>
      <c r="N89" s="16"/>
      <c r="O89" s="43"/>
      <c r="P89" s="44"/>
      <c r="Q89" s="44">
        <f t="shared" si="1"/>
        <v>366.96</v>
      </c>
    </row>
    <row r="90" customHeight="1" spans="1:17">
      <c r="A90" s="7">
        <v>87</v>
      </c>
      <c r="B90" s="7" t="s">
        <v>192</v>
      </c>
      <c r="C90" s="10" t="s">
        <v>193</v>
      </c>
      <c r="D90" s="7"/>
      <c r="E90" s="7"/>
      <c r="F90" s="16"/>
      <c r="G90" s="37">
        <v>149.18</v>
      </c>
      <c r="H90" s="16">
        <v>0</v>
      </c>
      <c r="I90" s="16">
        <v>217.78</v>
      </c>
      <c r="J90" s="16">
        <v>0</v>
      </c>
      <c r="K90" s="16"/>
      <c r="L90" s="16">
        <v>0</v>
      </c>
      <c r="M90" s="16">
        <v>0</v>
      </c>
      <c r="N90" s="16"/>
      <c r="O90" s="43"/>
      <c r="P90" s="44"/>
      <c r="Q90" s="44">
        <f t="shared" si="1"/>
        <v>366.96</v>
      </c>
    </row>
    <row r="91" customHeight="1" spans="1:17">
      <c r="A91" s="7">
        <v>88</v>
      </c>
      <c r="B91" s="7" t="s">
        <v>194</v>
      </c>
      <c r="C91" s="10" t="s">
        <v>195</v>
      </c>
      <c r="D91" s="7"/>
      <c r="E91" s="7"/>
      <c r="F91" s="16"/>
      <c r="G91" s="37">
        <v>149.18</v>
      </c>
      <c r="H91" s="16">
        <v>0</v>
      </c>
      <c r="I91" s="16">
        <v>0</v>
      </c>
      <c r="J91" s="16">
        <v>482.28</v>
      </c>
      <c r="K91" s="16"/>
      <c r="L91" s="16">
        <v>0</v>
      </c>
      <c r="M91" s="16">
        <v>366.96</v>
      </c>
      <c r="N91" s="16"/>
      <c r="O91" s="43"/>
      <c r="P91" s="44"/>
      <c r="Q91" s="44">
        <f t="shared" si="1"/>
        <v>998.42</v>
      </c>
    </row>
    <row r="92" customHeight="1" spans="1:17">
      <c r="A92" s="7">
        <v>89</v>
      </c>
      <c r="B92" s="7" t="s">
        <v>196</v>
      </c>
      <c r="C92" s="10" t="s">
        <v>197</v>
      </c>
      <c r="D92" s="7"/>
      <c r="E92" s="7"/>
      <c r="F92" s="16"/>
      <c r="G92" s="37">
        <v>149.18</v>
      </c>
      <c r="H92" s="16">
        <v>0</v>
      </c>
      <c r="I92" s="16">
        <v>217.78</v>
      </c>
      <c r="J92" s="16">
        <v>0</v>
      </c>
      <c r="K92" s="16"/>
      <c r="L92" s="16">
        <v>0</v>
      </c>
      <c r="M92" s="16">
        <v>0</v>
      </c>
      <c r="N92" s="16"/>
      <c r="O92" s="43"/>
      <c r="P92" s="44"/>
      <c r="Q92" s="44">
        <f t="shared" si="1"/>
        <v>366.96</v>
      </c>
    </row>
    <row r="93" customHeight="1" spans="1:17">
      <c r="A93" s="7">
        <v>90</v>
      </c>
      <c r="B93" s="7" t="s">
        <v>198</v>
      </c>
      <c r="C93" s="10" t="s">
        <v>199</v>
      </c>
      <c r="D93" s="7"/>
      <c r="E93" s="7"/>
      <c r="F93" s="46">
        <v>115.32</v>
      </c>
      <c r="G93" s="37">
        <v>149.18</v>
      </c>
      <c r="H93" s="16">
        <v>0</v>
      </c>
      <c r="I93" s="16">
        <v>0</v>
      </c>
      <c r="J93" s="16">
        <v>0</v>
      </c>
      <c r="K93" s="16"/>
      <c r="L93" s="16">
        <v>0</v>
      </c>
      <c r="M93" s="16">
        <v>0</v>
      </c>
      <c r="N93" s="16"/>
      <c r="O93" s="43"/>
      <c r="P93" s="44"/>
      <c r="Q93" s="44">
        <f t="shared" si="1"/>
        <v>264.5</v>
      </c>
    </row>
    <row r="94" customHeight="1" spans="1:17">
      <c r="A94" s="7">
        <v>91</v>
      </c>
      <c r="B94" s="7" t="s">
        <v>200</v>
      </c>
      <c r="C94" s="10" t="s">
        <v>201</v>
      </c>
      <c r="D94" s="7"/>
      <c r="E94" s="7"/>
      <c r="F94" s="16"/>
      <c r="G94" s="37"/>
      <c r="H94" s="16">
        <v>0</v>
      </c>
      <c r="I94" s="16">
        <v>0</v>
      </c>
      <c r="J94" s="16">
        <v>0</v>
      </c>
      <c r="K94" s="16"/>
      <c r="L94" s="16">
        <v>0</v>
      </c>
      <c r="M94" s="16">
        <v>482.28</v>
      </c>
      <c r="N94" s="16"/>
      <c r="O94" s="43"/>
      <c r="P94" s="44"/>
      <c r="Q94" s="44">
        <f t="shared" si="1"/>
        <v>482.28</v>
      </c>
    </row>
    <row r="95" customHeight="1" spans="1:17">
      <c r="A95" s="7">
        <v>92</v>
      </c>
      <c r="B95" s="7" t="s">
        <v>202</v>
      </c>
      <c r="C95" s="10" t="s">
        <v>203</v>
      </c>
      <c r="D95" s="7"/>
      <c r="E95" s="7"/>
      <c r="F95" s="16"/>
      <c r="G95" s="37">
        <v>149.18</v>
      </c>
      <c r="H95" s="16">
        <v>0</v>
      </c>
      <c r="I95" s="16">
        <v>217.78</v>
      </c>
      <c r="J95" s="16">
        <v>0</v>
      </c>
      <c r="K95" s="16"/>
      <c r="L95" s="16">
        <v>0</v>
      </c>
      <c r="M95" s="16">
        <v>0</v>
      </c>
      <c r="N95" s="16"/>
      <c r="O95" s="43"/>
      <c r="P95" s="44"/>
      <c r="Q95" s="44">
        <f t="shared" si="1"/>
        <v>366.96</v>
      </c>
    </row>
    <row r="96" customHeight="1" spans="1:17">
      <c r="A96" s="7">
        <v>93</v>
      </c>
      <c r="B96" s="7" t="s">
        <v>204</v>
      </c>
      <c r="C96" s="10" t="s">
        <v>205</v>
      </c>
      <c r="D96" s="7"/>
      <c r="E96" s="7"/>
      <c r="F96" s="16"/>
      <c r="G96" s="37"/>
      <c r="H96" s="16">
        <v>0</v>
      </c>
      <c r="I96" s="16">
        <v>366.96</v>
      </c>
      <c r="J96" s="16">
        <v>0</v>
      </c>
      <c r="K96" s="16"/>
      <c r="L96" s="16">
        <v>0</v>
      </c>
      <c r="M96" s="16">
        <v>0</v>
      </c>
      <c r="N96" s="16"/>
      <c r="O96" s="43"/>
      <c r="P96" s="44"/>
      <c r="Q96" s="44">
        <f t="shared" si="1"/>
        <v>366.96</v>
      </c>
    </row>
    <row r="97" customHeight="1" spans="1:17">
      <c r="A97" s="7">
        <v>94</v>
      </c>
      <c r="B97" s="7" t="s">
        <v>206</v>
      </c>
      <c r="C97" s="10" t="s">
        <v>207</v>
      </c>
      <c r="D97" s="7"/>
      <c r="E97" s="7"/>
      <c r="F97" s="16"/>
      <c r="G97" s="37">
        <v>149.18</v>
      </c>
      <c r="H97" s="16">
        <v>0</v>
      </c>
      <c r="I97" s="16">
        <v>217.78</v>
      </c>
      <c r="J97" s="16">
        <v>0</v>
      </c>
      <c r="K97" s="16"/>
      <c r="L97" s="16">
        <v>0</v>
      </c>
      <c r="M97" s="16">
        <v>0</v>
      </c>
      <c r="N97" s="16"/>
      <c r="O97" s="43"/>
      <c r="P97" s="44"/>
      <c r="Q97" s="44">
        <f t="shared" si="1"/>
        <v>366.96</v>
      </c>
    </row>
    <row r="98" customHeight="1" spans="1:17">
      <c r="A98" s="7">
        <v>95</v>
      </c>
      <c r="B98" s="7" t="s">
        <v>208</v>
      </c>
      <c r="C98" s="10" t="s">
        <v>209</v>
      </c>
      <c r="D98" s="7"/>
      <c r="E98" s="7"/>
      <c r="F98" s="16"/>
      <c r="G98" s="16"/>
      <c r="H98" s="16">
        <v>366.96</v>
      </c>
      <c r="I98" s="16">
        <v>0</v>
      </c>
      <c r="J98" s="16">
        <v>0</v>
      </c>
      <c r="K98" s="16"/>
      <c r="L98" s="16">
        <v>0</v>
      </c>
      <c r="M98" s="16">
        <v>0</v>
      </c>
      <c r="N98" s="16"/>
      <c r="O98" s="43"/>
      <c r="P98" s="44"/>
      <c r="Q98" s="44">
        <f t="shared" si="1"/>
        <v>366.96</v>
      </c>
    </row>
    <row r="99" customHeight="1" spans="1:17">
      <c r="A99" s="7">
        <v>96</v>
      </c>
      <c r="B99" s="7" t="s">
        <v>210</v>
      </c>
      <c r="C99" s="10" t="s">
        <v>211</v>
      </c>
      <c r="D99" s="7"/>
      <c r="E99" s="7"/>
      <c r="F99" s="16"/>
      <c r="G99" s="37">
        <v>149.18</v>
      </c>
      <c r="H99" s="16">
        <v>0</v>
      </c>
      <c r="I99" s="16">
        <v>217.78</v>
      </c>
      <c r="J99" s="16">
        <v>0</v>
      </c>
      <c r="K99" s="16"/>
      <c r="L99" s="16">
        <v>0</v>
      </c>
      <c r="M99" s="16">
        <v>0</v>
      </c>
      <c r="N99" s="16"/>
      <c r="O99" s="43"/>
      <c r="P99" s="44"/>
      <c r="Q99" s="44">
        <f t="shared" si="1"/>
        <v>366.96</v>
      </c>
    </row>
    <row r="100" customHeight="1" spans="1:17">
      <c r="A100" s="7">
        <v>97</v>
      </c>
      <c r="B100" s="7" t="s">
        <v>212</v>
      </c>
      <c r="C100" s="10" t="s">
        <v>213</v>
      </c>
      <c r="D100" s="7"/>
      <c r="E100" s="7"/>
      <c r="F100" s="16"/>
      <c r="G100" s="37">
        <v>149.18</v>
      </c>
      <c r="H100" s="16">
        <v>0</v>
      </c>
      <c r="I100" s="16">
        <v>217.78</v>
      </c>
      <c r="J100" s="16">
        <v>0</v>
      </c>
      <c r="K100" s="16"/>
      <c r="L100" s="16">
        <v>0</v>
      </c>
      <c r="M100" s="16">
        <v>0</v>
      </c>
      <c r="N100" s="16"/>
      <c r="O100" s="43"/>
      <c r="P100" s="44"/>
      <c r="Q100" s="44">
        <f t="shared" si="1"/>
        <v>366.96</v>
      </c>
    </row>
    <row r="101" customHeight="1" spans="1:17">
      <c r="A101" s="7">
        <v>98</v>
      </c>
      <c r="B101" s="7" t="s">
        <v>214</v>
      </c>
      <c r="C101" s="12" t="s">
        <v>215</v>
      </c>
      <c r="D101" s="7"/>
      <c r="E101" s="7"/>
      <c r="F101" s="16"/>
      <c r="G101" s="16"/>
      <c r="H101" s="16">
        <v>0</v>
      </c>
      <c r="I101" s="16">
        <v>366.96</v>
      </c>
      <c r="J101" s="16">
        <v>0</v>
      </c>
      <c r="K101" s="16"/>
      <c r="L101" s="16">
        <v>0</v>
      </c>
      <c r="M101" s="16">
        <v>0</v>
      </c>
      <c r="N101" s="16"/>
      <c r="O101" s="43"/>
      <c r="P101" s="44"/>
      <c r="Q101" s="44">
        <f t="shared" si="1"/>
        <v>366.96</v>
      </c>
    </row>
    <row r="102" customHeight="1" spans="1:17">
      <c r="A102" s="7">
        <v>99</v>
      </c>
      <c r="B102" s="7" t="s">
        <v>216</v>
      </c>
      <c r="C102" s="10" t="s">
        <v>217</v>
      </c>
      <c r="D102" s="7"/>
      <c r="E102" s="7"/>
      <c r="F102" s="16"/>
      <c r="G102" s="16"/>
      <c r="H102" s="16">
        <v>0</v>
      </c>
      <c r="I102" s="16">
        <v>0</v>
      </c>
      <c r="J102" s="16">
        <v>0</v>
      </c>
      <c r="K102" s="16"/>
      <c r="L102" s="16">
        <v>482.28</v>
      </c>
      <c r="M102" s="16">
        <v>0</v>
      </c>
      <c r="N102" s="16"/>
      <c r="O102" s="43"/>
      <c r="P102" s="44"/>
      <c r="Q102" s="44">
        <f t="shared" si="1"/>
        <v>482.28</v>
      </c>
    </row>
    <row r="103" customHeight="1" spans="1:17">
      <c r="A103" s="7">
        <v>100</v>
      </c>
      <c r="B103" s="7" t="s">
        <v>218</v>
      </c>
      <c r="C103" s="10" t="s">
        <v>219</v>
      </c>
      <c r="D103" s="7"/>
      <c r="E103" s="7"/>
      <c r="F103" s="16"/>
      <c r="G103" s="37">
        <v>149.18</v>
      </c>
      <c r="H103" s="16">
        <v>0</v>
      </c>
      <c r="I103" s="16">
        <v>217.78</v>
      </c>
      <c r="J103" s="16">
        <v>0</v>
      </c>
      <c r="K103" s="16"/>
      <c r="L103" s="16">
        <v>0</v>
      </c>
      <c r="M103" s="16">
        <v>0</v>
      </c>
      <c r="N103" s="16"/>
      <c r="O103" s="43"/>
      <c r="P103" s="44"/>
      <c r="Q103" s="44">
        <f t="shared" si="1"/>
        <v>366.96</v>
      </c>
    </row>
    <row r="104" customHeight="1" spans="1:17">
      <c r="A104" s="7">
        <v>101</v>
      </c>
      <c r="B104" s="7" t="s">
        <v>220</v>
      </c>
      <c r="C104" s="10" t="s">
        <v>221</v>
      </c>
      <c r="D104" s="7"/>
      <c r="E104" s="7"/>
      <c r="F104" s="16"/>
      <c r="G104" s="37">
        <v>149.18</v>
      </c>
      <c r="H104" s="16">
        <v>0</v>
      </c>
      <c r="I104" s="16">
        <v>217.78</v>
      </c>
      <c r="J104" s="16">
        <v>0</v>
      </c>
      <c r="K104" s="16"/>
      <c r="L104" s="16">
        <v>0</v>
      </c>
      <c r="M104" s="16">
        <v>0</v>
      </c>
      <c r="N104" s="16"/>
      <c r="O104" s="43"/>
      <c r="P104" s="44"/>
      <c r="Q104" s="44">
        <f t="shared" si="1"/>
        <v>366.96</v>
      </c>
    </row>
    <row r="105" customHeight="1" spans="1:17">
      <c r="A105" s="7">
        <v>102</v>
      </c>
      <c r="B105" s="7" t="s">
        <v>222</v>
      </c>
      <c r="C105" s="10" t="s">
        <v>223</v>
      </c>
      <c r="D105" s="7"/>
      <c r="E105" s="7"/>
      <c r="F105" s="16"/>
      <c r="G105" s="16"/>
      <c r="H105" s="16">
        <v>0</v>
      </c>
      <c r="I105" s="16">
        <v>366.96</v>
      </c>
      <c r="J105" s="16">
        <v>0</v>
      </c>
      <c r="K105" s="16"/>
      <c r="L105" s="16">
        <v>0</v>
      </c>
      <c r="M105" s="16">
        <v>0</v>
      </c>
      <c r="N105" s="16"/>
      <c r="O105" s="43"/>
      <c r="P105" s="44"/>
      <c r="Q105" s="44">
        <f t="shared" si="1"/>
        <v>366.96</v>
      </c>
    </row>
    <row r="106" customHeight="1" spans="1:17">
      <c r="A106" s="7">
        <v>103</v>
      </c>
      <c r="B106" s="7" t="s">
        <v>224</v>
      </c>
      <c r="C106" s="10" t="s">
        <v>225</v>
      </c>
      <c r="D106" s="7"/>
      <c r="E106" s="7"/>
      <c r="F106" s="16"/>
      <c r="G106" s="37">
        <v>149.18</v>
      </c>
      <c r="H106" s="16">
        <v>0</v>
      </c>
      <c r="I106" s="16">
        <v>0</v>
      </c>
      <c r="J106" s="16">
        <v>366.96</v>
      </c>
      <c r="K106" s="16"/>
      <c r="L106" s="16">
        <v>0</v>
      </c>
      <c r="M106" s="16">
        <v>0</v>
      </c>
      <c r="N106" s="16"/>
      <c r="O106" s="43"/>
      <c r="P106" s="44"/>
      <c r="Q106" s="44">
        <f t="shared" si="1"/>
        <v>516.14</v>
      </c>
    </row>
    <row r="107" customHeight="1" spans="1:17">
      <c r="A107" s="7">
        <v>104</v>
      </c>
      <c r="B107" s="7" t="s">
        <v>226</v>
      </c>
      <c r="C107" s="10" t="s">
        <v>227</v>
      </c>
      <c r="D107" s="7"/>
      <c r="E107" s="7"/>
      <c r="F107" s="16"/>
      <c r="G107" s="37"/>
      <c r="H107" s="16">
        <v>0</v>
      </c>
      <c r="I107" s="16">
        <v>366.96</v>
      </c>
      <c r="J107" s="16">
        <v>0</v>
      </c>
      <c r="K107" s="16"/>
      <c r="L107" s="16">
        <v>0</v>
      </c>
      <c r="M107" s="16">
        <v>0</v>
      </c>
      <c r="N107" s="16"/>
      <c r="O107" s="43"/>
      <c r="P107" s="44"/>
      <c r="Q107" s="44">
        <f t="shared" si="1"/>
        <v>366.96</v>
      </c>
    </row>
    <row r="108" customHeight="1" spans="1:17">
      <c r="A108" s="7">
        <v>105</v>
      </c>
      <c r="B108" s="7" t="s">
        <v>228</v>
      </c>
      <c r="C108" s="10" t="s">
        <v>229</v>
      </c>
      <c r="D108" s="7"/>
      <c r="E108" s="7"/>
      <c r="F108" s="16"/>
      <c r="G108" s="37">
        <v>149.18</v>
      </c>
      <c r="H108" s="16">
        <v>0</v>
      </c>
      <c r="I108" s="16">
        <v>217.78</v>
      </c>
      <c r="J108" s="16">
        <v>0</v>
      </c>
      <c r="K108" s="16"/>
      <c r="L108" s="16">
        <v>0</v>
      </c>
      <c r="M108" s="16">
        <v>0</v>
      </c>
      <c r="N108" s="16"/>
      <c r="O108" s="43"/>
      <c r="P108" s="44"/>
      <c r="Q108" s="44">
        <f t="shared" si="1"/>
        <v>366.96</v>
      </c>
    </row>
    <row r="109" customHeight="1" spans="1:17">
      <c r="A109" s="7">
        <v>106</v>
      </c>
      <c r="B109" s="7" t="s">
        <v>230</v>
      </c>
      <c r="C109" s="10" t="s">
        <v>231</v>
      </c>
      <c r="D109" s="7"/>
      <c r="E109" s="7"/>
      <c r="F109" s="16"/>
      <c r="G109" s="37"/>
      <c r="H109" s="16">
        <v>366.96</v>
      </c>
      <c r="I109" s="16">
        <v>0</v>
      </c>
      <c r="J109" s="16">
        <v>0</v>
      </c>
      <c r="K109" s="16"/>
      <c r="L109" s="16">
        <v>0</v>
      </c>
      <c r="M109" s="16">
        <v>0</v>
      </c>
      <c r="N109" s="16"/>
      <c r="O109" s="43"/>
      <c r="P109" s="44"/>
      <c r="Q109" s="44">
        <f t="shared" si="1"/>
        <v>366.96</v>
      </c>
    </row>
    <row r="110" customHeight="1" spans="1:17">
      <c r="A110" s="7">
        <v>107</v>
      </c>
      <c r="B110" s="7" t="s">
        <v>232</v>
      </c>
      <c r="C110" s="10" t="s">
        <v>233</v>
      </c>
      <c r="D110" s="7"/>
      <c r="E110" s="7"/>
      <c r="F110" s="16"/>
      <c r="G110" s="37">
        <v>149.18</v>
      </c>
      <c r="H110" s="16">
        <v>217.78</v>
      </c>
      <c r="I110" s="16">
        <v>0</v>
      </c>
      <c r="J110" s="16">
        <v>0</v>
      </c>
      <c r="K110" s="16"/>
      <c r="L110" s="16">
        <v>0</v>
      </c>
      <c r="M110" s="16">
        <v>0</v>
      </c>
      <c r="N110" s="16"/>
      <c r="O110" s="43"/>
      <c r="P110" s="44"/>
      <c r="Q110" s="44">
        <f t="shared" si="1"/>
        <v>366.96</v>
      </c>
    </row>
    <row r="111" customHeight="1" spans="1:17">
      <c r="A111" s="7">
        <v>108</v>
      </c>
      <c r="B111" s="7" t="s">
        <v>234</v>
      </c>
      <c r="C111" s="10" t="s">
        <v>235</v>
      </c>
      <c r="D111" s="7"/>
      <c r="E111" s="7"/>
      <c r="F111" s="16"/>
      <c r="G111" s="37">
        <v>149.18</v>
      </c>
      <c r="H111" s="16">
        <v>0</v>
      </c>
      <c r="I111" s="16">
        <v>217.78</v>
      </c>
      <c r="J111" s="16">
        <v>0</v>
      </c>
      <c r="K111" s="16"/>
      <c r="L111" s="16">
        <v>0</v>
      </c>
      <c r="M111" s="16">
        <v>0</v>
      </c>
      <c r="N111" s="16"/>
      <c r="O111" s="43"/>
      <c r="P111" s="44"/>
      <c r="Q111" s="44">
        <f t="shared" si="1"/>
        <v>366.96</v>
      </c>
    </row>
    <row r="112" customHeight="1" spans="1:17">
      <c r="A112" s="7">
        <v>109</v>
      </c>
      <c r="B112" s="7" t="s">
        <v>236</v>
      </c>
      <c r="C112" s="10" t="s">
        <v>237</v>
      </c>
      <c r="D112" s="7"/>
      <c r="E112" s="7"/>
      <c r="F112" s="16"/>
      <c r="G112" s="37"/>
      <c r="H112" s="16">
        <v>366.96</v>
      </c>
      <c r="I112" s="16">
        <v>0</v>
      </c>
      <c r="J112" s="16">
        <v>0</v>
      </c>
      <c r="K112" s="16"/>
      <c r="L112" s="16">
        <v>0</v>
      </c>
      <c r="M112" s="16">
        <v>0</v>
      </c>
      <c r="N112" s="16"/>
      <c r="O112" s="43"/>
      <c r="P112" s="44"/>
      <c r="Q112" s="44">
        <f t="shared" si="1"/>
        <v>366.96</v>
      </c>
    </row>
    <row r="113" customHeight="1" spans="1:17">
      <c r="A113" s="7">
        <v>110</v>
      </c>
      <c r="B113" s="7" t="s">
        <v>238</v>
      </c>
      <c r="C113" s="10" t="s">
        <v>239</v>
      </c>
      <c r="D113" s="7"/>
      <c r="E113" s="7"/>
      <c r="F113" s="16"/>
      <c r="G113" s="37">
        <v>149.18</v>
      </c>
      <c r="H113" s="16">
        <v>217.78</v>
      </c>
      <c r="I113" s="16">
        <v>0</v>
      </c>
      <c r="J113" s="16">
        <v>0</v>
      </c>
      <c r="K113" s="16"/>
      <c r="L113" s="16">
        <v>0</v>
      </c>
      <c r="M113" s="16">
        <v>0</v>
      </c>
      <c r="N113" s="16"/>
      <c r="O113" s="43"/>
      <c r="P113" s="44"/>
      <c r="Q113" s="44">
        <f t="shared" si="1"/>
        <v>366.96</v>
      </c>
    </row>
    <row r="114" customHeight="1" spans="1:17">
      <c r="A114" s="7">
        <v>111</v>
      </c>
      <c r="B114" s="7" t="s">
        <v>240</v>
      </c>
      <c r="C114" s="10" t="s">
        <v>241</v>
      </c>
      <c r="D114" s="7"/>
      <c r="E114" s="7"/>
      <c r="F114" s="16"/>
      <c r="G114" s="37">
        <v>149.18</v>
      </c>
      <c r="H114" s="16">
        <v>0</v>
      </c>
      <c r="I114" s="16">
        <v>0</v>
      </c>
      <c r="J114" s="16">
        <v>482.28</v>
      </c>
      <c r="K114" s="16"/>
      <c r="L114" s="16">
        <v>0</v>
      </c>
      <c r="M114" s="16">
        <v>366.96</v>
      </c>
      <c r="N114" s="16"/>
      <c r="O114" s="43"/>
      <c r="P114" s="44"/>
      <c r="Q114" s="44">
        <f t="shared" si="1"/>
        <v>998.42</v>
      </c>
    </row>
    <row r="115" customHeight="1" spans="1:17">
      <c r="A115" s="7">
        <v>112</v>
      </c>
      <c r="B115" s="7" t="s">
        <v>242</v>
      </c>
      <c r="C115" s="10" t="s">
        <v>243</v>
      </c>
      <c r="D115" s="7"/>
      <c r="E115" s="7"/>
      <c r="F115" s="16"/>
      <c r="G115" s="37"/>
      <c r="H115" s="16">
        <v>0</v>
      </c>
      <c r="I115" s="16">
        <v>366.96</v>
      </c>
      <c r="J115" s="16">
        <v>0</v>
      </c>
      <c r="K115" s="16"/>
      <c r="L115" s="16">
        <v>0</v>
      </c>
      <c r="M115" s="16">
        <v>0</v>
      </c>
      <c r="N115" s="16"/>
      <c r="O115" s="43"/>
      <c r="P115" s="44"/>
      <c r="Q115" s="44">
        <f t="shared" si="1"/>
        <v>366.96</v>
      </c>
    </row>
    <row r="116" customHeight="1" spans="1:17">
      <c r="A116" s="7">
        <v>113</v>
      </c>
      <c r="B116" s="7" t="s">
        <v>244</v>
      </c>
      <c r="C116" s="10" t="s">
        <v>245</v>
      </c>
      <c r="D116" s="7"/>
      <c r="E116" s="7"/>
      <c r="F116" s="16"/>
      <c r="G116" s="37"/>
      <c r="H116" s="16">
        <v>0</v>
      </c>
      <c r="I116" s="16">
        <v>366.96</v>
      </c>
      <c r="J116" s="16">
        <v>0</v>
      </c>
      <c r="K116" s="16"/>
      <c r="L116" s="16">
        <v>0</v>
      </c>
      <c r="M116" s="16">
        <v>0</v>
      </c>
      <c r="N116" s="16"/>
      <c r="O116" s="43"/>
      <c r="P116" s="44"/>
      <c r="Q116" s="44">
        <f t="shared" si="1"/>
        <v>366.96</v>
      </c>
    </row>
    <row r="117" customHeight="1" spans="1:17">
      <c r="A117" s="7">
        <v>114</v>
      </c>
      <c r="B117" s="7" t="s">
        <v>246</v>
      </c>
      <c r="C117" s="10" t="s">
        <v>247</v>
      </c>
      <c r="D117" s="7"/>
      <c r="E117" s="7"/>
      <c r="F117" s="16"/>
      <c r="G117" s="37">
        <v>149.18</v>
      </c>
      <c r="H117" s="16">
        <v>200</v>
      </c>
      <c r="I117" s="16">
        <v>17.78</v>
      </c>
      <c r="J117" s="16">
        <v>0</v>
      </c>
      <c r="K117" s="16"/>
      <c r="L117" s="16">
        <v>0</v>
      </c>
      <c r="M117" s="16">
        <v>0</v>
      </c>
      <c r="N117" s="16"/>
      <c r="O117" s="43"/>
      <c r="P117" s="44"/>
      <c r="Q117" s="44">
        <f t="shared" si="1"/>
        <v>366.96</v>
      </c>
    </row>
    <row r="118" customHeight="1" spans="1:17">
      <c r="A118" s="7">
        <v>115</v>
      </c>
      <c r="B118" s="7" t="s">
        <v>248</v>
      </c>
      <c r="C118" s="10" t="s">
        <v>249</v>
      </c>
      <c r="D118" s="7"/>
      <c r="E118" s="7"/>
      <c r="F118" s="16"/>
      <c r="G118" s="37">
        <v>149.18</v>
      </c>
      <c r="H118" s="16">
        <v>0</v>
      </c>
      <c r="I118" s="16">
        <v>217.78</v>
      </c>
      <c r="J118" s="16">
        <v>0</v>
      </c>
      <c r="K118" s="16"/>
      <c r="L118" s="16">
        <v>0</v>
      </c>
      <c r="M118" s="16">
        <v>0</v>
      </c>
      <c r="N118" s="16"/>
      <c r="O118" s="43"/>
      <c r="P118" s="44"/>
      <c r="Q118" s="44">
        <f t="shared" si="1"/>
        <v>366.96</v>
      </c>
    </row>
    <row r="119" customHeight="1" spans="1:17">
      <c r="A119" s="7">
        <v>116</v>
      </c>
      <c r="B119" s="7" t="s">
        <v>250</v>
      </c>
      <c r="C119" s="10" t="s">
        <v>251</v>
      </c>
      <c r="D119" s="7"/>
      <c r="E119" s="7"/>
      <c r="F119" s="16"/>
      <c r="G119" s="37">
        <v>149.18</v>
      </c>
      <c r="H119" s="16">
        <v>0</v>
      </c>
      <c r="I119" s="16">
        <v>0</v>
      </c>
      <c r="J119" s="16">
        <v>0</v>
      </c>
      <c r="K119" s="16"/>
      <c r="L119" s="16">
        <v>366.96</v>
      </c>
      <c r="M119" s="16">
        <v>0</v>
      </c>
      <c r="N119" s="16"/>
      <c r="O119" s="43"/>
      <c r="P119" s="44"/>
      <c r="Q119" s="44">
        <f t="shared" si="1"/>
        <v>516.14</v>
      </c>
    </row>
    <row r="120" customHeight="1" spans="1:17">
      <c r="A120" s="7">
        <v>117</v>
      </c>
      <c r="B120" s="7" t="s">
        <v>252</v>
      </c>
      <c r="C120" s="10" t="s">
        <v>253</v>
      </c>
      <c r="D120" s="7"/>
      <c r="E120" s="7"/>
      <c r="F120" s="16"/>
      <c r="G120" s="37">
        <f>149.18+115.32</f>
        <v>264.5</v>
      </c>
      <c r="H120" s="16">
        <v>0</v>
      </c>
      <c r="I120" s="16">
        <v>0</v>
      </c>
      <c r="J120" s="16">
        <v>0</v>
      </c>
      <c r="K120" s="16"/>
      <c r="L120" s="16">
        <v>0</v>
      </c>
      <c r="M120" s="16">
        <v>0</v>
      </c>
      <c r="N120" s="16"/>
      <c r="O120" s="43"/>
      <c r="P120" s="44"/>
      <c r="Q120" s="44">
        <f t="shared" si="1"/>
        <v>264.5</v>
      </c>
    </row>
    <row r="121" customHeight="1" spans="1:17">
      <c r="A121" s="7">
        <v>118</v>
      </c>
      <c r="B121" s="7" t="s">
        <v>254</v>
      </c>
      <c r="C121" s="10" t="s">
        <v>255</v>
      </c>
      <c r="D121" s="7"/>
      <c r="E121" s="7"/>
      <c r="F121" s="16"/>
      <c r="G121" s="16"/>
      <c r="H121" s="16">
        <v>366.96</v>
      </c>
      <c r="I121" s="16">
        <v>0</v>
      </c>
      <c r="J121" s="16">
        <v>0</v>
      </c>
      <c r="K121" s="16"/>
      <c r="L121" s="16">
        <v>0</v>
      </c>
      <c r="M121" s="16">
        <v>0</v>
      </c>
      <c r="N121" s="16"/>
      <c r="O121" s="43"/>
      <c r="P121" s="44"/>
      <c r="Q121" s="44">
        <f t="shared" si="1"/>
        <v>366.96</v>
      </c>
    </row>
    <row r="122" customHeight="1" spans="1:17">
      <c r="A122" s="7">
        <v>119</v>
      </c>
      <c r="B122" s="7" t="s">
        <v>256</v>
      </c>
      <c r="C122" s="12" t="s">
        <v>257</v>
      </c>
      <c r="D122" s="7"/>
      <c r="E122" s="7"/>
      <c r="F122" s="16"/>
      <c r="G122" s="37">
        <v>149.18</v>
      </c>
      <c r="H122" s="16">
        <v>0</v>
      </c>
      <c r="I122" s="16">
        <v>217.78</v>
      </c>
      <c r="J122" s="16">
        <v>0</v>
      </c>
      <c r="K122" s="16"/>
      <c r="L122" s="16">
        <v>0</v>
      </c>
      <c r="M122" s="16">
        <v>0</v>
      </c>
      <c r="N122" s="16"/>
      <c r="O122" s="43"/>
      <c r="P122" s="44"/>
      <c r="Q122" s="44">
        <f t="shared" si="1"/>
        <v>366.96</v>
      </c>
    </row>
    <row r="123" customHeight="1" spans="1:17">
      <c r="A123" s="7">
        <v>120</v>
      </c>
      <c r="B123" s="7" t="s">
        <v>258</v>
      </c>
      <c r="C123" s="10" t="s">
        <v>259</v>
      </c>
      <c r="D123" s="7"/>
      <c r="E123" s="7"/>
      <c r="F123" s="16"/>
      <c r="G123" s="16"/>
      <c r="H123" s="16">
        <v>366.96</v>
      </c>
      <c r="I123" s="16">
        <v>0</v>
      </c>
      <c r="J123" s="16">
        <v>0</v>
      </c>
      <c r="K123" s="16"/>
      <c r="L123" s="16">
        <v>0</v>
      </c>
      <c r="M123" s="16">
        <v>0</v>
      </c>
      <c r="N123" s="16"/>
      <c r="O123" s="43"/>
      <c r="P123" s="44"/>
      <c r="Q123" s="44">
        <f t="shared" si="1"/>
        <v>366.96</v>
      </c>
    </row>
    <row r="124" customHeight="1" spans="1:17">
      <c r="A124" s="7">
        <v>121</v>
      </c>
      <c r="B124" s="7" t="s">
        <v>260</v>
      </c>
      <c r="C124" s="10" t="s">
        <v>261</v>
      </c>
      <c r="D124" s="7"/>
      <c r="E124" s="7"/>
      <c r="F124" s="16"/>
      <c r="G124" s="37">
        <v>149.18</v>
      </c>
      <c r="H124" s="16">
        <v>0</v>
      </c>
      <c r="I124" s="16">
        <v>217.78</v>
      </c>
      <c r="J124" s="16">
        <v>0</v>
      </c>
      <c r="K124" s="16"/>
      <c r="L124" s="16">
        <v>0</v>
      </c>
      <c r="M124" s="16">
        <v>0</v>
      </c>
      <c r="N124" s="16"/>
      <c r="O124" s="43"/>
      <c r="P124" s="44"/>
      <c r="Q124" s="44">
        <f t="shared" si="1"/>
        <v>366.96</v>
      </c>
    </row>
    <row r="125" customHeight="1" spans="1:17">
      <c r="A125" s="7">
        <v>122</v>
      </c>
      <c r="B125" s="7" t="s">
        <v>262</v>
      </c>
      <c r="C125" s="10" t="s">
        <v>263</v>
      </c>
      <c r="D125" s="7"/>
      <c r="E125" s="7"/>
      <c r="F125" s="16"/>
      <c r="G125" s="37">
        <v>149.18</v>
      </c>
      <c r="H125" s="16">
        <v>149.18</v>
      </c>
      <c r="I125" s="16">
        <v>217.78</v>
      </c>
      <c r="J125" s="16">
        <v>0</v>
      </c>
      <c r="K125" s="16"/>
      <c r="L125" s="16">
        <v>0</v>
      </c>
      <c r="M125" s="16">
        <v>0</v>
      </c>
      <c r="N125" s="16"/>
      <c r="O125" s="43"/>
      <c r="P125" s="44"/>
      <c r="Q125" s="44">
        <f t="shared" si="1"/>
        <v>516.14</v>
      </c>
    </row>
    <row r="126" customHeight="1" spans="1:17">
      <c r="A126" s="7">
        <v>123</v>
      </c>
      <c r="B126" s="7" t="s">
        <v>264</v>
      </c>
      <c r="C126" s="10" t="s">
        <v>265</v>
      </c>
      <c r="D126" s="7"/>
      <c r="E126" s="7"/>
      <c r="F126" s="16"/>
      <c r="G126" s="16"/>
      <c r="H126" s="16">
        <v>0</v>
      </c>
      <c r="I126" s="16">
        <v>217.78</v>
      </c>
      <c r="J126" s="16">
        <v>0</v>
      </c>
      <c r="K126" s="16"/>
      <c r="L126" s="16">
        <v>0</v>
      </c>
      <c r="M126" s="16">
        <v>0</v>
      </c>
      <c r="N126" s="16"/>
      <c r="O126" s="43"/>
      <c r="P126" s="44"/>
      <c r="Q126" s="44">
        <f t="shared" si="1"/>
        <v>217.78</v>
      </c>
    </row>
    <row r="127" customHeight="1" spans="1:17">
      <c r="A127" s="7">
        <v>124</v>
      </c>
      <c r="B127" s="7" t="s">
        <v>266</v>
      </c>
      <c r="C127" s="10" t="s">
        <v>267</v>
      </c>
      <c r="D127" s="7"/>
      <c r="E127" s="7"/>
      <c r="F127" s="16"/>
      <c r="G127" s="37">
        <v>149.18</v>
      </c>
      <c r="H127" s="16">
        <v>0</v>
      </c>
      <c r="I127" s="16">
        <v>217.78</v>
      </c>
      <c r="J127" s="16">
        <v>0</v>
      </c>
      <c r="K127" s="16"/>
      <c r="L127" s="16">
        <v>0</v>
      </c>
      <c r="M127" s="16">
        <v>0</v>
      </c>
      <c r="N127" s="16"/>
      <c r="O127" s="43"/>
      <c r="P127" s="44"/>
      <c r="Q127" s="44">
        <f t="shared" si="1"/>
        <v>366.96</v>
      </c>
    </row>
    <row r="128" customHeight="1" spans="1:17">
      <c r="A128" s="7">
        <v>125</v>
      </c>
      <c r="B128" s="7" t="s">
        <v>268</v>
      </c>
      <c r="C128" s="16"/>
      <c r="D128" s="7"/>
      <c r="E128" s="7"/>
      <c r="F128" s="16"/>
      <c r="G128" s="37"/>
      <c r="H128" s="16">
        <v>0</v>
      </c>
      <c r="I128" s="16"/>
      <c r="J128" s="16">
        <v>0</v>
      </c>
      <c r="K128" s="16"/>
      <c r="L128" s="16">
        <v>0</v>
      </c>
      <c r="M128" s="16">
        <v>0</v>
      </c>
      <c r="N128" s="16"/>
      <c r="O128" s="43"/>
      <c r="P128" s="44"/>
      <c r="Q128" s="44">
        <f t="shared" si="1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/>
      <c r="E129" s="46">
        <v>115.32</v>
      </c>
      <c r="F129" s="16"/>
      <c r="G129" s="16">
        <v>149.18</v>
      </c>
      <c r="H129" s="16">
        <v>0</v>
      </c>
      <c r="I129" s="16">
        <v>217.78</v>
      </c>
      <c r="J129" s="16">
        <v>0</v>
      </c>
      <c r="K129" s="16"/>
      <c r="L129" s="16"/>
      <c r="M129" s="16">
        <v>0</v>
      </c>
      <c r="N129" s="16"/>
      <c r="O129" s="43"/>
      <c r="P129" s="44"/>
      <c r="Q129" s="44">
        <f t="shared" si="1"/>
        <v>482.28</v>
      </c>
    </row>
    <row r="130" customHeight="1" spans="1:17">
      <c r="A130" s="7">
        <v>127</v>
      </c>
      <c r="B130" s="7" t="s">
        <v>271</v>
      </c>
      <c r="C130" s="10" t="s">
        <v>272</v>
      </c>
      <c r="D130" s="7"/>
      <c r="E130" s="7"/>
      <c r="F130" s="16"/>
      <c r="G130" s="16"/>
      <c r="H130" s="16"/>
      <c r="I130" s="16"/>
      <c r="J130" s="16">
        <v>0</v>
      </c>
      <c r="K130" s="16"/>
      <c r="L130" s="16">
        <v>482.28</v>
      </c>
      <c r="M130" s="16"/>
      <c r="N130" s="16"/>
      <c r="O130" s="43"/>
      <c r="P130" s="44"/>
      <c r="Q130" s="44">
        <f t="shared" si="1"/>
        <v>482.28</v>
      </c>
    </row>
    <row r="131" customHeight="1" spans="1:17">
      <c r="A131" s="7">
        <v>128</v>
      </c>
      <c r="B131" s="7" t="s">
        <v>273</v>
      </c>
      <c r="C131" s="10" t="s">
        <v>274</v>
      </c>
      <c r="D131" s="7"/>
      <c r="E131" s="7"/>
      <c r="F131" s="16"/>
      <c r="G131" s="16"/>
      <c r="H131" s="16">
        <v>366.96</v>
      </c>
      <c r="I131" s="16"/>
      <c r="J131" s="16"/>
      <c r="K131" s="16"/>
      <c r="L131" s="16"/>
      <c r="M131" s="16"/>
      <c r="N131" s="16"/>
      <c r="O131" s="43"/>
      <c r="P131" s="44"/>
      <c r="Q131" s="44">
        <f t="shared" si="1"/>
        <v>366.96</v>
      </c>
    </row>
    <row r="132" customHeight="1" spans="1:17">
      <c r="A132" s="7">
        <v>129</v>
      </c>
      <c r="B132" s="16"/>
      <c r="C132" s="16" t="s">
        <v>275</v>
      </c>
      <c r="D132" s="16">
        <f t="shared" ref="D132:Q132" si="2">SUM(D4:D131)</f>
        <v>0</v>
      </c>
      <c r="E132" s="16">
        <f t="shared" si="2"/>
        <v>364.16</v>
      </c>
      <c r="F132" s="16">
        <f t="shared" si="2"/>
        <v>115.32</v>
      </c>
      <c r="G132" s="16">
        <f t="shared" si="2"/>
        <v>12746.1</v>
      </c>
      <c r="H132" s="16">
        <f t="shared" si="2"/>
        <v>6995.42</v>
      </c>
      <c r="I132" s="16">
        <f t="shared" si="2"/>
        <v>17607.21</v>
      </c>
      <c r="J132" s="16">
        <f t="shared" si="2"/>
        <v>3782.12</v>
      </c>
      <c r="K132" s="16">
        <f t="shared" si="2"/>
        <v>1968.32</v>
      </c>
      <c r="L132" s="16">
        <f t="shared" si="2"/>
        <v>2932.88</v>
      </c>
      <c r="M132" s="16">
        <f t="shared" si="2"/>
        <v>2506.91</v>
      </c>
      <c r="N132" s="16">
        <f t="shared" si="2"/>
        <v>0</v>
      </c>
      <c r="O132" s="43">
        <f t="shared" si="2"/>
        <v>733.92</v>
      </c>
      <c r="P132" s="43">
        <f t="shared" si="2"/>
        <v>0</v>
      </c>
      <c r="Q132" s="43">
        <f t="shared" si="2"/>
        <v>49752.3599999999</v>
      </c>
    </row>
    <row r="133" customHeight="1" spans="4:4">
      <c r="D133" s="47">
        <v>59513.07</v>
      </c>
    </row>
  </sheetData>
  <mergeCells count="3">
    <mergeCell ref="A1:Q1"/>
    <mergeCell ref="A2:D2"/>
    <mergeCell ref="O2:Q2"/>
  </mergeCells>
  <conditionalFormatting sqref="G5">
    <cfRule type="cellIs" dxfId="1" priority="33" operator="equal">
      <formula>0</formula>
    </cfRule>
  </conditionalFormatting>
  <conditionalFormatting sqref="G7">
    <cfRule type="cellIs" dxfId="1" priority="45" operator="equal">
      <formula>0</formula>
    </cfRule>
  </conditionalFormatting>
  <conditionalFormatting sqref="H15">
    <cfRule type="cellIs" dxfId="1" priority="2" operator="equal">
      <formula>0</formula>
    </cfRule>
  </conditionalFormatting>
  <conditionalFormatting sqref="G16">
    <cfRule type="cellIs" dxfId="1" priority="31" operator="equal">
      <formula>0</formula>
    </cfRule>
  </conditionalFormatting>
  <conditionalFormatting sqref="G19">
    <cfRule type="cellIs" dxfId="1" priority="30" operator="equal">
      <formula>0</formula>
    </cfRule>
  </conditionalFormatting>
  <conditionalFormatting sqref="G21">
    <cfRule type="cellIs" dxfId="1" priority="29" operator="equal">
      <formula>0</formula>
    </cfRule>
  </conditionalFormatting>
  <conditionalFormatting sqref="H23">
    <cfRule type="cellIs" dxfId="1" priority="1" operator="equal">
      <formula>0</formula>
    </cfRule>
  </conditionalFormatting>
  <conditionalFormatting sqref="G24">
    <cfRule type="cellIs" dxfId="1" priority="28" operator="equal">
      <formula>0</formula>
    </cfRule>
  </conditionalFormatting>
  <conditionalFormatting sqref="G26">
    <cfRule type="cellIs" dxfId="1" priority="27" operator="equal">
      <formula>0</formula>
    </cfRule>
  </conditionalFormatting>
  <conditionalFormatting sqref="G32">
    <cfRule type="cellIs" dxfId="1" priority="25" operator="equal">
      <formula>0</formula>
    </cfRule>
  </conditionalFormatting>
  <conditionalFormatting sqref="G35">
    <cfRule type="cellIs" dxfId="1" priority="42" operator="equal">
      <formula>0</formula>
    </cfRule>
  </conditionalFormatting>
  <conditionalFormatting sqref="G38">
    <cfRule type="cellIs" dxfId="1" priority="24" operator="equal">
      <formula>0</formula>
    </cfRule>
  </conditionalFormatting>
  <conditionalFormatting sqref="G43">
    <cfRule type="cellIs" dxfId="1" priority="23" operator="equal">
      <formula>0</formula>
    </cfRule>
  </conditionalFormatting>
  <conditionalFormatting sqref="G53">
    <cfRule type="cellIs" dxfId="1" priority="22" operator="equal">
      <formula>0</formula>
    </cfRule>
  </conditionalFormatting>
  <conditionalFormatting sqref="G56">
    <cfRule type="cellIs" dxfId="1" priority="21" operator="equal">
      <formula>0</formula>
    </cfRule>
  </conditionalFormatting>
  <conditionalFormatting sqref="G68">
    <cfRule type="cellIs" dxfId="1" priority="17" operator="equal">
      <formula>0</formula>
    </cfRule>
  </conditionalFormatting>
  <conditionalFormatting sqref="G70">
    <cfRule type="cellIs" dxfId="1" priority="16" operator="equal">
      <formula>0</formula>
    </cfRule>
  </conditionalFormatting>
  <conditionalFormatting sqref="G72">
    <cfRule type="cellIs" dxfId="1" priority="15" operator="equal">
      <formula>0</formula>
    </cfRule>
  </conditionalFormatting>
  <conditionalFormatting sqref="E74">
    <cfRule type="cellIs" dxfId="1" priority="46" operator="equal">
      <formula>0</formula>
    </cfRule>
  </conditionalFormatting>
  <conditionalFormatting sqref="G78">
    <cfRule type="cellIs" dxfId="1" priority="14" operator="equal">
      <formula>0</formula>
    </cfRule>
  </conditionalFormatting>
  <conditionalFormatting sqref="G80">
    <cfRule type="cellIs" dxfId="1" priority="13" operator="equal">
      <formula>0</formula>
    </cfRule>
  </conditionalFormatting>
  <conditionalFormatting sqref="G90">
    <cfRule type="cellIs" dxfId="1" priority="12" operator="equal">
      <formula>0</formula>
    </cfRule>
  </conditionalFormatting>
  <conditionalFormatting sqref="G108">
    <cfRule type="cellIs" dxfId="1" priority="9" operator="equal">
      <formula>0</formula>
    </cfRule>
  </conditionalFormatting>
  <conditionalFormatting sqref="G111">
    <cfRule type="cellIs" dxfId="1" priority="8" operator="equal">
      <formula>0</formula>
    </cfRule>
  </conditionalFormatting>
  <conditionalFormatting sqref="G117">
    <cfRule type="cellIs" dxfId="1" priority="7" operator="equal">
      <formula>0</formula>
    </cfRule>
  </conditionalFormatting>
  <conditionalFormatting sqref="G122">
    <cfRule type="cellIs" dxfId="1" priority="6" operator="equal">
      <formula>0</formula>
    </cfRule>
  </conditionalFormatting>
  <conditionalFormatting sqref="G124">
    <cfRule type="cellIs" dxfId="1" priority="5" operator="equal">
      <formula>0</formula>
    </cfRule>
  </conditionalFormatting>
  <conditionalFormatting sqref="G125">
    <cfRule type="cellIs" dxfId="1" priority="34" operator="equal">
      <formula>0</formula>
    </cfRule>
  </conditionalFormatting>
  <conditionalFormatting sqref="G127">
    <cfRule type="cellIs" dxfId="1" priority="4" operator="equal">
      <formula>0</formula>
    </cfRule>
  </conditionalFormatting>
  <conditionalFormatting sqref="G128">
    <cfRule type="cellIs" dxfId="1" priority="3" operator="equal">
      <formula>0</formula>
    </cfRule>
  </conditionalFormatting>
  <conditionalFormatting sqref="C4:C67">
    <cfRule type="cellIs" dxfId="1" priority="50" operator="equal">
      <formula>0</formula>
    </cfRule>
    <cfRule type="duplicateValues" dxfId="0" priority="49"/>
  </conditionalFormatting>
  <conditionalFormatting sqref="G8:G9">
    <cfRule type="cellIs" dxfId="1" priority="32" operator="equal">
      <formula>0</formula>
    </cfRule>
  </conditionalFormatting>
  <conditionalFormatting sqref="G10:G15">
    <cfRule type="cellIs" dxfId="1" priority="44" operator="equal">
      <formula>0</formula>
    </cfRule>
  </conditionalFormatting>
  <conditionalFormatting sqref="G28:G30">
    <cfRule type="cellIs" dxfId="1" priority="26" operator="equal">
      <formula>0</formula>
    </cfRule>
  </conditionalFormatting>
  <conditionalFormatting sqref="G58:G59">
    <cfRule type="cellIs" dxfId="1" priority="20" operator="equal">
      <formula>0</formula>
    </cfRule>
  </conditionalFormatting>
  <conditionalFormatting sqref="G61:G63">
    <cfRule type="cellIs" dxfId="1" priority="19" operator="equal">
      <formula>0</formula>
    </cfRule>
  </conditionalFormatting>
  <conditionalFormatting sqref="G64:G65">
    <cfRule type="cellIs" dxfId="1" priority="39" operator="equal">
      <formula>0</formula>
    </cfRule>
  </conditionalFormatting>
  <conditionalFormatting sqref="G66:G67">
    <cfRule type="cellIs" dxfId="1" priority="18" operator="equal">
      <formula>0</formula>
    </cfRule>
  </conditionalFormatting>
  <conditionalFormatting sqref="G73:G77">
    <cfRule type="cellIs" dxfId="1" priority="38" operator="equal">
      <formula>0</formula>
    </cfRule>
  </conditionalFormatting>
  <conditionalFormatting sqref="G82:G84">
    <cfRule type="cellIs" dxfId="1" priority="37" operator="equal">
      <formula>0</formula>
    </cfRule>
  </conditionalFormatting>
  <conditionalFormatting sqref="G99:G100">
    <cfRule type="cellIs" dxfId="1" priority="11" operator="equal">
      <formula>0</formula>
    </cfRule>
  </conditionalFormatting>
  <conditionalFormatting sqref="G103:G104">
    <cfRule type="cellIs" dxfId="1" priority="10" operator="equal">
      <formula>0</formula>
    </cfRule>
  </conditionalFormatting>
  <conditionalFormatting sqref="G20 G22:G23">
    <cfRule type="cellIs" dxfId="1" priority="43" operator="equal">
      <formula>0</formula>
    </cfRule>
  </conditionalFormatting>
  <conditionalFormatting sqref="G41:G42 G44:G51">
    <cfRule type="cellIs" dxfId="1" priority="41" operator="equal">
      <formula>0</formula>
    </cfRule>
  </conditionalFormatting>
  <conditionalFormatting sqref="G55 G57">
    <cfRule type="cellIs" dxfId="1" priority="40" operator="equal">
      <formula>0</formula>
    </cfRule>
  </conditionalFormatting>
  <conditionalFormatting sqref="C68:C127 C129:C131">
    <cfRule type="cellIs" dxfId="1" priority="48" operator="equal">
      <formula>0</formula>
    </cfRule>
    <cfRule type="cellIs" dxfId="1" priority="47" operator="equal">
      <formula>0</formula>
    </cfRule>
  </conditionalFormatting>
  <conditionalFormatting sqref="G89 G91:G97">
    <cfRule type="cellIs" dxfId="1" priority="36" operator="equal">
      <formula>0</formula>
    </cfRule>
  </conditionalFormatting>
  <conditionalFormatting sqref="G106:G107 G109:G110 G112:G116 G118:G120">
    <cfRule type="cellIs" dxfId="1" priority="35" operator="equal">
      <formula>0</formula>
    </cfRule>
  </conditionalFormatting>
  <printOptions gridLines="1"/>
  <pageMargins left="0.393055555555556" right="0.393055555555556" top="0.590277777777778" bottom="0.393055555555556" header="0.298611111111111" footer="0.298611111111111"/>
  <pageSetup paperSize="9" scale="62" fitToHeight="0" orientation="portrait" horizontalDpi="600"/>
  <headerFooter/>
  <rowBreaks count="3" manualBreakCount="3">
    <brk id="33" max="16383" man="1"/>
    <brk id="67" max="16383" man="1"/>
    <brk id="10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32"/>
  <sheetViews>
    <sheetView view="pageBreakPreview" zoomScaleNormal="100" topLeftCell="A13" workbookViewId="0">
      <selection activeCell="I113" sqref="I113"/>
    </sheetView>
  </sheetViews>
  <sheetFormatPr defaultColWidth="9" defaultRowHeight="23" customHeight="1"/>
  <cols>
    <col min="1" max="1" width="5.25" style="17" customWidth="1"/>
    <col min="2" max="2" width="7.75" style="17" customWidth="1"/>
    <col min="3" max="3" width="10.1083333333333" style="17" customWidth="1"/>
    <col min="4" max="4" width="12.25" style="17" customWidth="1"/>
    <col min="5" max="5" width="7.375" style="17" customWidth="1"/>
    <col min="6" max="6" width="7" style="17" customWidth="1"/>
    <col min="7" max="7" width="7.125" style="18" customWidth="1"/>
    <col min="8" max="8" width="6.375" style="18" customWidth="1"/>
    <col min="9" max="11" width="9" style="17"/>
    <col min="12" max="12" width="6.75" style="17" customWidth="1"/>
    <col min="13" max="13" width="5.75" style="17" customWidth="1"/>
    <col min="14" max="14" width="6" style="17" customWidth="1"/>
    <col min="15" max="15" width="7.89166666666667" style="17" customWidth="1"/>
    <col min="16" max="17" width="9" style="17"/>
    <col min="18" max="18" width="11" style="18" customWidth="1"/>
    <col min="19" max="19" width="11.775" style="19"/>
    <col min="20" max="16384" width="9" style="2"/>
  </cols>
  <sheetData>
    <row r="1" customHeight="1" spans="1:18">
      <c r="A1" s="20" t="s">
        <v>283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customFormat="1" customHeight="1" spans="1:19">
      <c r="A2" s="21" t="s">
        <v>1</v>
      </c>
      <c r="B2" s="21"/>
      <c r="C2" s="21"/>
      <c r="D2" s="21"/>
      <c r="E2" s="22"/>
      <c r="F2" s="17"/>
      <c r="G2" s="18"/>
      <c r="H2" s="18"/>
      <c r="I2" s="17"/>
      <c r="J2" s="17"/>
      <c r="K2" s="17"/>
      <c r="L2" s="17"/>
      <c r="M2" s="17"/>
      <c r="N2" s="17"/>
      <c r="O2" s="28" t="s">
        <v>2</v>
      </c>
      <c r="P2" s="28"/>
      <c r="Q2" s="28"/>
      <c r="R2" s="29"/>
      <c r="S2" s="30"/>
    </row>
    <row r="3" s="1" customFormat="1" ht="40" customHeight="1" spans="1:19">
      <c r="A3" s="23" t="s">
        <v>3</v>
      </c>
      <c r="B3" s="23" t="s">
        <v>4</v>
      </c>
      <c r="C3" s="23" t="s">
        <v>5</v>
      </c>
      <c r="D3" s="24" t="s">
        <v>284</v>
      </c>
      <c r="E3" s="25" t="s">
        <v>7</v>
      </c>
      <c r="F3" s="25" t="s">
        <v>8</v>
      </c>
      <c r="G3" s="25" t="s">
        <v>9</v>
      </c>
      <c r="H3" s="25" t="s">
        <v>10</v>
      </c>
      <c r="I3" s="25" t="s">
        <v>11</v>
      </c>
      <c r="J3" s="25" t="s">
        <v>12</v>
      </c>
      <c r="K3" s="25" t="s">
        <v>13</v>
      </c>
      <c r="L3" s="25" t="s">
        <v>14</v>
      </c>
      <c r="M3" s="25" t="s">
        <v>15</v>
      </c>
      <c r="N3" s="25" t="s">
        <v>16</v>
      </c>
      <c r="O3" s="25" t="s">
        <v>17</v>
      </c>
      <c r="P3" s="25" t="s">
        <v>18</v>
      </c>
      <c r="Q3" s="24" t="s">
        <v>285</v>
      </c>
      <c r="R3" s="31" t="s">
        <v>286</v>
      </c>
      <c r="S3" s="31" t="s">
        <v>19</v>
      </c>
    </row>
    <row r="4" s="2" customFormat="1" customHeight="1" spans="1:19">
      <c r="A4" s="23">
        <v>1</v>
      </c>
      <c r="B4" s="23" t="s">
        <v>20</v>
      </c>
      <c r="C4" s="10" t="s">
        <v>21</v>
      </c>
      <c r="D4" s="23">
        <v>2522.61</v>
      </c>
      <c r="E4" s="23"/>
      <c r="F4" s="26"/>
      <c r="G4" s="27"/>
      <c r="H4" s="27"/>
      <c r="I4" s="26"/>
      <c r="J4" s="26">
        <v>264.02</v>
      </c>
      <c r="K4" s="26"/>
      <c r="L4" s="26"/>
      <c r="M4" s="26"/>
      <c r="N4" s="26"/>
      <c r="O4" s="26">
        <v>931.06</v>
      </c>
      <c r="P4" s="26">
        <v>0</v>
      </c>
      <c r="Q4" s="26">
        <f>SUM(E4:P4)</f>
        <v>1195.08</v>
      </c>
      <c r="R4" s="27">
        <f>Q4+'2023年 '!Q4+'2022年 '!Q4+'2021年 '!Q4+'2020年 '!Q4+'2019年 '!Q4+'2018年'!Q4</f>
        <v>2889.5</v>
      </c>
      <c r="S4" s="32">
        <f>R4-D4</f>
        <v>366.89</v>
      </c>
    </row>
    <row r="5" s="2" customFormat="1" customHeight="1" spans="1:19">
      <c r="A5" s="23">
        <v>2</v>
      </c>
      <c r="B5" s="23" t="s">
        <v>22</v>
      </c>
      <c r="C5" s="10" t="s">
        <v>23</v>
      </c>
      <c r="D5" s="23">
        <v>2522.61</v>
      </c>
      <c r="E5" s="23"/>
      <c r="F5" s="26"/>
      <c r="G5" s="27"/>
      <c r="H5" s="27"/>
      <c r="I5" s="26">
        <v>264.02</v>
      </c>
      <c r="J5" s="26"/>
      <c r="K5" s="26"/>
      <c r="L5" s="26"/>
      <c r="M5" s="26"/>
      <c r="N5" s="26"/>
      <c r="O5" s="26">
        <v>931.06</v>
      </c>
      <c r="P5" s="26">
        <v>0</v>
      </c>
      <c r="Q5" s="26">
        <f t="shared" ref="Q5:Q36" si="0">SUM(E5:P5)</f>
        <v>1195.08</v>
      </c>
      <c r="R5" s="27">
        <f>Q5+'2023年 '!Q5+'2022年 '!Q5+'2021年 '!Q5+'2020年 '!Q5+'2019年 '!Q5+'2018年'!Q5</f>
        <v>3038.65</v>
      </c>
      <c r="S5" s="32">
        <f t="shared" ref="S5:S36" si="1">R5-D5</f>
        <v>516.04</v>
      </c>
    </row>
    <row r="6" s="2" customFormat="1" customHeight="1" spans="1:19">
      <c r="A6" s="23">
        <v>3</v>
      </c>
      <c r="B6" s="23" t="s">
        <v>24</v>
      </c>
      <c r="C6" s="10" t="s">
        <v>25</v>
      </c>
      <c r="D6" s="23">
        <v>2522.61</v>
      </c>
      <c r="E6" s="23"/>
      <c r="F6" s="26"/>
      <c r="G6" s="27"/>
      <c r="H6" s="27"/>
      <c r="I6" s="26">
        <v>264.02</v>
      </c>
      <c r="J6" s="26"/>
      <c r="K6" s="26"/>
      <c r="L6" s="26"/>
      <c r="M6" s="26"/>
      <c r="N6" s="26"/>
      <c r="O6" s="26">
        <v>931.06</v>
      </c>
      <c r="P6" s="26">
        <v>0</v>
      </c>
      <c r="Q6" s="26">
        <f t="shared" si="0"/>
        <v>1195.08</v>
      </c>
      <c r="R6" s="27">
        <f>Q6+'2023年 '!Q6+'2022年 '!Q6+'2021年 '!Q6+'2020年 '!Q6+'2019年 '!Q6+'2018年'!Q6</f>
        <v>3038.65</v>
      </c>
      <c r="S6" s="32">
        <f t="shared" si="1"/>
        <v>516.04</v>
      </c>
    </row>
    <row r="7" s="2" customFormat="1" customHeight="1" spans="1:19">
      <c r="A7" s="23">
        <v>4</v>
      </c>
      <c r="B7" s="23" t="s">
        <v>26</v>
      </c>
      <c r="C7" s="10" t="s">
        <v>27</v>
      </c>
      <c r="D7" s="23">
        <v>2522.61</v>
      </c>
      <c r="E7" s="23">
        <v>366.96</v>
      </c>
      <c r="F7" s="26"/>
      <c r="G7" s="27"/>
      <c r="H7" s="27"/>
      <c r="I7" s="26"/>
      <c r="J7" s="26">
        <v>264.02</v>
      </c>
      <c r="K7" s="26"/>
      <c r="L7" s="26"/>
      <c r="M7" s="26"/>
      <c r="N7" s="26"/>
      <c r="O7" s="26">
        <v>931.06</v>
      </c>
      <c r="P7" s="26">
        <v>0</v>
      </c>
      <c r="Q7" s="26">
        <f t="shared" si="0"/>
        <v>1562.04</v>
      </c>
      <c r="R7" s="27">
        <f>Q7+'2023年 '!Q7+'2022年 '!Q7+'2021年 '!Q7+'2020年 '!Q7+'2019年 '!Q7+'2018年'!Q7</f>
        <v>3187.86</v>
      </c>
      <c r="S7" s="32">
        <f t="shared" si="1"/>
        <v>665.25</v>
      </c>
    </row>
    <row r="8" s="2" customFormat="1" customHeight="1" spans="1:19">
      <c r="A8" s="23">
        <v>5</v>
      </c>
      <c r="B8" s="23" t="s">
        <v>28</v>
      </c>
      <c r="C8" s="10" t="s">
        <v>29</v>
      </c>
      <c r="D8" s="23">
        <v>2522.61</v>
      </c>
      <c r="E8" s="23"/>
      <c r="F8" s="26"/>
      <c r="G8" s="27"/>
      <c r="H8" s="27"/>
      <c r="I8" s="26">
        <v>264.02</v>
      </c>
      <c r="J8" s="26"/>
      <c r="K8" s="26"/>
      <c r="L8" s="26"/>
      <c r="M8" s="26"/>
      <c r="N8" s="26"/>
      <c r="O8" s="26">
        <v>931.06</v>
      </c>
      <c r="P8" s="26">
        <v>0</v>
      </c>
      <c r="Q8" s="26">
        <f t="shared" si="0"/>
        <v>1195.08</v>
      </c>
      <c r="R8" s="27">
        <f>Q8+'2023年 '!Q8+'2022年 '!Q8+'2021年 '!Q8+'2020年 '!Q8+'2019年 '!Q8+'2018年'!Q8</f>
        <v>3038.68</v>
      </c>
      <c r="S8" s="32">
        <f t="shared" si="1"/>
        <v>516.07</v>
      </c>
    </row>
    <row r="9" s="2" customFormat="1" customHeight="1" spans="1:19">
      <c r="A9" s="23">
        <v>6</v>
      </c>
      <c r="B9" s="23" t="s">
        <v>30</v>
      </c>
      <c r="C9" s="10" t="s">
        <v>31</v>
      </c>
      <c r="D9" s="23">
        <v>2522.61</v>
      </c>
      <c r="E9" s="23"/>
      <c r="F9" s="26"/>
      <c r="G9" s="27"/>
      <c r="H9" s="27"/>
      <c r="I9" s="26"/>
      <c r="J9" s="26"/>
      <c r="K9" s="26">
        <v>264.02</v>
      </c>
      <c r="L9" s="26"/>
      <c r="M9" s="26"/>
      <c r="N9" s="26"/>
      <c r="O9" s="26">
        <v>931.06</v>
      </c>
      <c r="P9" s="26">
        <v>0</v>
      </c>
      <c r="Q9" s="26">
        <f t="shared" si="0"/>
        <v>1195.08</v>
      </c>
      <c r="R9" s="27">
        <f>Q9+'2023年 '!Q9+'2022年 '!Q9+'2021年 '!Q9+'2020年 '!Q9+'2019年 '!Q9+'2018年'!Q9</f>
        <v>3038.65</v>
      </c>
      <c r="S9" s="32">
        <f t="shared" si="1"/>
        <v>516.04</v>
      </c>
    </row>
    <row r="10" s="2" customFormat="1" customHeight="1" spans="1:19">
      <c r="A10" s="23">
        <v>7</v>
      </c>
      <c r="B10" s="23" t="s">
        <v>32</v>
      </c>
      <c r="C10" s="10" t="s">
        <v>33</v>
      </c>
      <c r="D10" s="23">
        <v>2522.61</v>
      </c>
      <c r="E10" s="23"/>
      <c r="F10" s="26"/>
      <c r="G10" s="27"/>
      <c r="H10" s="27"/>
      <c r="I10" s="26">
        <v>264.02</v>
      </c>
      <c r="J10" s="26"/>
      <c r="K10" s="26"/>
      <c r="L10" s="26"/>
      <c r="M10" s="26"/>
      <c r="N10" s="26"/>
      <c r="O10" s="26">
        <v>931.06</v>
      </c>
      <c r="P10" s="26">
        <v>0</v>
      </c>
      <c r="Q10" s="26">
        <f t="shared" si="0"/>
        <v>1195.08</v>
      </c>
      <c r="R10" s="27">
        <f>Q10+'2023年 '!Q10+'2022年 '!Q10+'2021年 '!Q10+'2020年 '!Q10+'2019年 '!Q10+'2018年'!Q10</f>
        <v>3038.65</v>
      </c>
      <c r="S10" s="32">
        <f t="shared" si="1"/>
        <v>516.04</v>
      </c>
    </row>
    <row r="11" s="2" customFormat="1" customHeight="1" spans="1:19">
      <c r="A11" s="23">
        <v>8</v>
      </c>
      <c r="B11" s="23" t="s">
        <v>34</v>
      </c>
      <c r="C11" s="10" t="s">
        <v>35</v>
      </c>
      <c r="D11" s="23">
        <v>2522.61</v>
      </c>
      <c r="E11" s="23"/>
      <c r="F11" s="26"/>
      <c r="G11" s="27"/>
      <c r="H11" s="27"/>
      <c r="I11" s="26"/>
      <c r="J11" s="26">
        <v>264.02</v>
      </c>
      <c r="K11" s="26"/>
      <c r="L11" s="26"/>
      <c r="M11" s="26"/>
      <c r="N11" s="26"/>
      <c r="O11" s="26">
        <v>931.06</v>
      </c>
      <c r="P11" s="26">
        <v>0</v>
      </c>
      <c r="Q11" s="26">
        <f t="shared" si="0"/>
        <v>1195.08</v>
      </c>
      <c r="R11" s="27">
        <f>Q11+'2023年 '!Q11+'2022年 '!Q11+'2021年 '!Q11+'2020年 '!Q11+'2019年 '!Q11+'2018年'!Q11</f>
        <v>3054.31</v>
      </c>
      <c r="S11" s="32">
        <f t="shared" si="1"/>
        <v>531.7</v>
      </c>
    </row>
    <row r="12" s="2" customFormat="1" customHeight="1" spans="1:19">
      <c r="A12" s="23">
        <v>9</v>
      </c>
      <c r="B12" s="23" t="s">
        <v>36</v>
      </c>
      <c r="C12" s="10" t="s">
        <v>37</v>
      </c>
      <c r="D12" s="23">
        <v>2522.61</v>
      </c>
      <c r="E12" s="23"/>
      <c r="F12" s="26"/>
      <c r="G12" s="27"/>
      <c r="H12" s="27"/>
      <c r="I12" s="26">
        <v>264.02</v>
      </c>
      <c r="J12" s="26"/>
      <c r="K12" s="26"/>
      <c r="L12" s="26"/>
      <c r="M12" s="26"/>
      <c r="N12" s="26"/>
      <c r="O12" s="26">
        <v>931.06</v>
      </c>
      <c r="P12" s="26">
        <v>0</v>
      </c>
      <c r="Q12" s="26">
        <f t="shared" si="0"/>
        <v>1195.08</v>
      </c>
      <c r="R12" s="27">
        <f>Q12+'2023年 '!Q12+'2022年 '!Q12+'2021年 '!Q12+'2020年 '!Q12+'2019年 '!Q12+'2018年'!Q12</f>
        <v>3187.83</v>
      </c>
      <c r="S12" s="32">
        <f t="shared" si="1"/>
        <v>665.22</v>
      </c>
    </row>
    <row r="13" s="2" customFormat="1" customHeight="1" spans="1:19">
      <c r="A13" s="23">
        <v>10</v>
      </c>
      <c r="B13" s="23" t="s">
        <v>38</v>
      </c>
      <c r="C13" s="10" t="s">
        <v>39</v>
      </c>
      <c r="D13" s="23">
        <v>2092.93</v>
      </c>
      <c r="E13" s="23"/>
      <c r="F13" s="26"/>
      <c r="G13" s="27"/>
      <c r="H13" s="27"/>
      <c r="I13" s="26"/>
      <c r="J13" s="26"/>
      <c r="K13" s="26"/>
      <c r="L13" s="26"/>
      <c r="M13" s="26"/>
      <c r="N13" s="26"/>
      <c r="O13" s="26">
        <v>931.06</v>
      </c>
      <c r="P13" s="26">
        <v>0</v>
      </c>
      <c r="Q13" s="26">
        <f t="shared" si="0"/>
        <v>931.06</v>
      </c>
      <c r="R13" s="27">
        <f>Q13+'2023年 '!Q13+'2022年 '!Q13+'2021年 '!Q13+'2020年 '!Q13+'2019年 '!Q13+'2018年'!Q13</f>
        <v>1645.76</v>
      </c>
      <c r="S13" s="32">
        <f t="shared" si="1"/>
        <v>-447.17</v>
      </c>
    </row>
    <row r="14" s="2" customFormat="1" customHeight="1" spans="1:19">
      <c r="A14" s="23">
        <v>11</v>
      </c>
      <c r="B14" s="23" t="s">
        <v>40</v>
      </c>
      <c r="C14" s="10" t="s">
        <v>41</v>
      </c>
      <c r="D14" s="23">
        <v>1836.62</v>
      </c>
      <c r="E14" s="23"/>
      <c r="F14" s="26"/>
      <c r="G14" s="27"/>
      <c r="H14" s="27"/>
      <c r="I14" s="26"/>
      <c r="J14" s="26"/>
      <c r="K14" s="26"/>
      <c r="L14" s="26"/>
      <c r="M14" s="26">
        <v>264.02</v>
      </c>
      <c r="N14" s="26"/>
      <c r="O14" s="26">
        <v>931.06</v>
      </c>
      <c r="P14" s="26">
        <v>0</v>
      </c>
      <c r="Q14" s="26">
        <f t="shared" si="0"/>
        <v>1195.08</v>
      </c>
      <c r="R14" s="27">
        <f>Q14+'2023年 '!Q14+'2022年 '!Q14+'2021年 '!Q14+'2020年 '!Q14+'2019年 '!Q14+'2018年'!Q14</f>
        <v>2301.49</v>
      </c>
      <c r="S14" s="32">
        <f t="shared" si="1"/>
        <v>464.87</v>
      </c>
    </row>
    <row r="15" s="2" customFormat="1" customHeight="1" spans="1:19">
      <c r="A15" s="23">
        <v>12</v>
      </c>
      <c r="B15" s="23" t="s">
        <v>42</v>
      </c>
      <c r="C15" s="10" t="s">
        <v>43</v>
      </c>
      <c r="D15" s="23">
        <v>2522.61</v>
      </c>
      <c r="E15" s="23"/>
      <c r="F15" s="26"/>
      <c r="G15" s="27"/>
      <c r="H15" s="27"/>
      <c r="I15" s="26">
        <v>264.02</v>
      </c>
      <c r="J15" s="26"/>
      <c r="K15" s="26"/>
      <c r="L15" s="26"/>
      <c r="M15" s="26"/>
      <c r="N15" s="26"/>
      <c r="O15" s="26">
        <v>931.06</v>
      </c>
      <c r="P15" s="26">
        <v>0</v>
      </c>
      <c r="Q15" s="26">
        <f t="shared" si="0"/>
        <v>1195.08</v>
      </c>
      <c r="R15" s="27">
        <f>Q15+'2023年 '!Q15+'2022年 '!Q15+'2021年 '!Q15+'2020年 '!Q15+'2019年 '!Q15+'2018年'!Q15</f>
        <v>3038.65</v>
      </c>
      <c r="S15" s="32">
        <f t="shared" si="1"/>
        <v>516.04</v>
      </c>
    </row>
    <row r="16" s="2" customFormat="1" customHeight="1" spans="1:19">
      <c r="A16" s="23">
        <v>13</v>
      </c>
      <c r="B16" s="23" t="s">
        <v>44</v>
      </c>
      <c r="C16" s="10" t="s">
        <v>45</v>
      </c>
      <c r="D16" s="23">
        <v>2522.61</v>
      </c>
      <c r="E16" s="23"/>
      <c r="F16" s="26"/>
      <c r="G16" s="27"/>
      <c r="H16" s="27"/>
      <c r="I16" s="26"/>
      <c r="J16" s="26"/>
      <c r="K16" s="26">
        <v>264.02</v>
      </c>
      <c r="L16" s="26"/>
      <c r="M16" s="26"/>
      <c r="N16" s="26"/>
      <c r="O16" s="26">
        <v>931.06</v>
      </c>
      <c r="P16" s="26">
        <v>0</v>
      </c>
      <c r="Q16" s="26">
        <f t="shared" si="0"/>
        <v>1195.08</v>
      </c>
      <c r="R16" s="27">
        <f>Q16+'2023年 '!Q16+'2022年 '!Q16+'2021年 '!Q16+'2020年 '!Q16+'2019年 '!Q16+'2018年'!Q16</f>
        <v>3038.65</v>
      </c>
      <c r="S16" s="32">
        <f t="shared" si="1"/>
        <v>516.04</v>
      </c>
    </row>
    <row r="17" s="2" customFormat="1" customHeight="1" spans="1:19">
      <c r="A17" s="23">
        <v>14</v>
      </c>
      <c r="B17" s="23" t="s">
        <v>46</v>
      </c>
      <c r="C17" s="10" t="s">
        <v>47</v>
      </c>
      <c r="D17" s="23">
        <v>170</v>
      </c>
      <c r="E17" s="23"/>
      <c r="F17" s="26"/>
      <c r="G17" s="27"/>
      <c r="H17" s="27"/>
      <c r="I17" s="26"/>
      <c r="J17" s="26"/>
      <c r="K17" s="26"/>
      <c r="L17" s="26"/>
      <c r="M17" s="26"/>
      <c r="N17" s="26"/>
      <c r="O17" s="26">
        <v>170</v>
      </c>
      <c r="P17" s="26">
        <v>0</v>
      </c>
      <c r="Q17" s="26">
        <f t="shared" si="0"/>
        <v>170</v>
      </c>
      <c r="R17" s="27">
        <f>Q17+'2023年 '!Q17+'2022年 '!Q17+'2021年 '!Q17+'2020年 '!Q17+'2019年 '!Q17+'2018年'!Q17</f>
        <v>170</v>
      </c>
      <c r="S17" s="32">
        <f t="shared" si="1"/>
        <v>0</v>
      </c>
    </row>
    <row r="18" s="2" customFormat="1" customHeight="1" spans="1:19">
      <c r="A18" s="23">
        <v>15</v>
      </c>
      <c r="B18" s="23" t="s">
        <v>48</v>
      </c>
      <c r="C18" s="10" t="s">
        <v>49</v>
      </c>
      <c r="D18" s="23">
        <v>170</v>
      </c>
      <c r="E18" s="23"/>
      <c r="F18" s="26"/>
      <c r="G18" s="27"/>
      <c r="H18" s="27"/>
      <c r="I18" s="26"/>
      <c r="J18" s="26"/>
      <c r="K18" s="26"/>
      <c r="L18" s="26"/>
      <c r="M18" s="26"/>
      <c r="N18" s="26"/>
      <c r="O18" s="26">
        <v>170</v>
      </c>
      <c r="P18" s="26">
        <v>0</v>
      </c>
      <c r="Q18" s="26">
        <f t="shared" si="0"/>
        <v>170</v>
      </c>
      <c r="R18" s="27">
        <f>Q18+'2023年 '!Q18+'2022年 '!Q18+'2021年 '!Q18+'2020年 '!Q18+'2019年 '!Q18+'2018年'!Q18</f>
        <v>170</v>
      </c>
      <c r="S18" s="32">
        <f t="shared" si="1"/>
        <v>0</v>
      </c>
    </row>
    <row r="19" s="2" customFormat="1" customHeight="1" spans="1:19">
      <c r="A19" s="23">
        <v>16</v>
      </c>
      <c r="B19" s="23" t="s">
        <v>50</v>
      </c>
      <c r="C19" s="10" t="s">
        <v>51</v>
      </c>
      <c r="D19" s="23">
        <v>2522.61</v>
      </c>
      <c r="E19" s="23"/>
      <c r="F19" s="26"/>
      <c r="G19" s="27"/>
      <c r="H19" s="27"/>
      <c r="I19" s="26">
        <v>264.02</v>
      </c>
      <c r="J19" s="26"/>
      <c r="K19" s="26"/>
      <c r="L19" s="26"/>
      <c r="M19" s="26"/>
      <c r="N19" s="26"/>
      <c r="O19" s="26">
        <v>931.06</v>
      </c>
      <c r="P19" s="26">
        <v>0</v>
      </c>
      <c r="Q19" s="26">
        <f t="shared" si="0"/>
        <v>1195.08</v>
      </c>
      <c r="R19" s="27">
        <f>Q19+'2023年 '!Q19+'2022年 '!Q19+'2021年 '!Q19+'2020年 '!Q19+'2019年 '!Q19+'2018年'!Q19</f>
        <v>3038.65</v>
      </c>
      <c r="S19" s="32">
        <f t="shared" si="1"/>
        <v>516.04</v>
      </c>
    </row>
    <row r="20" s="2" customFormat="1" customHeight="1" spans="1:19">
      <c r="A20" s="23">
        <v>17</v>
      </c>
      <c r="B20" s="23" t="s">
        <v>52</v>
      </c>
      <c r="C20" s="10" t="s">
        <v>53</v>
      </c>
      <c r="D20" s="23">
        <v>2522.61</v>
      </c>
      <c r="E20" s="23"/>
      <c r="F20" s="26"/>
      <c r="G20" s="27"/>
      <c r="H20" s="27"/>
      <c r="I20" s="26"/>
      <c r="J20" s="26"/>
      <c r="K20" s="26"/>
      <c r="L20" s="26"/>
      <c r="M20" s="26"/>
      <c r="N20" s="26"/>
      <c r="O20" s="26">
        <v>931.06</v>
      </c>
      <c r="P20" s="26">
        <v>0</v>
      </c>
      <c r="Q20" s="26">
        <f t="shared" si="0"/>
        <v>931.06</v>
      </c>
      <c r="R20" s="27">
        <f>Q20+'2023年 '!Q20+'2022年 '!Q20+'2021年 '!Q20+'2020年 '!Q20+'2019年 '!Q20+'2018年'!Q20</f>
        <v>2923.81</v>
      </c>
      <c r="S20" s="32">
        <f t="shared" si="1"/>
        <v>401.2</v>
      </c>
    </row>
    <row r="21" s="2" customFormat="1" customHeight="1" spans="1:19">
      <c r="A21" s="23">
        <v>18</v>
      </c>
      <c r="B21" s="23" t="s">
        <v>54</v>
      </c>
      <c r="C21" s="10" t="s">
        <v>55</v>
      </c>
      <c r="D21" s="23">
        <v>2522.61</v>
      </c>
      <c r="E21" s="23"/>
      <c r="F21" s="26"/>
      <c r="G21" s="27"/>
      <c r="H21" s="27"/>
      <c r="I21" s="26">
        <v>264.02</v>
      </c>
      <c r="J21" s="26"/>
      <c r="K21" s="26"/>
      <c r="L21" s="26"/>
      <c r="M21" s="26"/>
      <c r="N21" s="26"/>
      <c r="O21" s="26">
        <v>931.06</v>
      </c>
      <c r="P21" s="26">
        <v>0</v>
      </c>
      <c r="Q21" s="26">
        <f t="shared" si="0"/>
        <v>1195.08</v>
      </c>
      <c r="R21" s="27">
        <f>Q21+'2023年 '!Q21+'2022年 '!Q21+'2021年 '!Q21+'2020年 '!Q21+'2019年 '!Q21+'2018年'!Q21</f>
        <v>2928.73</v>
      </c>
      <c r="S21" s="32">
        <f t="shared" si="1"/>
        <v>406.12</v>
      </c>
    </row>
    <row r="22" s="2" customFormat="1" customHeight="1" spans="1:19">
      <c r="A22" s="23">
        <v>19</v>
      </c>
      <c r="B22" s="23" t="s">
        <v>56</v>
      </c>
      <c r="C22" s="10" t="s">
        <v>57</v>
      </c>
      <c r="D22" s="23">
        <v>2522.61</v>
      </c>
      <c r="E22" s="23"/>
      <c r="F22" s="26"/>
      <c r="G22" s="27"/>
      <c r="H22" s="27"/>
      <c r="I22" s="26">
        <v>264.02</v>
      </c>
      <c r="J22" s="26"/>
      <c r="K22" s="26"/>
      <c r="L22" s="26"/>
      <c r="M22" s="26"/>
      <c r="N22" s="26"/>
      <c r="O22" s="26">
        <v>931.06</v>
      </c>
      <c r="P22" s="26">
        <v>0</v>
      </c>
      <c r="Q22" s="26">
        <f t="shared" si="0"/>
        <v>1195.08</v>
      </c>
      <c r="R22" s="27">
        <f>Q22+'2023年 '!Q22+'2022年 '!Q22+'2021年 '!Q22+'2020年 '!Q22+'2019年 '!Q22+'2018年'!Q22</f>
        <v>3297.78</v>
      </c>
      <c r="S22" s="32">
        <f t="shared" si="1"/>
        <v>775.170000000001</v>
      </c>
    </row>
    <row r="23" s="2" customFormat="1" customHeight="1" spans="1:19">
      <c r="A23" s="23">
        <v>20</v>
      </c>
      <c r="B23" s="23" t="s">
        <v>58</v>
      </c>
      <c r="C23" s="10" t="s">
        <v>59</v>
      </c>
      <c r="D23" s="23">
        <v>2522.61</v>
      </c>
      <c r="E23" s="23"/>
      <c r="F23" s="26"/>
      <c r="G23" s="27"/>
      <c r="H23" s="27"/>
      <c r="I23" s="26">
        <v>264.02</v>
      </c>
      <c r="J23" s="26"/>
      <c r="K23" s="26"/>
      <c r="L23" s="26"/>
      <c r="M23" s="26"/>
      <c r="N23" s="26"/>
      <c r="O23" s="26">
        <v>931.06</v>
      </c>
      <c r="P23" s="26">
        <v>0</v>
      </c>
      <c r="Q23" s="26">
        <f t="shared" si="0"/>
        <v>1195.08</v>
      </c>
      <c r="R23" s="27">
        <f>Q23+'2023年 '!Q23+'2022年 '!Q23+'2021年 '!Q23+'2020年 '!Q23+'2019年 '!Q23+'2018年'!Q23</f>
        <v>3038.68</v>
      </c>
      <c r="S23" s="32">
        <f t="shared" si="1"/>
        <v>516.07</v>
      </c>
    </row>
    <row r="24" s="2" customFormat="1" customHeight="1" spans="1:19">
      <c r="A24" s="23">
        <v>21</v>
      </c>
      <c r="B24" s="23" t="s">
        <v>60</v>
      </c>
      <c r="C24" s="10" t="s">
        <v>61</v>
      </c>
      <c r="D24" s="23">
        <v>2390.67</v>
      </c>
      <c r="E24" s="23"/>
      <c r="F24" s="26"/>
      <c r="G24" s="27"/>
      <c r="H24" s="27"/>
      <c r="I24" s="26"/>
      <c r="J24" s="26"/>
      <c r="K24" s="26"/>
      <c r="L24" s="26"/>
      <c r="M24" s="26"/>
      <c r="N24" s="26">
        <v>104.02</v>
      </c>
      <c r="O24" s="26">
        <v>112</v>
      </c>
      <c r="P24" s="26">
        <v>320</v>
      </c>
      <c r="Q24" s="26">
        <f t="shared" si="0"/>
        <v>536.02</v>
      </c>
      <c r="R24" s="27">
        <f>Q24+'2023年 '!Q24+'2022年 '!Q24+'2021年 '!Q24+'2020年 '!Q24+'2019年 '!Q24+'2018年'!Q24</f>
        <v>2379.59</v>
      </c>
      <c r="S24" s="32">
        <f t="shared" si="1"/>
        <v>-11.0799999999995</v>
      </c>
    </row>
    <row r="25" s="2" customFormat="1" customHeight="1" spans="1:19">
      <c r="A25" s="23">
        <v>22</v>
      </c>
      <c r="B25" s="23" t="s">
        <v>62</v>
      </c>
      <c r="C25" s="10" t="s">
        <v>63</v>
      </c>
      <c r="D25" s="23">
        <v>2522.61</v>
      </c>
      <c r="E25" s="23"/>
      <c r="F25" s="26"/>
      <c r="G25" s="27"/>
      <c r="H25" s="27"/>
      <c r="I25" s="26"/>
      <c r="J25" s="26">
        <v>264.02</v>
      </c>
      <c r="K25" s="26"/>
      <c r="L25" s="26"/>
      <c r="M25" s="26"/>
      <c r="N25" s="26"/>
      <c r="O25" s="26">
        <v>931.06</v>
      </c>
      <c r="P25" s="26">
        <v>0</v>
      </c>
      <c r="Q25" s="26">
        <f t="shared" si="0"/>
        <v>1195.08</v>
      </c>
      <c r="R25" s="27">
        <f>Q25+'2023年 '!Q25+'2022年 '!Q25+'2021年 '!Q25+'2020年 '!Q25+'2019年 '!Q25+'2018年'!Q25</f>
        <v>3172.17</v>
      </c>
      <c r="S25" s="32">
        <f t="shared" si="1"/>
        <v>649.56</v>
      </c>
    </row>
    <row r="26" s="2" customFormat="1" customHeight="1" spans="1:19">
      <c r="A26" s="23">
        <v>23</v>
      </c>
      <c r="B26" s="23" t="s">
        <v>64</v>
      </c>
      <c r="C26" s="10" t="s">
        <v>65</v>
      </c>
      <c r="D26" s="23">
        <v>2522.61</v>
      </c>
      <c r="E26" s="23"/>
      <c r="F26" s="26"/>
      <c r="G26" s="27"/>
      <c r="H26" s="27"/>
      <c r="I26" s="26">
        <v>264.02</v>
      </c>
      <c r="J26" s="26"/>
      <c r="K26" s="26"/>
      <c r="L26" s="26"/>
      <c r="M26" s="26"/>
      <c r="N26" s="26"/>
      <c r="O26" s="26">
        <v>931.06</v>
      </c>
      <c r="P26" s="26">
        <v>0</v>
      </c>
      <c r="Q26" s="26">
        <f t="shared" si="0"/>
        <v>1195.08</v>
      </c>
      <c r="R26" s="27">
        <f>Q26+'2023年 '!Q26+'2022年 '!Q26+'2021年 '!Q26+'2020年 '!Q26+'2019年 '!Q26+'2018年'!Q26</f>
        <v>3038.65</v>
      </c>
      <c r="S26" s="32">
        <f t="shared" si="1"/>
        <v>516.04</v>
      </c>
    </row>
    <row r="27" s="2" customFormat="1" customHeight="1" spans="1:19">
      <c r="A27" s="23">
        <v>24</v>
      </c>
      <c r="B27" s="23" t="s">
        <v>66</v>
      </c>
      <c r="C27" s="10" t="s">
        <v>67</v>
      </c>
      <c r="D27" s="23">
        <v>2522.61</v>
      </c>
      <c r="E27" s="23"/>
      <c r="F27" s="26"/>
      <c r="G27" s="27"/>
      <c r="H27" s="27"/>
      <c r="I27" s="26"/>
      <c r="J27" s="26"/>
      <c r="K27" s="26">
        <v>264.02</v>
      </c>
      <c r="L27" s="26"/>
      <c r="M27" s="26"/>
      <c r="N27" s="26"/>
      <c r="O27" s="26">
        <v>931.06</v>
      </c>
      <c r="P27" s="26">
        <v>0</v>
      </c>
      <c r="Q27" s="26">
        <f t="shared" si="0"/>
        <v>1195.08</v>
      </c>
      <c r="R27" s="27">
        <f>Q27+'2023年 '!Q27+'2022年 '!Q27+'2021年 '!Q27+'2020年 '!Q27+'2019年 '!Q27+'2018年'!Q27</f>
        <v>3038.73</v>
      </c>
      <c r="S27" s="32">
        <f t="shared" si="1"/>
        <v>516.12</v>
      </c>
    </row>
    <row r="28" s="2" customFormat="1" customHeight="1" spans="1:19">
      <c r="A28" s="23">
        <v>25</v>
      </c>
      <c r="B28" s="23" t="s">
        <v>68</v>
      </c>
      <c r="C28" s="10" t="s">
        <v>69</v>
      </c>
      <c r="D28" s="23">
        <v>2522.61</v>
      </c>
      <c r="E28" s="23"/>
      <c r="F28" s="26"/>
      <c r="G28" s="27"/>
      <c r="H28" s="27"/>
      <c r="I28" s="26">
        <v>264.02</v>
      </c>
      <c r="J28" s="26"/>
      <c r="K28" s="26"/>
      <c r="L28" s="26"/>
      <c r="M28" s="26"/>
      <c r="N28" s="26"/>
      <c r="O28" s="26">
        <v>931.06</v>
      </c>
      <c r="P28" s="26">
        <v>0</v>
      </c>
      <c r="Q28" s="26">
        <f t="shared" si="0"/>
        <v>1195.08</v>
      </c>
      <c r="R28" s="27">
        <f>Q28+'2023年 '!Q28+'2022年 '!Q28+'2021年 '!Q28+'2020年 '!Q28+'2019年 '!Q28+'2018年'!Q28</f>
        <v>3038.65</v>
      </c>
      <c r="S28" s="32">
        <f t="shared" si="1"/>
        <v>516.04</v>
      </c>
    </row>
    <row r="29" s="2" customFormat="1" customHeight="1" spans="1:19">
      <c r="A29" s="23">
        <v>26</v>
      </c>
      <c r="B29" s="23" t="s">
        <v>70</v>
      </c>
      <c r="C29" s="12" t="s">
        <v>71</v>
      </c>
      <c r="D29" s="23">
        <v>2522.61</v>
      </c>
      <c r="E29" s="23"/>
      <c r="F29" s="26"/>
      <c r="G29" s="27"/>
      <c r="H29" s="27"/>
      <c r="I29" s="26">
        <v>264.02</v>
      </c>
      <c r="J29" s="26"/>
      <c r="K29" s="26"/>
      <c r="L29" s="26"/>
      <c r="M29" s="26"/>
      <c r="N29" s="26"/>
      <c r="O29" s="26">
        <v>385.93</v>
      </c>
      <c r="P29" s="26">
        <v>545.13</v>
      </c>
      <c r="Q29" s="26">
        <f t="shared" si="0"/>
        <v>1195.08</v>
      </c>
      <c r="R29" s="27">
        <f>Q29+'2023年 '!Q29+'2022年 '!Q29+'2021年 '!Q29+'2020年 '!Q29+'2019年 '!Q29+'2018年'!Q29</f>
        <v>3038.65</v>
      </c>
      <c r="S29" s="32">
        <f t="shared" si="1"/>
        <v>516.04</v>
      </c>
    </row>
    <row r="30" s="2" customFormat="1" customHeight="1" spans="1:19">
      <c r="A30" s="23">
        <v>27</v>
      </c>
      <c r="B30" s="23" t="s">
        <v>72</v>
      </c>
      <c r="C30" s="12" t="s">
        <v>73</v>
      </c>
      <c r="D30" s="23">
        <v>2522.61</v>
      </c>
      <c r="E30" s="23"/>
      <c r="F30" s="26"/>
      <c r="G30" s="27"/>
      <c r="H30" s="27"/>
      <c r="I30" s="26">
        <v>264.02</v>
      </c>
      <c r="J30" s="26"/>
      <c r="K30" s="26"/>
      <c r="L30" s="26"/>
      <c r="M30" s="26"/>
      <c r="N30" s="26"/>
      <c r="O30" s="26">
        <v>931.06</v>
      </c>
      <c r="P30" s="26">
        <v>0</v>
      </c>
      <c r="Q30" s="26">
        <f t="shared" si="0"/>
        <v>1195.08</v>
      </c>
      <c r="R30" s="27">
        <f>Q30+'2023年 '!Q30+'2022年 '!Q30+'2021年 '!Q30+'2020年 '!Q30+'2019年 '!Q30+'2018年'!Q30</f>
        <v>2718.39</v>
      </c>
      <c r="S30" s="32">
        <f t="shared" si="1"/>
        <v>195.78</v>
      </c>
    </row>
    <row r="31" s="2" customFormat="1" customHeight="1" spans="1:19">
      <c r="A31" s="23">
        <v>28</v>
      </c>
      <c r="B31" s="23" t="s">
        <v>74</v>
      </c>
      <c r="C31" s="10" t="s">
        <v>75</v>
      </c>
      <c r="D31" s="23">
        <v>2324.68</v>
      </c>
      <c r="E31" s="23"/>
      <c r="F31" s="26"/>
      <c r="G31" s="27"/>
      <c r="H31" s="27"/>
      <c r="I31" s="26"/>
      <c r="J31" s="26"/>
      <c r="K31" s="26"/>
      <c r="L31" s="26"/>
      <c r="M31" s="26"/>
      <c r="N31" s="26">
        <v>264.02</v>
      </c>
      <c r="O31" s="26">
        <v>931.06</v>
      </c>
      <c r="P31" s="26">
        <v>0</v>
      </c>
      <c r="Q31" s="26">
        <f t="shared" si="0"/>
        <v>1195.08</v>
      </c>
      <c r="R31" s="27">
        <f>Q31+'2023年 '!Q31+'2022年 '!Q31+'2021年 '!Q31+'2020年 '!Q31+'2019年 '!Q31+'2018年'!Q31</f>
        <v>3038.65</v>
      </c>
      <c r="S31" s="32">
        <f t="shared" si="1"/>
        <v>713.97</v>
      </c>
    </row>
    <row r="32" s="2" customFormat="1" customHeight="1" spans="1:19">
      <c r="A32" s="23">
        <v>29</v>
      </c>
      <c r="B32" s="23" t="s">
        <v>80</v>
      </c>
      <c r="C32" s="12" t="s">
        <v>77</v>
      </c>
      <c r="D32" s="23">
        <v>2522.61</v>
      </c>
      <c r="E32" s="23"/>
      <c r="F32" s="26"/>
      <c r="G32" s="27"/>
      <c r="H32" s="27"/>
      <c r="I32" s="26"/>
      <c r="J32" s="26"/>
      <c r="K32" s="26">
        <v>264.02</v>
      </c>
      <c r="L32" s="26"/>
      <c r="M32" s="26"/>
      <c r="N32" s="26"/>
      <c r="O32" s="26">
        <v>931.06</v>
      </c>
      <c r="P32" s="26">
        <v>0</v>
      </c>
      <c r="Q32" s="26">
        <f t="shared" si="0"/>
        <v>1195.08</v>
      </c>
      <c r="R32" s="27">
        <f>Q32+'2023年 '!Q32+'2022年 '!Q32+'2021年 '!Q32+'2020年 '!Q32+'2019年 '!Q32+'2018年'!Q32</f>
        <v>3038.65</v>
      </c>
      <c r="S32" s="32">
        <f t="shared" si="1"/>
        <v>516.04</v>
      </c>
    </row>
    <row r="33" s="2" customFormat="1" customHeight="1" spans="1:19">
      <c r="A33" s="23">
        <v>30</v>
      </c>
      <c r="B33" s="23" t="s">
        <v>82</v>
      </c>
      <c r="C33" s="10" t="s">
        <v>79</v>
      </c>
      <c r="D33" s="23">
        <v>2522.61</v>
      </c>
      <c r="E33" s="23"/>
      <c r="F33" s="26"/>
      <c r="G33" s="27"/>
      <c r="H33" s="27"/>
      <c r="I33" s="26">
        <v>264.02</v>
      </c>
      <c r="J33" s="26"/>
      <c r="K33" s="26"/>
      <c r="L33" s="26"/>
      <c r="M33" s="26"/>
      <c r="N33" s="26"/>
      <c r="O33" s="26">
        <v>931.06</v>
      </c>
      <c r="P33" s="26">
        <v>0</v>
      </c>
      <c r="Q33" s="26">
        <f t="shared" si="0"/>
        <v>1195.08</v>
      </c>
      <c r="R33" s="27">
        <f>Q33+'2023年 '!Q33+'2022年 '!Q33+'2021年 '!Q33+'2020年 '!Q33+'2019年 '!Q33+'2018年'!Q33</f>
        <v>3038.68</v>
      </c>
      <c r="S33" s="32">
        <f t="shared" si="1"/>
        <v>516.07</v>
      </c>
    </row>
    <row r="34" s="2" customFormat="1" customHeight="1" spans="1:19">
      <c r="A34" s="23">
        <v>31</v>
      </c>
      <c r="B34" s="23" t="s">
        <v>76</v>
      </c>
      <c r="C34" s="10" t="s">
        <v>81</v>
      </c>
      <c r="D34" s="23">
        <v>2522.61</v>
      </c>
      <c r="E34" s="23"/>
      <c r="F34" s="26"/>
      <c r="G34" s="27"/>
      <c r="H34" s="27"/>
      <c r="I34" s="26"/>
      <c r="J34" s="26"/>
      <c r="K34" s="26"/>
      <c r="L34" s="26"/>
      <c r="M34" s="26"/>
      <c r="N34" s="26"/>
      <c r="O34" s="26">
        <v>931.06</v>
      </c>
      <c r="P34" s="26">
        <v>0</v>
      </c>
      <c r="Q34" s="26">
        <f t="shared" si="0"/>
        <v>931.06</v>
      </c>
      <c r="R34" s="27">
        <f>Q34+'2023年 '!Q34+'2022年 '!Q34+'2021年 '!Q34+'2020年 '!Q34+'2019年 '!Q34+'2018年'!Q34</f>
        <v>2751.11</v>
      </c>
      <c r="S34" s="32">
        <f t="shared" si="1"/>
        <v>228.5</v>
      </c>
    </row>
    <row r="35" s="2" customFormat="1" customHeight="1" spans="1:19">
      <c r="A35" s="23">
        <v>32</v>
      </c>
      <c r="B35" s="23" t="s">
        <v>78</v>
      </c>
      <c r="C35" s="10" t="s">
        <v>83</v>
      </c>
      <c r="D35" s="23">
        <v>2202.85</v>
      </c>
      <c r="E35" s="23"/>
      <c r="F35" s="26"/>
      <c r="G35" s="27"/>
      <c r="H35" s="27"/>
      <c r="I35" s="26"/>
      <c r="J35" s="26"/>
      <c r="K35" s="26">
        <v>264.02</v>
      </c>
      <c r="L35" s="26"/>
      <c r="M35" s="26"/>
      <c r="N35" s="26"/>
      <c r="O35" s="26">
        <v>0</v>
      </c>
      <c r="P35" s="26">
        <v>0</v>
      </c>
      <c r="Q35" s="26">
        <f t="shared" si="0"/>
        <v>264.02</v>
      </c>
      <c r="R35" s="27">
        <f>Q35+'2023年 '!Q35+'2022年 '!Q35+'2021年 '!Q35+'2020年 '!Q35+'2019年 '!Q35+'2018年'!Q35</f>
        <v>1389.09</v>
      </c>
      <c r="S35" s="32">
        <f t="shared" si="1"/>
        <v>-813.76</v>
      </c>
    </row>
    <row r="36" s="2" customFormat="1" customHeight="1" spans="1:19">
      <c r="A36" s="23">
        <v>33</v>
      </c>
      <c r="B36" s="23" t="s">
        <v>84</v>
      </c>
      <c r="C36" s="10" t="s">
        <v>85</v>
      </c>
      <c r="D36" s="23">
        <v>170</v>
      </c>
      <c r="E36" s="23"/>
      <c r="F36" s="26"/>
      <c r="G36" s="27"/>
      <c r="H36" s="27"/>
      <c r="I36" s="26"/>
      <c r="J36" s="26"/>
      <c r="K36" s="26"/>
      <c r="L36" s="26"/>
      <c r="M36" s="26"/>
      <c r="N36" s="26"/>
      <c r="O36" s="26">
        <v>170</v>
      </c>
      <c r="P36" s="26">
        <v>0</v>
      </c>
      <c r="Q36" s="26">
        <f t="shared" si="0"/>
        <v>170</v>
      </c>
      <c r="R36" s="27">
        <f>Q36+'2023年 '!Q36+'2022年 '!Q36+'2021年 '!Q36+'2020年 '!Q36+'2019年 '!Q36+'2018年'!Q36</f>
        <v>170</v>
      </c>
      <c r="S36" s="32">
        <f t="shared" si="1"/>
        <v>0</v>
      </c>
    </row>
    <row r="37" s="2" customFormat="1" customHeight="1" spans="1:19">
      <c r="A37" s="23">
        <v>34</v>
      </c>
      <c r="B37" s="23" t="s">
        <v>86</v>
      </c>
      <c r="C37" s="10" t="s">
        <v>87</v>
      </c>
      <c r="D37" s="23">
        <v>2522.61</v>
      </c>
      <c r="E37" s="23"/>
      <c r="F37" s="26"/>
      <c r="G37" s="27"/>
      <c r="H37" s="27"/>
      <c r="I37" s="26">
        <v>264.02</v>
      </c>
      <c r="J37" s="26"/>
      <c r="K37" s="26"/>
      <c r="L37" s="26"/>
      <c r="M37" s="26"/>
      <c r="N37" s="26"/>
      <c r="O37" s="26">
        <v>931.06</v>
      </c>
      <c r="P37" s="26">
        <v>0</v>
      </c>
      <c r="Q37" s="26">
        <f t="shared" ref="Q37:Q68" si="2">SUM(E37:P37)</f>
        <v>1195.08</v>
      </c>
      <c r="R37" s="27">
        <f>Q37+'2023年 '!Q37+'2022年 '!Q37+'2021年 '!Q37+'2020年 '!Q37+'2019年 '!Q37+'2018年'!Q37</f>
        <v>3038.65</v>
      </c>
      <c r="S37" s="32">
        <f t="shared" ref="S37:S68" si="3">R37-D37</f>
        <v>516.04</v>
      </c>
    </row>
    <row r="38" s="2" customFormat="1" customHeight="1" spans="1:19">
      <c r="A38" s="23">
        <v>35</v>
      </c>
      <c r="B38" s="23" t="s">
        <v>88</v>
      </c>
      <c r="C38" s="12" t="s">
        <v>89</v>
      </c>
      <c r="D38" s="23">
        <v>2522.61</v>
      </c>
      <c r="E38" s="23"/>
      <c r="F38" s="26"/>
      <c r="G38" s="27"/>
      <c r="H38" s="27"/>
      <c r="I38" s="26"/>
      <c r="J38" s="26"/>
      <c r="K38" s="26"/>
      <c r="L38" s="26">
        <v>264.02</v>
      </c>
      <c r="M38" s="26"/>
      <c r="N38" s="26"/>
      <c r="O38" s="26">
        <v>931.06</v>
      </c>
      <c r="P38" s="26">
        <v>0</v>
      </c>
      <c r="Q38" s="26">
        <f t="shared" si="2"/>
        <v>1195.08</v>
      </c>
      <c r="R38" s="27">
        <f>Q38+'2023年 '!Q38+'2022年 '!Q38+'2021年 '!Q38+'2020年 '!Q38+'2019年 '!Q38+'2018年'!Q38</f>
        <v>3038.65</v>
      </c>
      <c r="S38" s="32">
        <f t="shared" si="3"/>
        <v>516.04</v>
      </c>
    </row>
    <row r="39" s="2" customFormat="1" customHeight="1" spans="1:19">
      <c r="A39" s="23">
        <v>36</v>
      </c>
      <c r="B39" s="23" t="s">
        <v>90</v>
      </c>
      <c r="C39" s="10" t="s">
        <v>91</v>
      </c>
      <c r="D39" s="23">
        <v>2522.61</v>
      </c>
      <c r="E39" s="23"/>
      <c r="F39" s="26"/>
      <c r="G39" s="27"/>
      <c r="H39" s="27"/>
      <c r="I39" s="26"/>
      <c r="J39" s="26"/>
      <c r="K39" s="26"/>
      <c r="L39" s="26"/>
      <c r="M39" s="26"/>
      <c r="N39" s="26"/>
      <c r="O39" s="26">
        <v>931.06</v>
      </c>
      <c r="P39" s="26">
        <v>0</v>
      </c>
      <c r="Q39" s="26">
        <f t="shared" si="2"/>
        <v>931.06</v>
      </c>
      <c r="R39" s="27">
        <f>Q39+'2023年 '!Q39+'2022年 '!Q39+'2021年 '!Q39+'2020年 '!Q39+'2019年 '!Q39+'2018年'!Q39</f>
        <v>2774.63</v>
      </c>
      <c r="S39" s="32">
        <f t="shared" si="3"/>
        <v>252.02</v>
      </c>
    </row>
    <row r="40" s="2" customFormat="1" customHeight="1" spans="1:19">
      <c r="A40" s="23">
        <v>37</v>
      </c>
      <c r="B40" s="23" t="s">
        <v>92</v>
      </c>
      <c r="C40" s="10" t="s">
        <v>93</v>
      </c>
      <c r="D40" s="23">
        <v>2522.61</v>
      </c>
      <c r="E40" s="23"/>
      <c r="F40" s="26"/>
      <c r="G40" s="27"/>
      <c r="H40" s="27"/>
      <c r="I40" s="26"/>
      <c r="J40" s="26">
        <v>200</v>
      </c>
      <c r="K40" s="26"/>
      <c r="L40" s="26"/>
      <c r="M40" s="26"/>
      <c r="N40" s="26"/>
      <c r="O40" s="26">
        <v>931.06</v>
      </c>
      <c r="P40" s="26">
        <v>0</v>
      </c>
      <c r="Q40" s="26">
        <f t="shared" si="2"/>
        <v>1131.06</v>
      </c>
      <c r="R40" s="27">
        <f>Q40+'2023年 '!Q40+'2022年 '!Q40+'2021年 '!Q40+'2020年 '!Q40+'2019年 '!Q40+'2018年'!Q40</f>
        <v>3084.55</v>
      </c>
      <c r="S40" s="32">
        <f t="shared" si="3"/>
        <v>561.940000000001</v>
      </c>
    </row>
    <row r="41" s="2" customFormat="1" customHeight="1" spans="1:19">
      <c r="A41" s="23">
        <v>38</v>
      </c>
      <c r="B41" s="23" t="s">
        <v>94</v>
      </c>
      <c r="C41" s="10" t="s">
        <v>95</v>
      </c>
      <c r="D41" s="23">
        <v>2522.61</v>
      </c>
      <c r="E41" s="23"/>
      <c r="F41" s="26"/>
      <c r="G41" s="27"/>
      <c r="H41" s="27"/>
      <c r="I41" s="26">
        <v>264.02</v>
      </c>
      <c r="J41" s="26"/>
      <c r="K41" s="26"/>
      <c r="L41" s="26"/>
      <c r="M41" s="26"/>
      <c r="N41" s="26"/>
      <c r="O41" s="26">
        <v>931.06</v>
      </c>
      <c r="P41" s="26">
        <v>0</v>
      </c>
      <c r="Q41" s="26">
        <f t="shared" si="2"/>
        <v>1195.08</v>
      </c>
      <c r="R41" s="27">
        <f>Q41+'2023年 '!Q41+'2022年 '!Q41+'2021年 '!Q41+'2020年 '!Q41+'2019年 '!Q41+'2018年'!Q41</f>
        <v>3187.83</v>
      </c>
      <c r="S41" s="32">
        <f t="shared" si="3"/>
        <v>665.22</v>
      </c>
    </row>
    <row r="42" s="2" customFormat="1" customHeight="1" spans="1:19">
      <c r="A42" s="23">
        <v>39</v>
      </c>
      <c r="B42" s="23" t="s">
        <v>96</v>
      </c>
      <c r="C42" s="10" t="s">
        <v>97</v>
      </c>
      <c r="D42" s="23">
        <v>2522.61</v>
      </c>
      <c r="E42" s="23"/>
      <c r="F42" s="26"/>
      <c r="G42" s="27"/>
      <c r="H42" s="27"/>
      <c r="I42" s="26">
        <v>264.02</v>
      </c>
      <c r="J42" s="26"/>
      <c r="K42" s="26"/>
      <c r="L42" s="26"/>
      <c r="M42" s="26"/>
      <c r="N42" s="26"/>
      <c r="O42" s="26">
        <v>931.06</v>
      </c>
      <c r="P42" s="26">
        <v>500</v>
      </c>
      <c r="Q42" s="26">
        <f t="shared" si="2"/>
        <v>1695.08</v>
      </c>
      <c r="R42" s="27">
        <f>Q42+'2023年 '!Q42+'2022年 '!Q42+'2021年 '!Q42+'2020年 '!Q42+'2019年 '!Q42+'2018年'!Q42</f>
        <v>3672.2</v>
      </c>
      <c r="S42" s="32">
        <f t="shared" si="3"/>
        <v>1149.59</v>
      </c>
    </row>
    <row r="43" s="2" customFormat="1" customHeight="1" spans="1:19">
      <c r="A43" s="23">
        <v>40</v>
      </c>
      <c r="B43" s="23" t="s">
        <v>98</v>
      </c>
      <c r="C43" s="10" t="s">
        <v>99</v>
      </c>
      <c r="D43" s="23">
        <v>2522.61</v>
      </c>
      <c r="E43" s="23"/>
      <c r="F43" s="26"/>
      <c r="G43" s="27"/>
      <c r="H43" s="27"/>
      <c r="I43" s="26"/>
      <c r="J43" s="26">
        <v>264.02</v>
      </c>
      <c r="K43" s="26"/>
      <c r="L43" s="26"/>
      <c r="M43" s="26"/>
      <c r="N43" s="26"/>
      <c r="O43" s="26">
        <v>931.06</v>
      </c>
      <c r="P43" s="26">
        <v>0</v>
      </c>
      <c r="Q43" s="26">
        <f t="shared" si="2"/>
        <v>1195.08</v>
      </c>
      <c r="R43" s="27">
        <f>Q43+'2023年 '!Q43+'2022年 '!Q43+'2021年 '!Q43+'2020年 '!Q43+'2019年 '!Q43+'2018年'!Q43</f>
        <v>2828.31</v>
      </c>
      <c r="S43" s="32">
        <f t="shared" si="3"/>
        <v>305.7</v>
      </c>
    </row>
    <row r="44" s="2" customFormat="1" customHeight="1" spans="1:19">
      <c r="A44" s="23">
        <v>41</v>
      </c>
      <c r="B44" s="23" t="s">
        <v>100</v>
      </c>
      <c r="C44" s="10" t="s">
        <v>101</v>
      </c>
      <c r="D44" s="23">
        <v>2522.61</v>
      </c>
      <c r="E44" s="23"/>
      <c r="F44" s="26"/>
      <c r="G44" s="27"/>
      <c r="H44" s="27"/>
      <c r="I44" s="26">
        <v>264.02</v>
      </c>
      <c r="J44" s="26"/>
      <c r="K44" s="26"/>
      <c r="L44" s="26"/>
      <c r="M44" s="26"/>
      <c r="N44" s="26"/>
      <c r="O44" s="26">
        <v>931.06</v>
      </c>
      <c r="P44" s="26">
        <v>0</v>
      </c>
      <c r="Q44" s="26">
        <f t="shared" si="2"/>
        <v>1195.08</v>
      </c>
      <c r="R44" s="27">
        <f>Q44+'2023年 '!Q44+'2022年 '!Q44+'2021年 '!Q44+'2020年 '!Q44+'2019年 '!Q44+'2018年'!Q44</f>
        <v>3038.68</v>
      </c>
      <c r="S44" s="32">
        <f t="shared" si="3"/>
        <v>516.07</v>
      </c>
    </row>
    <row r="45" s="2" customFormat="1" customHeight="1" spans="1:19">
      <c r="A45" s="23">
        <v>42</v>
      </c>
      <c r="B45" s="23" t="s">
        <v>102</v>
      </c>
      <c r="C45" s="10" t="s">
        <v>103</v>
      </c>
      <c r="D45" s="23">
        <v>2456.62</v>
      </c>
      <c r="E45" s="23"/>
      <c r="F45" s="26"/>
      <c r="G45" s="27"/>
      <c r="H45" s="27"/>
      <c r="I45" s="26">
        <v>264.02</v>
      </c>
      <c r="J45" s="26"/>
      <c r="K45" s="26"/>
      <c r="L45" s="26"/>
      <c r="M45" s="26"/>
      <c r="N45" s="26"/>
      <c r="O45" s="26">
        <v>931.06</v>
      </c>
      <c r="P45" s="26">
        <v>600</v>
      </c>
      <c r="Q45" s="26">
        <f t="shared" si="2"/>
        <v>1795.08</v>
      </c>
      <c r="R45" s="27">
        <f>Q45+'2023年 '!Q45+'2022年 '!Q45+'2021年 '!Q45+'2020年 '!Q45+'2019年 '!Q45+'2018年'!Q45</f>
        <v>3638.65</v>
      </c>
      <c r="S45" s="32">
        <f t="shared" si="3"/>
        <v>1182.03</v>
      </c>
    </row>
    <row r="46" s="2" customFormat="1" customHeight="1" spans="1:19">
      <c r="A46" s="23">
        <v>43</v>
      </c>
      <c r="B46" s="23" t="s">
        <v>104</v>
      </c>
      <c r="C46" s="10" t="s">
        <v>105</v>
      </c>
      <c r="D46" s="23">
        <v>2522.61</v>
      </c>
      <c r="E46" s="23"/>
      <c r="F46" s="26"/>
      <c r="G46" s="27"/>
      <c r="H46" s="27"/>
      <c r="I46" s="26"/>
      <c r="J46" s="26"/>
      <c r="K46" s="26"/>
      <c r="L46" s="26"/>
      <c r="M46" s="26"/>
      <c r="N46" s="26"/>
      <c r="O46" s="26">
        <v>931.06</v>
      </c>
      <c r="P46" s="26">
        <v>0</v>
      </c>
      <c r="Q46" s="26">
        <f t="shared" si="2"/>
        <v>931.06</v>
      </c>
      <c r="R46" s="27">
        <f>Q46+'2023年 '!Q46+'2022年 '!Q46+'2021年 '!Q46+'2020年 '!Q46+'2019年 '!Q46+'2018年'!Q46</f>
        <v>3030.94</v>
      </c>
      <c r="S46" s="32">
        <f t="shared" si="3"/>
        <v>508.33</v>
      </c>
    </row>
    <row r="47" s="2" customFormat="1" customHeight="1" spans="1:19">
      <c r="A47" s="23">
        <v>44</v>
      </c>
      <c r="B47" s="23" t="s">
        <v>106</v>
      </c>
      <c r="C47" s="10" t="s">
        <v>107</v>
      </c>
      <c r="D47" s="23">
        <v>2522.61</v>
      </c>
      <c r="E47" s="23"/>
      <c r="F47" s="26"/>
      <c r="G47" s="27"/>
      <c r="H47" s="27"/>
      <c r="I47" s="26"/>
      <c r="J47" s="26">
        <v>264.02</v>
      </c>
      <c r="K47" s="26"/>
      <c r="L47" s="26"/>
      <c r="M47" s="26"/>
      <c r="N47" s="26"/>
      <c r="O47" s="26">
        <v>931.06</v>
      </c>
      <c r="P47" s="26">
        <v>0</v>
      </c>
      <c r="Q47" s="26">
        <f t="shared" si="2"/>
        <v>1195.08</v>
      </c>
      <c r="R47" s="27">
        <f>Q47+'2023年 '!Q47+'2022年 '!Q47+'2021年 '!Q47+'2020年 '!Q47+'2019年 '!Q47+'2018年'!Q47</f>
        <v>2905.13</v>
      </c>
      <c r="S47" s="32">
        <f t="shared" si="3"/>
        <v>382.52</v>
      </c>
    </row>
    <row r="48" s="2" customFormat="1" customHeight="1" spans="1:19">
      <c r="A48" s="23">
        <v>45</v>
      </c>
      <c r="B48" s="23" t="s">
        <v>108</v>
      </c>
      <c r="C48" s="10" t="s">
        <v>109</v>
      </c>
      <c r="D48" s="23">
        <v>2522.61</v>
      </c>
      <c r="E48" s="23"/>
      <c r="F48" s="26"/>
      <c r="G48" s="27"/>
      <c r="H48" s="27"/>
      <c r="I48" s="26"/>
      <c r="J48" s="26"/>
      <c r="K48" s="26"/>
      <c r="L48" s="26"/>
      <c r="M48" s="26"/>
      <c r="N48" s="26"/>
      <c r="O48" s="26">
        <v>931.06</v>
      </c>
      <c r="P48" s="26">
        <v>0</v>
      </c>
      <c r="Q48" s="26">
        <f t="shared" si="2"/>
        <v>931.06</v>
      </c>
      <c r="R48" s="27">
        <f>Q48+'2023年 '!Q48+'2022年 '!Q48+'2021年 '!Q48+'2020年 '!Q48+'2019年 '!Q48+'2018年'!Q48</f>
        <v>3028.06</v>
      </c>
      <c r="S48" s="32">
        <f t="shared" si="3"/>
        <v>505.45</v>
      </c>
    </row>
    <row r="49" s="2" customFormat="1" customHeight="1" spans="1:19">
      <c r="A49" s="23">
        <v>46</v>
      </c>
      <c r="B49" s="23" t="s">
        <v>110</v>
      </c>
      <c r="C49" s="10" t="s">
        <v>111</v>
      </c>
      <c r="D49" s="23">
        <v>2522.61</v>
      </c>
      <c r="E49" s="23"/>
      <c r="F49" s="26"/>
      <c r="G49" s="27"/>
      <c r="H49" s="27"/>
      <c r="I49" s="26">
        <v>264.02</v>
      </c>
      <c r="J49" s="26"/>
      <c r="K49" s="26"/>
      <c r="L49" s="26"/>
      <c r="M49" s="26"/>
      <c r="N49" s="26"/>
      <c r="O49" s="26">
        <v>931.06</v>
      </c>
      <c r="P49" s="26">
        <v>0</v>
      </c>
      <c r="Q49" s="26">
        <f t="shared" si="2"/>
        <v>1195.08</v>
      </c>
      <c r="R49" s="27">
        <f>Q49+'2023年 '!Q49+'2022年 '!Q49+'2021年 '!Q49+'2020年 '!Q49+'2019年 '!Q49+'2018年'!Q49</f>
        <v>3038.65</v>
      </c>
      <c r="S49" s="32">
        <f t="shared" si="3"/>
        <v>516.04</v>
      </c>
    </row>
    <row r="50" s="2" customFormat="1" customHeight="1" spans="1:19">
      <c r="A50" s="23">
        <v>47</v>
      </c>
      <c r="B50" s="23" t="s">
        <v>112</v>
      </c>
      <c r="C50" s="10" t="s">
        <v>113</v>
      </c>
      <c r="D50" s="23">
        <v>2522.61</v>
      </c>
      <c r="E50" s="23"/>
      <c r="F50" s="26"/>
      <c r="G50" s="27"/>
      <c r="H50" s="27"/>
      <c r="I50" s="26"/>
      <c r="J50" s="26"/>
      <c r="K50" s="26"/>
      <c r="L50" s="26"/>
      <c r="M50" s="26"/>
      <c r="N50" s="26">
        <v>264.02</v>
      </c>
      <c r="O50" s="26">
        <v>931.06</v>
      </c>
      <c r="P50" s="26">
        <v>0</v>
      </c>
      <c r="Q50" s="26">
        <f t="shared" si="2"/>
        <v>1195.08</v>
      </c>
      <c r="R50" s="27">
        <f>Q50+'2023年 '!Q50+'2022年 '!Q50+'2021年 '!Q50+'2020年 '!Q50+'2019年 '!Q50+'2018年'!Q50</f>
        <v>3038.65</v>
      </c>
      <c r="S50" s="32">
        <f t="shared" si="3"/>
        <v>516.04</v>
      </c>
    </row>
    <row r="51" s="2" customFormat="1" customHeight="1" spans="1:19">
      <c r="A51" s="23">
        <v>48</v>
      </c>
      <c r="B51" s="23" t="s">
        <v>114</v>
      </c>
      <c r="C51" s="10" t="s">
        <v>115</v>
      </c>
      <c r="D51" s="23">
        <v>2522.61</v>
      </c>
      <c r="E51" s="23"/>
      <c r="F51" s="26"/>
      <c r="G51" s="27"/>
      <c r="H51" s="27"/>
      <c r="I51" s="26">
        <v>264.02</v>
      </c>
      <c r="J51" s="26"/>
      <c r="K51" s="26"/>
      <c r="L51" s="26"/>
      <c r="M51" s="26"/>
      <c r="N51" s="26"/>
      <c r="O51" s="26">
        <v>0</v>
      </c>
      <c r="P51" s="26">
        <v>931.06</v>
      </c>
      <c r="Q51" s="26">
        <f t="shared" si="2"/>
        <v>1195.08</v>
      </c>
      <c r="R51" s="27">
        <f>Q51+'2023年 '!Q51+'2022年 '!Q51+'2021年 '!Q51+'2020年 '!Q51+'2019年 '!Q51+'2018年'!Q51</f>
        <v>3207.83</v>
      </c>
      <c r="S51" s="32">
        <f t="shared" si="3"/>
        <v>685.22</v>
      </c>
    </row>
    <row r="52" s="2" customFormat="1" customHeight="1" spans="1:19">
      <c r="A52" s="23">
        <v>49</v>
      </c>
      <c r="B52" s="23" t="s">
        <v>116</v>
      </c>
      <c r="C52" s="10" t="s">
        <v>117</v>
      </c>
      <c r="D52" s="23">
        <v>2522.61</v>
      </c>
      <c r="E52" s="23"/>
      <c r="F52" s="26"/>
      <c r="G52" s="27"/>
      <c r="H52" s="27"/>
      <c r="I52" s="26"/>
      <c r="J52" s="26">
        <v>264.02</v>
      </c>
      <c r="K52" s="26"/>
      <c r="L52" s="26"/>
      <c r="M52" s="26"/>
      <c r="N52" s="26"/>
      <c r="O52" s="26">
        <v>931.06</v>
      </c>
      <c r="P52" s="26">
        <v>0</v>
      </c>
      <c r="Q52" s="26">
        <f t="shared" si="2"/>
        <v>1195.08</v>
      </c>
      <c r="R52" s="27">
        <f>Q52+'2023年 '!Q52+'2022年 '!Q52+'2021年 '!Q52+'2020年 '!Q52+'2019年 '!Q52+'2018年'!Q52</f>
        <v>3038.68</v>
      </c>
      <c r="S52" s="32">
        <f t="shared" si="3"/>
        <v>516.07</v>
      </c>
    </row>
    <row r="53" s="2" customFormat="1" customHeight="1" spans="1:19">
      <c r="A53" s="23">
        <v>50</v>
      </c>
      <c r="B53" s="23" t="s">
        <v>118</v>
      </c>
      <c r="C53" s="10" t="s">
        <v>119</v>
      </c>
      <c r="D53" s="23">
        <v>2522.61</v>
      </c>
      <c r="E53" s="23"/>
      <c r="F53" s="26"/>
      <c r="G53" s="27"/>
      <c r="H53" s="27"/>
      <c r="I53" s="26">
        <v>264.02</v>
      </c>
      <c r="J53" s="26"/>
      <c r="K53" s="26"/>
      <c r="L53" s="26"/>
      <c r="M53" s="26"/>
      <c r="N53" s="26"/>
      <c r="O53" s="26">
        <v>931.06</v>
      </c>
      <c r="P53" s="26">
        <v>0</v>
      </c>
      <c r="Q53" s="26">
        <f t="shared" si="2"/>
        <v>1195.08</v>
      </c>
      <c r="R53" s="27">
        <f>Q53+'2023年 '!Q53+'2022年 '!Q53+'2021年 '!Q53+'2020年 '!Q53+'2019年 '!Q53+'2018年'!Q53</f>
        <v>3038.65</v>
      </c>
      <c r="S53" s="32">
        <f t="shared" si="3"/>
        <v>516.04</v>
      </c>
    </row>
    <row r="54" s="2" customFormat="1" customHeight="1" spans="1:19">
      <c r="A54" s="23">
        <v>51</v>
      </c>
      <c r="B54" s="23" t="s">
        <v>120</v>
      </c>
      <c r="C54" s="10" t="s">
        <v>121</v>
      </c>
      <c r="D54" s="23">
        <v>2522.61</v>
      </c>
      <c r="E54" s="23"/>
      <c r="F54" s="26"/>
      <c r="G54" s="27"/>
      <c r="H54" s="27"/>
      <c r="I54" s="26"/>
      <c r="J54" s="26">
        <v>264.02</v>
      </c>
      <c r="K54" s="26"/>
      <c r="L54" s="26"/>
      <c r="M54" s="26"/>
      <c r="N54" s="26"/>
      <c r="O54" s="26">
        <v>931.06</v>
      </c>
      <c r="P54" s="26">
        <v>0</v>
      </c>
      <c r="Q54" s="26">
        <f t="shared" si="2"/>
        <v>1195.08</v>
      </c>
      <c r="R54" s="27">
        <f>Q54+'2023年 '!Q54+'2022年 '!Q54+'2021年 '!Q54+'2020年 '!Q54+'2019年 '!Q54+'2018年'!Q54</f>
        <v>3038.65</v>
      </c>
      <c r="S54" s="32">
        <f t="shared" si="3"/>
        <v>516.04</v>
      </c>
    </row>
    <row r="55" s="2" customFormat="1" customHeight="1" spans="1:19">
      <c r="A55" s="23">
        <v>52</v>
      </c>
      <c r="B55" s="23" t="s">
        <v>122</v>
      </c>
      <c r="C55" s="10" t="s">
        <v>123</v>
      </c>
      <c r="D55" s="23">
        <v>2522.61</v>
      </c>
      <c r="E55" s="23"/>
      <c r="F55" s="26"/>
      <c r="G55" s="27"/>
      <c r="H55" s="27"/>
      <c r="I55" s="26"/>
      <c r="J55" s="26">
        <v>120</v>
      </c>
      <c r="K55" s="26">
        <v>144.02</v>
      </c>
      <c r="L55" s="26"/>
      <c r="M55" s="26">
        <v>144.02</v>
      </c>
      <c r="N55" s="26"/>
      <c r="O55" s="26">
        <v>931.06</v>
      </c>
      <c r="P55" s="26">
        <v>0</v>
      </c>
      <c r="Q55" s="26">
        <f t="shared" si="2"/>
        <v>1339.1</v>
      </c>
      <c r="R55" s="27">
        <f>Q55+'2023年 '!Q55+'2022年 '!Q55+'2021年 '!Q55+'2020年 '!Q55+'2019年 '!Q55+'2018年'!Q55</f>
        <v>2903.76</v>
      </c>
      <c r="S55" s="32">
        <f t="shared" si="3"/>
        <v>381.150000000001</v>
      </c>
    </row>
    <row r="56" s="2" customFormat="1" customHeight="1" spans="1:19">
      <c r="A56" s="23">
        <v>53</v>
      </c>
      <c r="B56" s="23" t="s">
        <v>124</v>
      </c>
      <c r="C56" s="10" t="s">
        <v>125</v>
      </c>
      <c r="D56" s="23">
        <v>2490.93</v>
      </c>
      <c r="E56" s="23"/>
      <c r="F56" s="26"/>
      <c r="G56" s="27"/>
      <c r="H56" s="27"/>
      <c r="I56" s="26">
        <v>264.02</v>
      </c>
      <c r="J56" s="26"/>
      <c r="K56" s="26"/>
      <c r="L56" s="26"/>
      <c r="M56" s="26"/>
      <c r="N56" s="26"/>
      <c r="O56" s="26">
        <v>931.06</v>
      </c>
      <c r="P56" s="26">
        <v>0</v>
      </c>
      <c r="Q56" s="26">
        <f t="shared" si="2"/>
        <v>1195.08</v>
      </c>
      <c r="R56" s="27">
        <f>Q56+'2023年 '!Q56+'2022年 '!Q56+'2021年 '!Q56+'2020年 '!Q56+'2019年 '!Q56+'2018年'!Q56</f>
        <v>3038.61</v>
      </c>
      <c r="S56" s="32">
        <f t="shared" si="3"/>
        <v>547.68</v>
      </c>
    </row>
    <row r="57" s="2" customFormat="1" customHeight="1" spans="1:19">
      <c r="A57" s="23">
        <v>54</v>
      </c>
      <c r="B57" s="23" t="s">
        <v>126</v>
      </c>
      <c r="C57" s="10" t="s">
        <v>127</v>
      </c>
      <c r="D57" s="23">
        <v>2490.93</v>
      </c>
      <c r="E57" s="23"/>
      <c r="F57" s="26"/>
      <c r="G57" s="27"/>
      <c r="H57" s="27"/>
      <c r="I57" s="26">
        <v>264.02</v>
      </c>
      <c r="J57" s="26"/>
      <c r="K57" s="26"/>
      <c r="L57" s="26"/>
      <c r="M57" s="26"/>
      <c r="N57" s="26"/>
      <c r="O57" s="26">
        <v>931.06</v>
      </c>
      <c r="P57" s="26">
        <v>0</v>
      </c>
      <c r="Q57" s="26">
        <f t="shared" si="2"/>
        <v>1195.08</v>
      </c>
      <c r="R57" s="27">
        <f>Q57+'2023年 '!Q57+'2022年 '!Q57+'2021年 '!Q57+'2020年 '!Q57+'2019年 '!Q57+'2018年'!Q57</f>
        <v>3148.57</v>
      </c>
      <c r="S57" s="32">
        <f t="shared" si="3"/>
        <v>657.64</v>
      </c>
    </row>
    <row r="58" s="2" customFormat="1" customHeight="1" spans="1:19">
      <c r="A58" s="23">
        <v>55</v>
      </c>
      <c r="B58" s="23" t="s">
        <v>128</v>
      </c>
      <c r="C58" s="10" t="s">
        <v>129</v>
      </c>
      <c r="D58" s="23">
        <v>2490.93</v>
      </c>
      <c r="E58" s="23"/>
      <c r="F58" s="26"/>
      <c r="G58" s="27"/>
      <c r="H58" s="27"/>
      <c r="I58" s="26">
        <v>264.02</v>
      </c>
      <c r="J58" s="26"/>
      <c r="K58" s="26"/>
      <c r="L58" s="26"/>
      <c r="M58" s="26"/>
      <c r="N58" s="26"/>
      <c r="O58" s="26">
        <v>931.06</v>
      </c>
      <c r="P58" s="26">
        <v>0</v>
      </c>
      <c r="Q58" s="26">
        <f t="shared" si="2"/>
        <v>1195.08</v>
      </c>
      <c r="R58" s="27">
        <f>Q58+'2023年 '!Q58+'2022年 '!Q58+'2021年 '!Q58+'2020年 '!Q58+'2019年 '!Q58+'2018年'!Q58</f>
        <v>3038.68</v>
      </c>
      <c r="S58" s="32">
        <f t="shared" si="3"/>
        <v>547.75</v>
      </c>
    </row>
    <row r="59" s="2" customFormat="1" customHeight="1" spans="1:19">
      <c r="A59" s="23">
        <v>56</v>
      </c>
      <c r="B59" s="23" t="s">
        <v>130</v>
      </c>
      <c r="C59" s="10" t="s">
        <v>131</v>
      </c>
      <c r="D59" s="23">
        <v>2490.93</v>
      </c>
      <c r="E59" s="23"/>
      <c r="F59" s="26"/>
      <c r="G59" s="27"/>
      <c r="H59" s="27"/>
      <c r="I59" s="26"/>
      <c r="J59" s="26"/>
      <c r="K59" s="26">
        <v>264.02</v>
      </c>
      <c r="L59" s="26"/>
      <c r="M59" s="26"/>
      <c r="N59" s="26"/>
      <c r="O59" s="26">
        <v>931.06</v>
      </c>
      <c r="P59" s="26">
        <v>0</v>
      </c>
      <c r="Q59" s="26">
        <f t="shared" si="2"/>
        <v>1195.08</v>
      </c>
      <c r="R59" s="27">
        <f>Q59+'2023年 '!Q59+'2022年 '!Q59+'2021年 '!Q59+'2020年 '!Q59+'2019年 '!Q59+'2018年'!Q59</f>
        <v>2831.92</v>
      </c>
      <c r="S59" s="32">
        <f t="shared" si="3"/>
        <v>340.99</v>
      </c>
    </row>
    <row r="60" s="2" customFormat="1" customHeight="1" spans="1:19">
      <c r="A60" s="23">
        <v>57</v>
      </c>
      <c r="B60" s="23" t="s">
        <v>132</v>
      </c>
      <c r="C60" s="10" t="s">
        <v>133</v>
      </c>
      <c r="D60" s="23">
        <v>2490.93</v>
      </c>
      <c r="E60" s="23"/>
      <c r="F60" s="26"/>
      <c r="G60" s="27"/>
      <c r="H60" s="27"/>
      <c r="I60" s="26">
        <v>264.02</v>
      </c>
      <c r="J60" s="26">
        <v>264.02</v>
      </c>
      <c r="K60" s="26"/>
      <c r="L60" s="26"/>
      <c r="M60" s="26">
        <v>22.02</v>
      </c>
      <c r="N60" s="26"/>
      <c r="O60" s="26">
        <v>931.06</v>
      </c>
      <c r="P60" s="26">
        <v>0</v>
      </c>
      <c r="Q60" s="26">
        <f t="shared" si="2"/>
        <v>1481.12</v>
      </c>
      <c r="R60" s="27">
        <f>Q60+'2023年 '!Q60+'2022年 '!Q60+'2021年 '!Q60+'2020年 '!Q60+'2019年 '!Q60+'2018年'!Q60</f>
        <v>3324.72</v>
      </c>
      <c r="S60" s="32">
        <f t="shared" si="3"/>
        <v>833.79</v>
      </c>
    </row>
    <row r="61" s="2" customFormat="1" customHeight="1" spans="1:19">
      <c r="A61" s="23">
        <v>58</v>
      </c>
      <c r="B61" s="23" t="s">
        <v>134</v>
      </c>
      <c r="C61" s="10" t="s">
        <v>135</v>
      </c>
      <c r="D61" s="23">
        <v>2490.93</v>
      </c>
      <c r="E61" s="23"/>
      <c r="F61" s="26"/>
      <c r="G61" s="27"/>
      <c r="H61" s="27"/>
      <c r="I61" s="26">
        <v>264.02</v>
      </c>
      <c r="J61" s="26"/>
      <c r="K61" s="26"/>
      <c r="L61" s="26"/>
      <c r="M61" s="26"/>
      <c r="N61" s="26"/>
      <c r="O61" s="26">
        <v>931.06</v>
      </c>
      <c r="P61" s="26">
        <v>0</v>
      </c>
      <c r="Q61" s="26">
        <f t="shared" si="2"/>
        <v>1195.08</v>
      </c>
      <c r="R61" s="27">
        <f>Q61+'2023年 '!Q61+'2022年 '!Q61+'2021年 '!Q61+'2020年 '!Q61+'2019年 '!Q61+'2018年'!Q61</f>
        <v>2718.39</v>
      </c>
      <c r="S61" s="32">
        <f t="shared" si="3"/>
        <v>227.46</v>
      </c>
    </row>
    <row r="62" s="2" customFormat="1" customHeight="1" spans="1:19">
      <c r="A62" s="23">
        <v>59</v>
      </c>
      <c r="B62" s="23" t="s">
        <v>136</v>
      </c>
      <c r="C62" s="10" t="s">
        <v>137</v>
      </c>
      <c r="D62" s="23">
        <v>2490.93</v>
      </c>
      <c r="E62" s="23"/>
      <c r="F62" s="26"/>
      <c r="G62" s="27"/>
      <c r="H62" s="27"/>
      <c r="I62" s="26">
        <v>264.02</v>
      </c>
      <c r="J62" s="26"/>
      <c r="K62" s="26"/>
      <c r="L62" s="26"/>
      <c r="M62" s="26"/>
      <c r="N62" s="26"/>
      <c r="O62" s="26">
        <v>931.06</v>
      </c>
      <c r="P62" s="26">
        <v>0</v>
      </c>
      <c r="Q62" s="26">
        <f t="shared" si="2"/>
        <v>1195.08</v>
      </c>
      <c r="R62" s="27">
        <f>Q62+'2023年 '!Q62+'2022年 '!Q62+'2021年 '!Q62+'2020年 '!Q62+'2019年 '!Q62+'2018年'!Q62</f>
        <v>3038.65</v>
      </c>
      <c r="S62" s="32">
        <f t="shared" si="3"/>
        <v>547.72</v>
      </c>
    </row>
    <row r="63" s="2" customFormat="1" customHeight="1" spans="1:19">
      <c r="A63" s="23">
        <v>60</v>
      </c>
      <c r="B63" s="23" t="s">
        <v>138</v>
      </c>
      <c r="C63" s="12" t="s">
        <v>139</v>
      </c>
      <c r="D63" s="23">
        <v>2490.93</v>
      </c>
      <c r="E63" s="23"/>
      <c r="F63" s="26"/>
      <c r="G63" s="27"/>
      <c r="H63" s="27"/>
      <c r="I63" s="26">
        <v>264.02</v>
      </c>
      <c r="J63" s="26"/>
      <c r="K63" s="26"/>
      <c r="L63" s="26"/>
      <c r="M63" s="26"/>
      <c r="N63" s="26"/>
      <c r="O63" s="26">
        <v>931.06</v>
      </c>
      <c r="P63" s="26">
        <v>0</v>
      </c>
      <c r="Q63" s="26">
        <f t="shared" si="2"/>
        <v>1195.08</v>
      </c>
      <c r="R63" s="27">
        <f>Q63+'2023年 '!Q63+'2022年 '!Q63+'2021年 '!Q63+'2020年 '!Q63+'2019年 '!Q63+'2018年'!Q63</f>
        <v>3172.17</v>
      </c>
      <c r="S63" s="32">
        <f t="shared" si="3"/>
        <v>681.24</v>
      </c>
    </row>
    <row r="64" s="2" customFormat="1" customHeight="1" spans="1:19">
      <c r="A64" s="23">
        <v>61</v>
      </c>
      <c r="B64" s="23" t="s">
        <v>140</v>
      </c>
      <c r="C64" s="12" t="s">
        <v>141</v>
      </c>
      <c r="D64" s="23">
        <v>2424.94</v>
      </c>
      <c r="E64" s="23"/>
      <c r="F64" s="26"/>
      <c r="G64" s="27"/>
      <c r="H64" s="27"/>
      <c r="I64" s="26">
        <v>320.33</v>
      </c>
      <c r="J64" s="26"/>
      <c r="K64" s="26"/>
      <c r="L64" s="26"/>
      <c r="M64" s="26"/>
      <c r="N64" s="26"/>
      <c r="O64" s="26">
        <v>931.06</v>
      </c>
      <c r="P64" s="26">
        <v>0</v>
      </c>
      <c r="Q64" s="26">
        <f t="shared" si="2"/>
        <v>1251.39</v>
      </c>
      <c r="R64" s="27">
        <f>Q64+'2023年 '!Q64+'2022年 '!Q64+'2021年 '!Q64+'2020年 '!Q64+'2019年 '!Q64+'2018年'!Q64</f>
        <v>2831.04</v>
      </c>
      <c r="S64" s="32">
        <f t="shared" si="3"/>
        <v>406.1</v>
      </c>
    </row>
    <row r="65" s="2" customFormat="1" customHeight="1" spans="1:19">
      <c r="A65" s="23">
        <v>62</v>
      </c>
      <c r="B65" s="23" t="s">
        <v>142</v>
      </c>
      <c r="C65" s="10" t="s">
        <v>143</v>
      </c>
      <c r="D65" s="23">
        <v>2490.93</v>
      </c>
      <c r="E65" s="23"/>
      <c r="F65" s="26"/>
      <c r="G65" s="27"/>
      <c r="H65" s="27"/>
      <c r="I65" s="26"/>
      <c r="J65" s="26">
        <v>108</v>
      </c>
      <c r="K65" s="26">
        <v>134</v>
      </c>
      <c r="L65" s="26"/>
      <c r="M65" s="26"/>
      <c r="N65" s="26"/>
      <c r="O65" s="26">
        <v>0</v>
      </c>
      <c r="P65" s="26">
        <v>931.06</v>
      </c>
      <c r="Q65" s="26">
        <f t="shared" si="2"/>
        <v>1173.06</v>
      </c>
      <c r="R65" s="27">
        <f>Q65+'2023年 '!Q65+'2022年 '!Q65+'2021年 '!Q65+'2020年 '!Q65+'2019年 '!Q65+'2018年'!Q65</f>
        <v>2608.06</v>
      </c>
      <c r="S65" s="32">
        <f t="shared" si="3"/>
        <v>117.13</v>
      </c>
    </row>
    <row r="66" s="2" customFormat="1" customHeight="1" spans="1:19">
      <c r="A66" s="23">
        <v>63</v>
      </c>
      <c r="B66" s="23" t="s">
        <v>144</v>
      </c>
      <c r="C66" s="10" t="s">
        <v>145</v>
      </c>
      <c r="D66" s="23">
        <v>2490.93</v>
      </c>
      <c r="E66" s="23"/>
      <c r="F66" s="26"/>
      <c r="G66" s="27"/>
      <c r="H66" s="27"/>
      <c r="I66" s="26">
        <v>264.02</v>
      </c>
      <c r="J66" s="26"/>
      <c r="K66" s="26"/>
      <c r="L66" s="26"/>
      <c r="M66" s="26"/>
      <c r="N66" s="26"/>
      <c r="O66" s="26">
        <v>931.06</v>
      </c>
      <c r="P66" s="26">
        <v>0</v>
      </c>
      <c r="Q66" s="26">
        <f t="shared" si="2"/>
        <v>1195.08</v>
      </c>
      <c r="R66" s="27">
        <f>Q66+'2023年 '!Q66+'2022年 '!Q66+'2021年 '!Q66+'2020年 '!Q66+'2019年 '!Q66+'2018年'!Q66</f>
        <v>3038.65</v>
      </c>
      <c r="S66" s="32">
        <f t="shared" si="3"/>
        <v>547.72</v>
      </c>
    </row>
    <row r="67" s="2" customFormat="1" customHeight="1" spans="1:19">
      <c r="A67" s="23">
        <v>64</v>
      </c>
      <c r="B67" s="23" t="s">
        <v>146</v>
      </c>
      <c r="C67" s="10" t="s">
        <v>147</v>
      </c>
      <c r="D67" s="23">
        <v>2490.93</v>
      </c>
      <c r="E67" s="23"/>
      <c r="F67" s="26"/>
      <c r="G67" s="27"/>
      <c r="H67" s="27"/>
      <c r="I67" s="26">
        <v>264.02</v>
      </c>
      <c r="J67" s="26"/>
      <c r="K67" s="26"/>
      <c r="L67" s="26"/>
      <c r="M67" s="26"/>
      <c r="N67" s="26"/>
      <c r="O67" s="26">
        <v>931.06</v>
      </c>
      <c r="P67" s="26">
        <v>0</v>
      </c>
      <c r="Q67" s="26">
        <f t="shared" si="2"/>
        <v>1195.08</v>
      </c>
      <c r="R67" s="27">
        <f>Q67+'2023年 '!Q67+'2022年 '!Q67+'2021年 '!Q67+'2020年 '!Q67+'2019年 '!Q67+'2018年'!Q67</f>
        <v>2482.53</v>
      </c>
      <c r="S67" s="32">
        <f t="shared" si="3"/>
        <v>-8.39999999999964</v>
      </c>
    </row>
    <row r="68" customHeight="1" spans="1:19">
      <c r="A68" s="23">
        <v>65</v>
      </c>
      <c r="B68" s="23" t="s">
        <v>148</v>
      </c>
      <c r="C68" s="10" t="s">
        <v>149</v>
      </c>
      <c r="D68" s="23">
        <v>2478.75</v>
      </c>
      <c r="E68" s="23"/>
      <c r="F68" s="26"/>
      <c r="G68" s="27"/>
      <c r="H68" s="27"/>
      <c r="I68" s="26">
        <v>258.21</v>
      </c>
      <c r="J68" s="26"/>
      <c r="K68" s="26"/>
      <c r="L68" s="26"/>
      <c r="M68" s="26"/>
      <c r="N68" s="26"/>
      <c r="O68" s="26">
        <v>954.34</v>
      </c>
      <c r="P68" s="26">
        <v>0</v>
      </c>
      <c r="Q68" s="26">
        <f t="shared" si="2"/>
        <v>1212.55</v>
      </c>
      <c r="R68" s="27">
        <f>Q68+'2023年 '!Q68+'2022年 '!Q68+'2021年 '!Q68+'2020年 '!Q68+'2019年 '!Q68+'2018年'!Q68</f>
        <v>3179.07</v>
      </c>
      <c r="S68" s="32">
        <f t="shared" si="3"/>
        <v>700.32</v>
      </c>
    </row>
    <row r="69" customHeight="1" spans="1:19">
      <c r="A69" s="23">
        <v>66</v>
      </c>
      <c r="B69" s="23" t="s">
        <v>150</v>
      </c>
      <c r="C69" s="10" t="s">
        <v>151</v>
      </c>
      <c r="D69" s="23">
        <v>2478.75</v>
      </c>
      <c r="E69" s="23"/>
      <c r="F69" s="26"/>
      <c r="G69" s="27"/>
      <c r="H69" s="27"/>
      <c r="I69" s="26"/>
      <c r="J69" s="26"/>
      <c r="K69" s="26">
        <v>258.21</v>
      </c>
      <c r="L69" s="26"/>
      <c r="M69" s="26"/>
      <c r="N69" s="26"/>
      <c r="O69" s="26">
        <v>954.34</v>
      </c>
      <c r="P69" s="26">
        <v>0</v>
      </c>
      <c r="Q69" s="26">
        <f t="shared" ref="Q69:Q100" si="4">SUM(E69:P69)</f>
        <v>1212.55</v>
      </c>
      <c r="R69" s="27">
        <f>Q69+'2023年 '!Q69+'2022年 '!Q69+'2021年 '!Q69+'2020年 '!Q69+'2019年 '!Q69+'2018年'!Q69</f>
        <v>3180.07</v>
      </c>
      <c r="S69" s="32">
        <f t="shared" ref="S69:S100" si="5">R69-D69</f>
        <v>701.32</v>
      </c>
    </row>
    <row r="70" customHeight="1" spans="1:19">
      <c r="A70" s="23">
        <v>67</v>
      </c>
      <c r="B70" s="23" t="s">
        <v>152</v>
      </c>
      <c r="C70" s="10" t="s">
        <v>153</v>
      </c>
      <c r="D70" s="23">
        <v>2479.95</v>
      </c>
      <c r="E70" s="23"/>
      <c r="F70" s="26"/>
      <c r="G70" s="27"/>
      <c r="H70" s="27"/>
      <c r="I70" s="26">
        <v>258.21</v>
      </c>
      <c r="J70" s="26"/>
      <c r="K70" s="26"/>
      <c r="L70" s="26"/>
      <c r="M70" s="26"/>
      <c r="N70" s="26"/>
      <c r="O70" s="26">
        <v>954.34</v>
      </c>
      <c r="P70" s="26">
        <v>0</v>
      </c>
      <c r="Q70" s="26">
        <f t="shared" si="4"/>
        <v>1212.55</v>
      </c>
      <c r="R70" s="27">
        <f>Q70+'2023年 '!Q70+'2022年 '!Q70+'2021年 '!Q70+'2020年 '!Q70+'2019年 '!Q70+'2018年'!Q70</f>
        <v>3064.95</v>
      </c>
      <c r="S70" s="32">
        <f t="shared" si="5"/>
        <v>585</v>
      </c>
    </row>
    <row r="71" customHeight="1" spans="1:19">
      <c r="A71" s="23">
        <v>68</v>
      </c>
      <c r="B71" s="23" t="s">
        <v>154</v>
      </c>
      <c r="C71" s="10" t="s">
        <v>155</v>
      </c>
      <c r="D71" s="23">
        <v>2478.75</v>
      </c>
      <c r="E71" s="23"/>
      <c r="F71" s="26"/>
      <c r="G71" s="27"/>
      <c r="H71" s="27"/>
      <c r="I71" s="26"/>
      <c r="J71" s="26">
        <v>258.21</v>
      </c>
      <c r="K71" s="26"/>
      <c r="L71" s="26"/>
      <c r="M71" s="26"/>
      <c r="N71" s="26"/>
      <c r="O71" s="26">
        <v>954.34</v>
      </c>
      <c r="P71" s="26">
        <v>0</v>
      </c>
      <c r="Q71" s="26">
        <f t="shared" si="4"/>
        <v>1212.55</v>
      </c>
      <c r="R71" s="27">
        <f>Q71+'2023年 '!Q71+'2022年 '!Q71+'2021年 '!Q71+'2020年 '!Q71+'2019年 '!Q71+'2018年'!Q71</f>
        <v>3179.07</v>
      </c>
      <c r="S71" s="32">
        <f t="shared" si="5"/>
        <v>700.32</v>
      </c>
    </row>
    <row r="72" customHeight="1" spans="1:19">
      <c r="A72" s="23">
        <v>69</v>
      </c>
      <c r="B72" s="23" t="s">
        <v>156</v>
      </c>
      <c r="C72" s="10" t="s">
        <v>157</v>
      </c>
      <c r="D72" s="23">
        <v>2478.75</v>
      </c>
      <c r="E72" s="23"/>
      <c r="F72" s="26"/>
      <c r="G72" s="27"/>
      <c r="H72" s="27"/>
      <c r="I72" s="26"/>
      <c r="J72" s="26"/>
      <c r="K72" s="26"/>
      <c r="L72" s="26"/>
      <c r="M72" s="26"/>
      <c r="N72" s="26"/>
      <c r="O72" s="26">
        <v>954.34</v>
      </c>
      <c r="P72" s="26">
        <v>0</v>
      </c>
      <c r="Q72" s="26">
        <f t="shared" si="4"/>
        <v>954.34</v>
      </c>
      <c r="R72" s="27">
        <f>Q72+'2023年 '!Q72+'2022年 '!Q72+'2021年 '!Q72+'2020年 '!Q72+'2019年 '!Q72+'2018年'!Q72</f>
        <v>2920.86</v>
      </c>
      <c r="S72" s="32">
        <f t="shared" si="5"/>
        <v>442.11</v>
      </c>
    </row>
    <row r="73" customHeight="1" spans="1:19">
      <c r="A73" s="23">
        <v>70</v>
      </c>
      <c r="B73" s="23" t="s">
        <v>158</v>
      </c>
      <c r="C73" s="10" t="s">
        <v>159</v>
      </c>
      <c r="D73" s="23">
        <v>2478.75</v>
      </c>
      <c r="E73" s="23"/>
      <c r="F73" s="26"/>
      <c r="G73" s="27"/>
      <c r="H73" s="27"/>
      <c r="I73" s="26">
        <v>258.21</v>
      </c>
      <c r="J73" s="26"/>
      <c r="K73" s="26"/>
      <c r="L73" s="26"/>
      <c r="M73" s="26"/>
      <c r="N73" s="26"/>
      <c r="O73" s="26">
        <v>954.34</v>
      </c>
      <c r="P73" s="26">
        <v>0</v>
      </c>
      <c r="Q73" s="26">
        <f t="shared" si="4"/>
        <v>1212.55</v>
      </c>
      <c r="R73" s="27">
        <f>Q73+'2023年 '!Q73+'2022年 '!Q73+'2021年 '!Q73+'2020年 '!Q73+'2019年 '!Q73+'2018年'!Q73</f>
        <v>3429.32</v>
      </c>
      <c r="S73" s="32">
        <f t="shared" si="5"/>
        <v>950.57</v>
      </c>
    </row>
    <row r="74" customHeight="1" spans="1:19">
      <c r="A74" s="23">
        <v>71</v>
      </c>
      <c r="B74" s="23" t="s">
        <v>160</v>
      </c>
      <c r="C74" s="10" t="s">
        <v>161</v>
      </c>
      <c r="D74" s="23">
        <v>2478.75</v>
      </c>
      <c r="E74" s="23"/>
      <c r="F74" s="26"/>
      <c r="G74" s="27"/>
      <c r="H74" s="27"/>
      <c r="I74" s="26">
        <v>258.21</v>
      </c>
      <c r="J74" s="26"/>
      <c r="K74" s="26"/>
      <c r="L74" s="26"/>
      <c r="M74" s="26"/>
      <c r="N74" s="26"/>
      <c r="O74" s="26">
        <v>954.34</v>
      </c>
      <c r="P74" s="26">
        <v>0</v>
      </c>
      <c r="Q74" s="26">
        <f t="shared" si="4"/>
        <v>1212.55</v>
      </c>
      <c r="R74" s="27">
        <f>Q74+'2023年 '!Q74+'2022年 '!Q74+'2021年 '!Q74+'2020年 '!Q74+'2019年 '!Q74+'2018年'!Q74</f>
        <v>3568.52</v>
      </c>
      <c r="S74" s="32">
        <f t="shared" si="5"/>
        <v>1089.77</v>
      </c>
    </row>
    <row r="75" customHeight="1" spans="1:19">
      <c r="A75" s="23">
        <v>72</v>
      </c>
      <c r="B75" s="23" t="s">
        <v>162</v>
      </c>
      <c r="C75" s="10" t="s">
        <v>163</v>
      </c>
      <c r="D75" s="23">
        <v>170</v>
      </c>
      <c r="E75" s="23"/>
      <c r="F75" s="26"/>
      <c r="G75" s="27"/>
      <c r="H75" s="27"/>
      <c r="I75" s="26"/>
      <c r="J75" s="26"/>
      <c r="K75" s="26"/>
      <c r="L75" s="26"/>
      <c r="M75" s="26"/>
      <c r="N75" s="26"/>
      <c r="O75" s="26">
        <v>170</v>
      </c>
      <c r="P75" s="26">
        <v>0</v>
      </c>
      <c r="Q75" s="26">
        <f t="shared" si="4"/>
        <v>170</v>
      </c>
      <c r="R75" s="27">
        <f>Q75+'2023年 '!Q75+'2022年 '!Q75+'2021年 '!Q75+'2020年 '!Q75+'2019年 '!Q75+'2018年'!Q75</f>
        <v>170</v>
      </c>
      <c r="S75" s="32">
        <f t="shared" si="5"/>
        <v>0</v>
      </c>
    </row>
    <row r="76" customHeight="1" spans="1:19">
      <c r="A76" s="23">
        <v>73</v>
      </c>
      <c r="B76" s="23" t="s">
        <v>164</v>
      </c>
      <c r="C76" s="10" t="s">
        <v>165</v>
      </c>
      <c r="D76" s="23">
        <v>2478.75</v>
      </c>
      <c r="E76" s="23"/>
      <c r="F76" s="26"/>
      <c r="G76" s="27"/>
      <c r="H76" s="27"/>
      <c r="I76" s="26">
        <v>258.21</v>
      </c>
      <c r="J76" s="26"/>
      <c r="K76" s="26"/>
      <c r="L76" s="26"/>
      <c r="M76" s="26"/>
      <c r="N76" s="26"/>
      <c r="O76" s="26">
        <v>954.34</v>
      </c>
      <c r="P76" s="26">
        <v>1000</v>
      </c>
      <c r="Q76" s="26">
        <f t="shared" si="4"/>
        <v>2212.55</v>
      </c>
      <c r="R76" s="27">
        <f>Q76+'2023年 '!Q76+'2022年 '!Q76+'2021年 '!Q76+'2020年 '!Q76+'2019年 '!Q76+'2018年'!Q76</f>
        <v>4179.07</v>
      </c>
      <c r="S76" s="32">
        <f t="shared" si="5"/>
        <v>1700.32</v>
      </c>
    </row>
    <row r="77" customHeight="1" spans="1:19">
      <c r="A77" s="23">
        <v>74</v>
      </c>
      <c r="B77" s="23" t="s">
        <v>166</v>
      </c>
      <c r="C77" s="10" t="s">
        <v>167</v>
      </c>
      <c r="D77" s="23">
        <v>2478.75</v>
      </c>
      <c r="E77" s="23"/>
      <c r="F77" s="26"/>
      <c r="G77" s="27"/>
      <c r="H77" s="27"/>
      <c r="I77" s="26">
        <v>258.21</v>
      </c>
      <c r="J77" s="26"/>
      <c r="K77" s="26"/>
      <c r="L77" s="26"/>
      <c r="M77" s="26"/>
      <c r="N77" s="26"/>
      <c r="O77" s="26">
        <v>954.34</v>
      </c>
      <c r="P77" s="26">
        <v>0</v>
      </c>
      <c r="Q77" s="26">
        <f t="shared" si="4"/>
        <v>1212.55</v>
      </c>
      <c r="R77" s="27">
        <f>Q77+'2023年 '!Q77+'2022年 '!Q77+'2021年 '!Q77+'2020年 '!Q77+'2019年 '!Q77+'2018年'!Q77</f>
        <v>3327.62</v>
      </c>
      <c r="S77" s="32">
        <f t="shared" si="5"/>
        <v>848.87</v>
      </c>
    </row>
    <row r="78" customHeight="1" spans="1:19">
      <c r="A78" s="23">
        <v>75</v>
      </c>
      <c r="B78" s="23" t="s">
        <v>168</v>
      </c>
      <c r="C78" s="33" t="s">
        <v>169</v>
      </c>
      <c r="D78" s="23">
        <v>2478.75</v>
      </c>
      <c r="E78" s="23"/>
      <c r="F78" s="26"/>
      <c r="G78" s="27"/>
      <c r="H78" s="27"/>
      <c r="I78" s="26">
        <v>258.21</v>
      </c>
      <c r="J78" s="26"/>
      <c r="K78" s="26"/>
      <c r="L78" s="26"/>
      <c r="M78" s="26"/>
      <c r="N78" s="26"/>
      <c r="O78" s="26">
        <v>954.34</v>
      </c>
      <c r="P78" s="26">
        <v>0</v>
      </c>
      <c r="Q78" s="26">
        <f t="shared" si="4"/>
        <v>1212.55</v>
      </c>
      <c r="R78" s="27">
        <f>Q78+'2023年 '!Q78+'2022年 '!Q78+'2021年 '!Q78+'2020年 '!Q78+'2019年 '!Q78+'2018年'!Q78</f>
        <v>3695.21</v>
      </c>
      <c r="S78" s="32">
        <f t="shared" si="5"/>
        <v>1216.46</v>
      </c>
    </row>
    <row r="79" customHeight="1" spans="1:19">
      <c r="A79" s="23">
        <v>76</v>
      </c>
      <c r="B79" s="23" t="s">
        <v>170</v>
      </c>
      <c r="C79" s="10" t="s">
        <v>171</v>
      </c>
      <c r="D79" s="23">
        <v>2478.75</v>
      </c>
      <c r="E79" s="23"/>
      <c r="F79" s="26"/>
      <c r="G79" s="27"/>
      <c r="H79" s="27"/>
      <c r="I79" s="26">
        <v>258.21</v>
      </c>
      <c r="J79" s="26"/>
      <c r="K79" s="26"/>
      <c r="L79" s="26"/>
      <c r="M79" s="26"/>
      <c r="N79" s="26"/>
      <c r="O79" s="26">
        <v>954.34</v>
      </c>
      <c r="P79" s="26">
        <v>0</v>
      </c>
      <c r="Q79" s="26">
        <f t="shared" si="4"/>
        <v>1212.55</v>
      </c>
      <c r="R79" s="27">
        <f>Q79+'2023年 '!Q79+'2022年 '!Q79+'2021年 '!Q79+'2020年 '!Q79+'2019年 '!Q79+'2018年'!Q79</f>
        <v>3179.07</v>
      </c>
      <c r="S79" s="32">
        <f t="shared" si="5"/>
        <v>700.32</v>
      </c>
    </row>
    <row r="80" customHeight="1" spans="1:19">
      <c r="A80" s="23">
        <v>77</v>
      </c>
      <c r="B80" s="23" t="s">
        <v>172</v>
      </c>
      <c r="C80" s="10" t="s">
        <v>173</v>
      </c>
      <c r="D80" s="23">
        <v>2478.75</v>
      </c>
      <c r="E80" s="23"/>
      <c r="F80" s="26"/>
      <c r="G80" s="27"/>
      <c r="H80" s="27"/>
      <c r="I80" s="26">
        <v>258.21</v>
      </c>
      <c r="J80" s="26"/>
      <c r="K80" s="26"/>
      <c r="L80" s="26"/>
      <c r="M80" s="26"/>
      <c r="N80" s="26"/>
      <c r="O80" s="26">
        <v>954.34</v>
      </c>
      <c r="P80" s="26">
        <v>0</v>
      </c>
      <c r="Q80" s="26">
        <f t="shared" si="4"/>
        <v>1212.55</v>
      </c>
      <c r="R80" s="27">
        <f>Q80+'2023年 '!Q80+'2022年 '!Q80+'2021年 '!Q80+'2020年 '!Q80+'2019年 '!Q80+'2018年'!Q80</f>
        <v>3513.11</v>
      </c>
      <c r="S80" s="32">
        <f t="shared" si="5"/>
        <v>1034.36</v>
      </c>
    </row>
    <row r="81" customHeight="1" spans="1:19">
      <c r="A81" s="23">
        <v>78</v>
      </c>
      <c r="B81" s="23" t="s">
        <v>174</v>
      </c>
      <c r="C81" s="10" t="s">
        <v>175</v>
      </c>
      <c r="D81" s="23">
        <v>170</v>
      </c>
      <c r="E81" s="23"/>
      <c r="F81" s="26"/>
      <c r="G81" s="27"/>
      <c r="H81" s="27"/>
      <c r="I81" s="26"/>
      <c r="J81" s="26"/>
      <c r="K81" s="26"/>
      <c r="L81" s="26"/>
      <c r="M81" s="26"/>
      <c r="N81" s="26"/>
      <c r="O81" s="26">
        <v>170</v>
      </c>
      <c r="P81" s="26">
        <v>0</v>
      </c>
      <c r="Q81" s="26">
        <f t="shared" si="4"/>
        <v>170</v>
      </c>
      <c r="R81" s="27">
        <f>Q81+'2023年 '!Q81+'2022年 '!Q81+'2021年 '!Q81+'2020年 '!Q81+'2019年 '!Q81+'2018年'!Q81</f>
        <v>170</v>
      </c>
      <c r="S81" s="32">
        <f t="shared" si="5"/>
        <v>0</v>
      </c>
    </row>
    <row r="82" customHeight="1" spans="1:19">
      <c r="A82" s="23">
        <v>79</v>
      </c>
      <c r="B82" s="23" t="s">
        <v>176</v>
      </c>
      <c r="C82" s="10" t="s">
        <v>177</v>
      </c>
      <c r="D82" s="23">
        <v>2478.75</v>
      </c>
      <c r="E82" s="23"/>
      <c r="F82" s="26"/>
      <c r="G82" s="27"/>
      <c r="H82" s="27"/>
      <c r="I82" s="26"/>
      <c r="J82" s="26"/>
      <c r="K82" s="26">
        <v>258.21</v>
      </c>
      <c r="L82" s="26"/>
      <c r="M82" s="26"/>
      <c r="N82" s="26"/>
      <c r="O82" s="26">
        <v>954.34</v>
      </c>
      <c r="P82" s="26">
        <v>0</v>
      </c>
      <c r="Q82" s="26">
        <f t="shared" si="4"/>
        <v>1212.55</v>
      </c>
      <c r="R82" s="27">
        <f>Q82+'2023年 '!Q82+'2022年 '!Q82+'2021年 '!Q82+'2020年 '!Q82+'2019年 '!Q82+'2018年'!Q82</f>
        <v>2961.29</v>
      </c>
      <c r="S82" s="32">
        <f t="shared" si="5"/>
        <v>482.54</v>
      </c>
    </row>
    <row r="83" customHeight="1" spans="1:19">
      <c r="A83" s="23">
        <v>80</v>
      </c>
      <c r="B83" s="23" t="s">
        <v>178</v>
      </c>
      <c r="C83" s="10" t="s">
        <v>179</v>
      </c>
      <c r="D83" s="23">
        <v>2478.75</v>
      </c>
      <c r="E83" s="23"/>
      <c r="F83" s="26"/>
      <c r="G83" s="27"/>
      <c r="H83" s="27"/>
      <c r="I83" s="26">
        <v>258.21</v>
      </c>
      <c r="J83" s="26"/>
      <c r="K83" s="26"/>
      <c r="L83" s="26"/>
      <c r="M83" s="26"/>
      <c r="N83" s="26"/>
      <c r="O83" s="26">
        <v>954.34</v>
      </c>
      <c r="P83" s="26">
        <v>0</v>
      </c>
      <c r="Q83" s="26">
        <f t="shared" si="4"/>
        <v>1212.55</v>
      </c>
      <c r="R83" s="27">
        <f>Q83+'2023年 '!Q83+'2022年 '!Q83+'2021年 '!Q83+'2020年 '!Q83+'2019年 '!Q83+'2018年'!Q83</f>
        <v>3327.62</v>
      </c>
      <c r="S83" s="32">
        <f t="shared" si="5"/>
        <v>848.87</v>
      </c>
    </row>
    <row r="84" customHeight="1" spans="1:19">
      <c r="A84" s="23">
        <v>81</v>
      </c>
      <c r="B84" s="23" t="s">
        <v>180</v>
      </c>
      <c r="C84" s="10" t="s">
        <v>181</v>
      </c>
      <c r="D84" s="23">
        <v>2478.75</v>
      </c>
      <c r="E84" s="23"/>
      <c r="F84" s="26"/>
      <c r="G84" s="27"/>
      <c r="H84" s="27"/>
      <c r="I84" s="26"/>
      <c r="J84" s="26">
        <v>258.21</v>
      </c>
      <c r="K84" s="26"/>
      <c r="L84" s="26"/>
      <c r="M84" s="26"/>
      <c r="N84" s="26"/>
      <c r="O84" s="26">
        <v>954.34</v>
      </c>
      <c r="P84" s="26">
        <v>0</v>
      </c>
      <c r="Q84" s="26">
        <f t="shared" si="4"/>
        <v>1212.55</v>
      </c>
      <c r="R84" s="27">
        <f>Q84+'2023年 '!Q84+'2022年 '!Q84+'2021年 '!Q84+'2020年 '!Q84+'2019年 '!Q84+'2018年'!Q84</f>
        <v>2974.6</v>
      </c>
      <c r="S84" s="32">
        <f t="shared" si="5"/>
        <v>495.85</v>
      </c>
    </row>
    <row r="85" customHeight="1" spans="1:19">
      <c r="A85" s="23">
        <v>82</v>
      </c>
      <c r="B85" s="23" t="s">
        <v>182</v>
      </c>
      <c r="C85" s="10" t="s">
        <v>183</v>
      </c>
      <c r="D85" s="23">
        <v>2478.75</v>
      </c>
      <c r="E85" s="23"/>
      <c r="F85" s="26"/>
      <c r="G85" s="27"/>
      <c r="H85" s="27"/>
      <c r="I85" s="26">
        <v>258.21</v>
      </c>
      <c r="J85" s="26"/>
      <c r="K85" s="26"/>
      <c r="L85" s="26"/>
      <c r="M85" s="26"/>
      <c r="N85" s="26"/>
      <c r="O85" s="26">
        <v>954.34</v>
      </c>
      <c r="P85" s="26">
        <v>0</v>
      </c>
      <c r="Q85" s="26">
        <f t="shared" si="4"/>
        <v>1212.55</v>
      </c>
      <c r="R85" s="27">
        <f>Q85+'2023年 '!Q85+'2022年 '!Q85+'2021年 '!Q85+'2020年 '!Q85+'2019年 '!Q85+'2018年'!Q85</f>
        <v>3063.75</v>
      </c>
      <c r="S85" s="32">
        <f t="shared" si="5"/>
        <v>585</v>
      </c>
    </row>
    <row r="86" customHeight="1" spans="1:19">
      <c r="A86" s="23">
        <v>83</v>
      </c>
      <c r="B86" s="23" t="s">
        <v>184</v>
      </c>
      <c r="C86" s="10" t="s">
        <v>185</v>
      </c>
      <c r="D86" s="23">
        <v>2478.75</v>
      </c>
      <c r="E86" s="23"/>
      <c r="F86" s="26"/>
      <c r="G86" s="27"/>
      <c r="H86" s="27"/>
      <c r="I86" s="26">
        <v>258.21</v>
      </c>
      <c r="J86" s="26"/>
      <c r="K86" s="26"/>
      <c r="L86" s="26"/>
      <c r="M86" s="26"/>
      <c r="N86" s="26"/>
      <c r="O86" s="26">
        <v>954.34</v>
      </c>
      <c r="P86" s="26">
        <v>0</v>
      </c>
      <c r="Q86" s="26">
        <f t="shared" si="4"/>
        <v>1212.55</v>
      </c>
      <c r="R86" s="27">
        <f>Q86+'2023年 '!Q86+'2022年 '!Q86+'2021年 '!Q86+'2020年 '!Q86+'2019年 '!Q86+'2018年'!Q86</f>
        <v>3078.37</v>
      </c>
      <c r="S86" s="32">
        <f t="shared" si="5"/>
        <v>599.62</v>
      </c>
    </row>
    <row r="87" customHeight="1" spans="1:19">
      <c r="A87" s="23">
        <v>84</v>
      </c>
      <c r="B87" s="23" t="s">
        <v>186</v>
      </c>
      <c r="C87" s="10" t="s">
        <v>187</v>
      </c>
      <c r="D87" s="23">
        <v>2478.75</v>
      </c>
      <c r="E87" s="23"/>
      <c r="F87" s="26"/>
      <c r="G87" s="27"/>
      <c r="H87" s="27"/>
      <c r="I87" s="26"/>
      <c r="J87" s="26"/>
      <c r="K87" s="26"/>
      <c r="L87" s="26"/>
      <c r="M87" s="26"/>
      <c r="N87" s="26"/>
      <c r="O87" s="26">
        <v>954.34</v>
      </c>
      <c r="P87" s="26">
        <v>0</v>
      </c>
      <c r="Q87" s="26">
        <f t="shared" si="4"/>
        <v>954.34</v>
      </c>
      <c r="R87" s="27">
        <f>Q87+'2023年 '!Q87+'2022年 '!Q87+'2021年 '!Q87+'2020年 '!Q87+'2019年 '!Q87+'2018年'!Q87</f>
        <v>2920.86</v>
      </c>
      <c r="S87" s="32">
        <f t="shared" si="5"/>
        <v>442.11</v>
      </c>
    </row>
    <row r="88" customHeight="1" spans="1:19">
      <c r="A88" s="23">
        <v>85</v>
      </c>
      <c r="B88" s="23" t="s">
        <v>188</v>
      </c>
      <c r="C88" s="10" t="s">
        <v>189</v>
      </c>
      <c r="D88" s="23">
        <v>2478.75</v>
      </c>
      <c r="E88" s="23"/>
      <c r="F88" s="26"/>
      <c r="G88" s="27"/>
      <c r="H88" s="27"/>
      <c r="I88" s="26">
        <v>258.21</v>
      </c>
      <c r="J88" s="26"/>
      <c r="K88" s="26"/>
      <c r="L88" s="26"/>
      <c r="M88" s="26"/>
      <c r="N88" s="26"/>
      <c r="O88" s="26">
        <v>954.34</v>
      </c>
      <c r="P88" s="26">
        <v>0</v>
      </c>
      <c r="Q88" s="26">
        <f t="shared" si="4"/>
        <v>1212.55</v>
      </c>
      <c r="R88" s="27">
        <f>Q88+'2023年 '!Q88+'2022年 '!Q88+'2021年 '!Q88+'2020年 '!Q88+'2019年 '!Q88+'2018年'!Q88</f>
        <v>3106.97</v>
      </c>
      <c r="S88" s="32">
        <f t="shared" si="5"/>
        <v>628.22</v>
      </c>
    </row>
    <row r="89" customHeight="1" spans="1:19">
      <c r="A89" s="23">
        <v>86</v>
      </c>
      <c r="B89" s="23" t="s">
        <v>190</v>
      </c>
      <c r="C89" s="10" t="s">
        <v>191</v>
      </c>
      <c r="D89" s="23">
        <v>2478.75</v>
      </c>
      <c r="E89" s="23"/>
      <c r="F89" s="26"/>
      <c r="G89" s="27"/>
      <c r="H89" s="27"/>
      <c r="I89" s="26">
        <v>258.21</v>
      </c>
      <c r="J89" s="26"/>
      <c r="K89" s="26"/>
      <c r="L89" s="26"/>
      <c r="M89" s="26"/>
      <c r="N89" s="26"/>
      <c r="O89" s="26">
        <v>954.34</v>
      </c>
      <c r="P89" s="26">
        <v>0</v>
      </c>
      <c r="Q89" s="26">
        <f t="shared" si="4"/>
        <v>1212.55</v>
      </c>
      <c r="R89" s="27">
        <f>Q89+'2023年 '!Q89+'2022年 '!Q89+'2021年 '!Q89+'2020年 '!Q89+'2019年 '!Q89+'2018年'!Q89</f>
        <v>3179.07</v>
      </c>
      <c r="S89" s="32">
        <f t="shared" si="5"/>
        <v>700.32</v>
      </c>
    </row>
    <row r="90" customHeight="1" spans="1:19">
      <c r="A90" s="23">
        <v>87</v>
      </c>
      <c r="B90" s="23" t="s">
        <v>192</v>
      </c>
      <c r="C90" s="10" t="s">
        <v>193</v>
      </c>
      <c r="D90" s="23">
        <v>2478.75</v>
      </c>
      <c r="E90" s="23"/>
      <c r="F90" s="26"/>
      <c r="G90" s="27"/>
      <c r="H90" s="27"/>
      <c r="I90" s="26">
        <v>258.21</v>
      </c>
      <c r="J90" s="26"/>
      <c r="K90" s="26"/>
      <c r="L90" s="26"/>
      <c r="M90" s="26"/>
      <c r="N90" s="26"/>
      <c r="O90" s="26">
        <v>954.34</v>
      </c>
      <c r="P90" s="26">
        <v>0</v>
      </c>
      <c r="Q90" s="26">
        <f t="shared" si="4"/>
        <v>1212.55</v>
      </c>
      <c r="R90" s="27">
        <f>Q90+'2023年 '!Q90+'2022年 '!Q90+'2021年 '!Q90+'2020年 '!Q90+'2019年 '!Q90+'2018年'!Q90</f>
        <v>3179.07</v>
      </c>
      <c r="S90" s="32">
        <f t="shared" si="5"/>
        <v>700.32</v>
      </c>
    </row>
    <row r="91" customHeight="1" spans="1:19">
      <c r="A91" s="23">
        <v>88</v>
      </c>
      <c r="B91" s="23" t="s">
        <v>194</v>
      </c>
      <c r="C91" s="10" t="s">
        <v>195</v>
      </c>
      <c r="D91" s="23">
        <v>2478.75</v>
      </c>
      <c r="E91" s="23"/>
      <c r="F91" s="26"/>
      <c r="G91" s="27"/>
      <c r="H91" s="27"/>
      <c r="I91" s="26"/>
      <c r="J91" s="26"/>
      <c r="K91" s="26"/>
      <c r="L91" s="26"/>
      <c r="M91" s="26"/>
      <c r="N91" s="26"/>
      <c r="O91" s="26">
        <v>954.34</v>
      </c>
      <c r="P91" s="26">
        <v>0</v>
      </c>
      <c r="Q91" s="26">
        <f t="shared" si="4"/>
        <v>954.34</v>
      </c>
      <c r="R91" s="27">
        <f>Q91+'2023年 '!Q91+'2022年 '!Q91+'2021年 '!Q91+'2020年 '!Q91+'2019年 '!Q91+'2018年'!Q91</f>
        <v>3541.49</v>
      </c>
      <c r="S91" s="32">
        <f t="shared" si="5"/>
        <v>1062.74</v>
      </c>
    </row>
    <row r="92" customHeight="1" spans="1:19">
      <c r="A92" s="23">
        <v>89</v>
      </c>
      <c r="B92" s="23" t="s">
        <v>196</v>
      </c>
      <c r="C92" s="10" t="s">
        <v>197</v>
      </c>
      <c r="D92" s="23">
        <v>2478.75</v>
      </c>
      <c r="E92" s="23"/>
      <c r="F92" s="26"/>
      <c r="G92" s="27"/>
      <c r="H92" s="27"/>
      <c r="I92" s="26">
        <v>258.21</v>
      </c>
      <c r="J92" s="26"/>
      <c r="K92" s="26"/>
      <c r="L92" s="26"/>
      <c r="M92" s="26"/>
      <c r="N92" s="26"/>
      <c r="O92" s="26">
        <v>954.34</v>
      </c>
      <c r="P92" s="26">
        <v>0</v>
      </c>
      <c r="Q92" s="26">
        <f t="shared" si="4"/>
        <v>1212.55</v>
      </c>
      <c r="R92" s="27">
        <f>Q92+'2023年 '!Q92+'2022年 '!Q92+'2021年 '!Q92+'2020年 '!Q92+'2019年 '!Q92+'2018年'!Q92</f>
        <v>3179.07</v>
      </c>
      <c r="S92" s="32">
        <f t="shared" si="5"/>
        <v>700.32</v>
      </c>
    </row>
    <row r="93" customHeight="1" spans="1:19">
      <c r="A93" s="23">
        <v>90</v>
      </c>
      <c r="B93" s="23" t="s">
        <v>198</v>
      </c>
      <c r="C93" s="10" t="s">
        <v>199</v>
      </c>
      <c r="D93" s="23">
        <v>2478.75</v>
      </c>
      <c r="E93" s="23"/>
      <c r="F93" s="26"/>
      <c r="G93" s="27"/>
      <c r="H93" s="27"/>
      <c r="I93" s="26">
        <v>258.21</v>
      </c>
      <c r="J93" s="26"/>
      <c r="K93" s="26"/>
      <c r="L93" s="26"/>
      <c r="M93" s="26"/>
      <c r="N93" s="26"/>
      <c r="O93" s="26">
        <v>954.34</v>
      </c>
      <c r="P93" s="26">
        <v>0</v>
      </c>
      <c r="Q93" s="26">
        <f t="shared" si="4"/>
        <v>1212.55</v>
      </c>
      <c r="R93" s="27">
        <f>Q93+'2023年 '!Q93+'2022年 '!Q93+'2021年 '!Q93+'2020年 '!Q93+'2019年 '!Q93+'2018年'!Q93</f>
        <v>2961.29</v>
      </c>
      <c r="S93" s="32">
        <f t="shared" si="5"/>
        <v>482.54</v>
      </c>
    </row>
    <row r="94" customHeight="1" spans="1:19">
      <c r="A94" s="23">
        <v>91</v>
      </c>
      <c r="B94" s="23" t="s">
        <v>200</v>
      </c>
      <c r="C94" s="10" t="s">
        <v>201</v>
      </c>
      <c r="D94" s="23">
        <v>2208.86</v>
      </c>
      <c r="E94" s="23"/>
      <c r="F94" s="26"/>
      <c r="G94" s="27"/>
      <c r="H94" s="27"/>
      <c r="I94" s="26"/>
      <c r="J94" s="26"/>
      <c r="K94" s="26"/>
      <c r="L94" s="26"/>
      <c r="M94" s="26"/>
      <c r="N94" s="26"/>
      <c r="O94" s="26">
        <v>954.34</v>
      </c>
      <c r="P94" s="26">
        <v>0</v>
      </c>
      <c r="Q94" s="26">
        <f t="shared" si="4"/>
        <v>954.34</v>
      </c>
      <c r="R94" s="27">
        <f>Q94+'2023年 '!Q94+'2022年 '!Q94+'2021年 '!Q94+'2020年 '!Q94+'2019年 '!Q94+'2018年'!Q94</f>
        <v>2522.77</v>
      </c>
      <c r="S94" s="32">
        <f t="shared" si="5"/>
        <v>313.91</v>
      </c>
    </row>
    <row r="95" customHeight="1" spans="1:19">
      <c r="A95" s="23">
        <v>92</v>
      </c>
      <c r="B95" s="23" t="s">
        <v>202</v>
      </c>
      <c r="C95" s="10" t="s">
        <v>203</v>
      </c>
      <c r="D95" s="23">
        <v>2478.75</v>
      </c>
      <c r="E95" s="23"/>
      <c r="F95" s="26"/>
      <c r="G95" s="27"/>
      <c r="H95" s="27"/>
      <c r="I95" s="26">
        <v>258.21</v>
      </c>
      <c r="J95" s="26"/>
      <c r="K95" s="26"/>
      <c r="L95" s="26"/>
      <c r="M95" s="26"/>
      <c r="N95" s="26"/>
      <c r="O95" s="26">
        <v>954.34</v>
      </c>
      <c r="P95" s="26">
        <v>0</v>
      </c>
      <c r="Q95" s="26">
        <f t="shared" si="4"/>
        <v>1212.55</v>
      </c>
      <c r="R95" s="27">
        <f>Q95+'2023年 '!Q95+'2022年 '!Q95+'2021年 '!Q95+'2020年 '!Q95+'2019年 '!Q95+'2018年'!Q95</f>
        <v>3280.77</v>
      </c>
      <c r="S95" s="32">
        <f t="shared" si="5"/>
        <v>802.02</v>
      </c>
    </row>
    <row r="96" customHeight="1" spans="1:19">
      <c r="A96" s="23">
        <v>93</v>
      </c>
      <c r="B96" s="23" t="s">
        <v>204</v>
      </c>
      <c r="C96" s="10" t="s">
        <v>205</v>
      </c>
      <c r="D96" s="23">
        <v>2478.75</v>
      </c>
      <c r="E96" s="23"/>
      <c r="F96" s="26"/>
      <c r="G96" s="27"/>
      <c r="H96" s="27"/>
      <c r="I96" s="26">
        <v>258.21</v>
      </c>
      <c r="J96" s="26"/>
      <c r="K96" s="26"/>
      <c r="L96" s="26"/>
      <c r="M96" s="26"/>
      <c r="N96" s="26"/>
      <c r="O96" s="26">
        <v>954.34</v>
      </c>
      <c r="P96" s="26">
        <v>0</v>
      </c>
      <c r="Q96" s="26">
        <f t="shared" si="4"/>
        <v>1212.55</v>
      </c>
      <c r="R96" s="27">
        <f>Q96+'2023年 '!Q96+'2022年 '!Q96+'2021年 '!Q96+'2020年 '!Q96+'2019年 '!Q96+'2018年'!Q96</f>
        <v>3280.77</v>
      </c>
      <c r="S96" s="32">
        <f t="shared" si="5"/>
        <v>802.02</v>
      </c>
    </row>
    <row r="97" customHeight="1" spans="1:19">
      <c r="A97" s="23">
        <v>94</v>
      </c>
      <c r="B97" s="23" t="s">
        <v>206</v>
      </c>
      <c r="C97" s="10" t="s">
        <v>207</v>
      </c>
      <c r="D97" s="23">
        <v>2478.75</v>
      </c>
      <c r="E97" s="23"/>
      <c r="F97" s="26"/>
      <c r="G97" s="27"/>
      <c r="H97" s="27"/>
      <c r="I97" s="26">
        <v>258.21</v>
      </c>
      <c r="J97" s="26"/>
      <c r="K97" s="26"/>
      <c r="L97" s="26"/>
      <c r="M97" s="26"/>
      <c r="N97" s="26"/>
      <c r="O97" s="26">
        <v>954.34</v>
      </c>
      <c r="P97" s="26">
        <v>0</v>
      </c>
      <c r="Q97" s="26">
        <f t="shared" si="4"/>
        <v>1212.55</v>
      </c>
      <c r="R97" s="27">
        <f>Q97+'2023年 '!Q97+'2022年 '!Q97+'2021年 '!Q97+'2020年 '!Q97+'2019年 '!Q97+'2018年'!Q97</f>
        <v>2623.92</v>
      </c>
      <c r="S97" s="32">
        <f t="shared" si="5"/>
        <v>145.17</v>
      </c>
    </row>
    <row r="98" customHeight="1" spans="1:19">
      <c r="A98" s="23">
        <v>95</v>
      </c>
      <c r="B98" s="23" t="s">
        <v>208</v>
      </c>
      <c r="C98" s="10" t="s">
        <v>209</v>
      </c>
      <c r="D98" s="23">
        <v>2478.75</v>
      </c>
      <c r="E98" s="23"/>
      <c r="F98" s="26"/>
      <c r="G98" s="27"/>
      <c r="H98" s="27"/>
      <c r="I98" s="26"/>
      <c r="J98" s="26">
        <v>258.21</v>
      </c>
      <c r="K98" s="26"/>
      <c r="L98" s="26"/>
      <c r="M98" s="26"/>
      <c r="N98" s="26"/>
      <c r="O98" s="26">
        <v>954.34</v>
      </c>
      <c r="P98" s="26">
        <v>0</v>
      </c>
      <c r="Q98" s="26">
        <f t="shared" si="4"/>
        <v>1212.55</v>
      </c>
      <c r="R98" s="27">
        <f>Q98+'2023年 '!Q98+'2022年 '!Q98+'2021年 '!Q98+'2020年 '!Q98+'2019年 '!Q98+'2018年'!Q98</f>
        <v>3077.37</v>
      </c>
      <c r="S98" s="32">
        <f t="shared" si="5"/>
        <v>598.62</v>
      </c>
    </row>
    <row r="99" customHeight="1" spans="1:19">
      <c r="A99" s="23">
        <v>96</v>
      </c>
      <c r="B99" s="23" t="s">
        <v>210</v>
      </c>
      <c r="C99" s="10" t="s">
        <v>211</v>
      </c>
      <c r="D99" s="23">
        <v>2478.75</v>
      </c>
      <c r="E99" s="23"/>
      <c r="F99" s="26"/>
      <c r="G99" s="27"/>
      <c r="H99" s="27"/>
      <c r="I99" s="26">
        <v>258.21</v>
      </c>
      <c r="J99" s="26"/>
      <c r="K99" s="26"/>
      <c r="L99" s="26"/>
      <c r="M99" s="26"/>
      <c r="N99" s="26"/>
      <c r="O99" s="26">
        <v>954.34</v>
      </c>
      <c r="P99" s="26">
        <v>0</v>
      </c>
      <c r="Q99" s="26">
        <f t="shared" si="4"/>
        <v>1212.55</v>
      </c>
      <c r="R99" s="27">
        <f>Q99+'2023年 '!Q99+'2022年 '!Q99+'2021年 '!Q99+'2020年 '!Q99+'2019年 '!Q99+'2018年'!Q99</f>
        <v>3179.07</v>
      </c>
      <c r="S99" s="32">
        <f t="shared" si="5"/>
        <v>700.32</v>
      </c>
    </row>
    <row r="100" customHeight="1" spans="1:19">
      <c r="A100" s="23">
        <v>97</v>
      </c>
      <c r="B100" s="23" t="s">
        <v>212</v>
      </c>
      <c r="C100" s="10" t="s">
        <v>213</v>
      </c>
      <c r="D100" s="23">
        <v>2478.75</v>
      </c>
      <c r="E100" s="23"/>
      <c r="F100" s="26"/>
      <c r="G100" s="27"/>
      <c r="H100" s="27"/>
      <c r="I100" s="26">
        <v>258.21</v>
      </c>
      <c r="J100" s="26"/>
      <c r="K100" s="26"/>
      <c r="L100" s="26"/>
      <c r="M100" s="26"/>
      <c r="N100" s="26"/>
      <c r="O100" s="26">
        <v>954.34</v>
      </c>
      <c r="P100" s="26">
        <v>0</v>
      </c>
      <c r="Q100" s="26">
        <f t="shared" si="4"/>
        <v>1212.55</v>
      </c>
      <c r="R100" s="27">
        <f>Q100+'2023年 '!Q100+'2022年 '!Q100+'2021年 '!Q100+'2020年 '!Q100+'2019年 '!Q100+'2018年'!Q100</f>
        <v>3114.75</v>
      </c>
      <c r="S100" s="32">
        <f t="shared" si="5"/>
        <v>636</v>
      </c>
    </row>
    <row r="101" customHeight="1" spans="1:19">
      <c r="A101" s="23">
        <v>98</v>
      </c>
      <c r="B101" s="23" t="s">
        <v>214</v>
      </c>
      <c r="C101" s="12" t="s">
        <v>215</v>
      </c>
      <c r="D101" s="23">
        <v>2478.75</v>
      </c>
      <c r="E101" s="23"/>
      <c r="F101" s="26"/>
      <c r="G101" s="27"/>
      <c r="H101" s="27"/>
      <c r="I101" s="26"/>
      <c r="J101" s="26">
        <v>258.21</v>
      </c>
      <c r="K101" s="26"/>
      <c r="L101" s="26"/>
      <c r="M101" s="26"/>
      <c r="N101" s="26"/>
      <c r="O101" s="26">
        <v>954.34</v>
      </c>
      <c r="P101" s="26">
        <v>0</v>
      </c>
      <c r="Q101" s="26">
        <f t="shared" ref="Q101:Q131" si="6">SUM(E101:P101)</f>
        <v>1212.55</v>
      </c>
      <c r="R101" s="27">
        <f>Q101+'2023年 '!Q101+'2022年 '!Q101+'2021年 '!Q101+'2020年 '!Q101+'2019年 '!Q101+'2018年'!Q101</f>
        <v>3179.07</v>
      </c>
      <c r="S101" s="32">
        <f t="shared" ref="S101:S132" si="7">R101-D101</f>
        <v>700.32</v>
      </c>
    </row>
    <row r="102" customHeight="1" spans="1:19">
      <c r="A102" s="23">
        <v>99</v>
      </c>
      <c r="B102" s="23" t="s">
        <v>216</v>
      </c>
      <c r="C102" s="10" t="s">
        <v>217</v>
      </c>
      <c r="D102" s="23">
        <v>2478.75</v>
      </c>
      <c r="E102" s="23"/>
      <c r="F102" s="26"/>
      <c r="G102" s="27"/>
      <c r="H102" s="27"/>
      <c r="I102" s="26">
        <v>264.02</v>
      </c>
      <c r="J102" s="26"/>
      <c r="K102" s="26"/>
      <c r="L102" s="26"/>
      <c r="M102" s="26"/>
      <c r="N102" s="26"/>
      <c r="O102" s="26">
        <v>954.34</v>
      </c>
      <c r="P102" s="26">
        <v>0</v>
      </c>
      <c r="Q102" s="26">
        <f t="shared" si="6"/>
        <v>1218.36</v>
      </c>
      <c r="R102" s="27">
        <f>Q102+'2023年 '!Q102+'2022年 '!Q102+'2021年 '!Q102+'2020年 '!Q102+'2019年 '!Q102+'2018年'!Q102</f>
        <v>3662.45</v>
      </c>
      <c r="S102" s="32">
        <f t="shared" si="7"/>
        <v>1183.7</v>
      </c>
    </row>
    <row r="103" customHeight="1" spans="1:19">
      <c r="A103" s="23">
        <v>100</v>
      </c>
      <c r="B103" s="23" t="s">
        <v>218</v>
      </c>
      <c r="C103" s="10" t="s">
        <v>219</v>
      </c>
      <c r="D103" s="23">
        <v>1716.19</v>
      </c>
      <c r="E103" s="23"/>
      <c r="F103" s="26"/>
      <c r="G103" s="27"/>
      <c r="H103" s="27"/>
      <c r="I103" s="26">
        <v>258.21</v>
      </c>
      <c r="J103" s="26"/>
      <c r="K103" s="26"/>
      <c r="L103" s="26"/>
      <c r="M103" s="26"/>
      <c r="N103" s="26"/>
      <c r="O103" s="26">
        <v>954.34</v>
      </c>
      <c r="P103" s="26">
        <v>0</v>
      </c>
      <c r="Q103" s="26">
        <f t="shared" si="6"/>
        <v>1212.55</v>
      </c>
      <c r="R103" s="27">
        <f>Q103+'2023年 '!Q103+'2022年 '!Q103+'2021年 '!Q103+'2020年 '!Q103+'2019年 '!Q103+'2018年'!Q103</f>
        <v>1791.49</v>
      </c>
      <c r="S103" s="32">
        <f t="shared" si="7"/>
        <v>75.3</v>
      </c>
    </row>
    <row r="104" customHeight="1" spans="1:19">
      <c r="A104" s="23">
        <v>101</v>
      </c>
      <c r="B104" s="23" t="s">
        <v>220</v>
      </c>
      <c r="C104" s="10" t="s">
        <v>221</v>
      </c>
      <c r="D104" s="23">
        <v>2478.75</v>
      </c>
      <c r="E104" s="23"/>
      <c r="F104" s="26"/>
      <c r="G104" s="27"/>
      <c r="H104" s="27"/>
      <c r="I104" s="26">
        <v>258.21</v>
      </c>
      <c r="J104" s="26"/>
      <c r="K104" s="26"/>
      <c r="L104" s="26"/>
      <c r="M104" s="26"/>
      <c r="N104" s="26"/>
      <c r="O104" s="26">
        <v>954.34</v>
      </c>
      <c r="P104" s="26">
        <v>0</v>
      </c>
      <c r="Q104" s="26">
        <f t="shared" si="6"/>
        <v>1212.55</v>
      </c>
      <c r="R104" s="27">
        <f>Q104+'2023年 '!Q104+'2022年 '!Q104+'2021年 '!Q104+'2020年 '!Q104+'2019年 '!Q104+'2018年'!Q104</f>
        <v>3178.44</v>
      </c>
      <c r="S104" s="32">
        <f t="shared" si="7"/>
        <v>699.69</v>
      </c>
    </row>
    <row r="105" customHeight="1" spans="1:19">
      <c r="A105" s="23">
        <v>102</v>
      </c>
      <c r="B105" s="23" t="s">
        <v>222</v>
      </c>
      <c r="C105" s="10" t="s">
        <v>223</v>
      </c>
      <c r="D105" s="23">
        <v>2478.75</v>
      </c>
      <c r="E105" s="23"/>
      <c r="F105" s="26"/>
      <c r="G105" s="27"/>
      <c r="H105" s="27"/>
      <c r="I105" s="26"/>
      <c r="J105" s="26"/>
      <c r="K105" s="26">
        <v>258.21</v>
      </c>
      <c r="L105" s="26"/>
      <c r="M105" s="26"/>
      <c r="N105" s="26"/>
      <c r="O105" s="26">
        <v>954.34</v>
      </c>
      <c r="P105" s="26">
        <v>0</v>
      </c>
      <c r="Q105" s="26">
        <f t="shared" si="6"/>
        <v>1212.55</v>
      </c>
      <c r="R105" s="27">
        <f>Q105+'2023年 '!Q105+'2022年 '!Q105+'2021年 '!Q105+'2020年 '!Q105+'2019年 '!Q105+'2018年'!Q105</f>
        <v>3179.07</v>
      </c>
      <c r="S105" s="32">
        <f t="shared" si="7"/>
        <v>700.32</v>
      </c>
    </row>
    <row r="106" customHeight="1" spans="1:19">
      <c r="A106" s="23">
        <v>103</v>
      </c>
      <c r="B106" s="23" t="s">
        <v>224</v>
      </c>
      <c r="C106" s="10" t="s">
        <v>225</v>
      </c>
      <c r="D106" s="23">
        <v>2478.75</v>
      </c>
      <c r="E106" s="23"/>
      <c r="F106" s="26">
        <v>366.96</v>
      </c>
      <c r="G106" s="27"/>
      <c r="H106" s="27"/>
      <c r="I106" s="26"/>
      <c r="J106" s="26">
        <v>258.21</v>
      </c>
      <c r="K106" s="26"/>
      <c r="L106" s="26"/>
      <c r="M106" s="26"/>
      <c r="N106" s="26"/>
      <c r="O106" s="26">
        <v>954.34</v>
      </c>
      <c r="P106" s="26">
        <v>0</v>
      </c>
      <c r="Q106" s="26">
        <f t="shared" si="6"/>
        <v>1579.51</v>
      </c>
      <c r="R106" s="27">
        <f>Q106+'2023年 '!Q106+'2022年 '!Q106+'2021年 '!Q106+'2020年 '!Q106+'2019年 '!Q106+'2018年'!Q106</f>
        <v>3695.21</v>
      </c>
      <c r="S106" s="32">
        <f t="shared" si="7"/>
        <v>1216.46</v>
      </c>
    </row>
    <row r="107" customHeight="1" spans="1:19">
      <c r="A107" s="23">
        <v>104</v>
      </c>
      <c r="B107" s="23" t="s">
        <v>226</v>
      </c>
      <c r="C107" s="10" t="s">
        <v>227</v>
      </c>
      <c r="D107" s="23">
        <v>2478.75</v>
      </c>
      <c r="E107" s="23"/>
      <c r="F107" s="26"/>
      <c r="G107" s="27"/>
      <c r="H107" s="27"/>
      <c r="I107" s="26"/>
      <c r="J107" s="26"/>
      <c r="K107" s="26">
        <v>258.21</v>
      </c>
      <c r="L107" s="26"/>
      <c r="M107" s="26"/>
      <c r="N107" s="26"/>
      <c r="O107" s="26">
        <v>954.34</v>
      </c>
      <c r="P107" s="26">
        <v>0</v>
      </c>
      <c r="Q107" s="26">
        <f t="shared" si="6"/>
        <v>1212.55</v>
      </c>
      <c r="R107" s="27">
        <f>Q107+'2023年 '!Q107+'2022年 '!Q107+'2021年 '!Q107+'2020年 '!Q107+'2019年 '!Q107+'2018年'!Q107</f>
        <v>3179.07</v>
      </c>
      <c r="S107" s="32">
        <f t="shared" si="7"/>
        <v>700.32</v>
      </c>
    </row>
    <row r="108" customHeight="1" spans="1:19">
      <c r="A108" s="23">
        <v>105</v>
      </c>
      <c r="B108" s="23" t="s">
        <v>228</v>
      </c>
      <c r="C108" s="10" t="s">
        <v>229</v>
      </c>
      <c r="D108" s="23">
        <v>2478.75</v>
      </c>
      <c r="E108" s="23"/>
      <c r="F108" s="26"/>
      <c r="G108" s="27"/>
      <c r="H108" s="27"/>
      <c r="I108" s="26">
        <v>258.21</v>
      </c>
      <c r="J108" s="26"/>
      <c r="K108" s="26"/>
      <c r="L108" s="26"/>
      <c r="M108" s="26"/>
      <c r="N108" s="26"/>
      <c r="O108" s="26">
        <v>954.34</v>
      </c>
      <c r="P108" s="26">
        <v>0</v>
      </c>
      <c r="Q108" s="26">
        <f t="shared" si="6"/>
        <v>1212.55</v>
      </c>
      <c r="R108" s="27">
        <f>Q108+'2023年 '!Q108+'2022年 '!Q108+'2021年 '!Q108+'2020年 '!Q108+'2019年 '!Q108+'2018年'!Q108</f>
        <v>3179.07</v>
      </c>
      <c r="S108" s="32">
        <f t="shared" si="7"/>
        <v>700.32</v>
      </c>
    </row>
    <row r="109" customHeight="1" spans="1:19">
      <c r="A109" s="23">
        <v>106</v>
      </c>
      <c r="B109" s="23" t="s">
        <v>230</v>
      </c>
      <c r="C109" s="10" t="s">
        <v>231</v>
      </c>
      <c r="D109" s="23">
        <v>2478.75</v>
      </c>
      <c r="E109" s="23"/>
      <c r="F109" s="26"/>
      <c r="G109" s="27"/>
      <c r="H109" s="27"/>
      <c r="I109" s="26">
        <v>258.21</v>
      </c>
      <c r="J109" s="26"/>
      <c r="K109" s="26"/>
      <c r="L109" s="26"/>
      <c r="M109" s="26"/>
      <c r="N109" s="26"/>
      <c r="O109" s="26">
        <v>0</v>
      </c>
      <c r="P109" s="26">
        <v>954.34</v>
      </c>
      <c r="Q109" s="26">
        <f t="shared" si="6"/>
        <v>1212.55</v>
      </c>
      <c r="R109" s="27">
        <f>Q109+'2023年 '!Q109+'2022年 '!Q109+'2021年 '!Q109+'2020年 '!Q109+'2019年 '!Q109+'2018年'!Q109</f>
        <v>3156.3</v>
      </c>
      <c r="S109" s="32">
        <f t="shared" si="7"/>
        <v>677.55</v>
      </c>
    </row>
    <row r="110" customHeight="1" spans="1:19">
      <c r="A110" s="23">
        <v>107</v>
      </c>
      <c r="B110" s="23" t="s">
        <v>232</v>
      </c>
      <c r="C110" s="10" t="s">
        <v>233</v>
      </c>
      <c r="D110" s="23">
        <v>2478.75</v>
      </c>
      <c r="E110" s="23"/>
      <c r="F110" s="26"/>
      <c r="G110" s="27"/>
      <c r="H110" s="27"/>
      <c r="I110" s="26"/>
      <c r="J110" s="26"/>
      <c r="K110" s="26"/>
      <c r="L110" s="26"/>
      <c r="M110" s="26"/>
      <c r="N110" s="26">
        <v>258.21</v>
      </c>
      <c r="O110" s="26">
        <v>954.34</v>
      </c>
      <c r="P110" s="26">
        <v>0</v>
      </c>
      <c r="Q110" s="26">
        <f t="shared" si="6"/>
        <v>1212.55</v>
      </c>
      <c r="R110" s="27">
        <f>Q110+'2023年 '!Q110+'2022年 '!Q110+'2021年 '!Q110+'2020年 '!Q110+'2019年 '!Q110+'2018年'!Q110</f>
        <v>3178.44</v>
      </c>
      <c r="S110" s="32">
        <f t="shared" si="7"/>
        <v>699.69</v>
      </c>
    </row>
    <row r="111" customHeight="1" spans="1:19">
      <c r="A111" s="23">
        <v>108</v>
      </c>
      <c r="B111" s="23" t="s">
        <v>234</v>
      </c>
      <c r="C111" s="10" t="s">
        <v>235</v>
      </c>
      <c r="D111" s="23">
        <v>2478.75</v>
      </c>
      <c r="E111" s="23"/>
      <c r="F111" s="26"/>
      <c r="G111" s="27"/>
      <c r="H111" s="27"/>
      <c r="I111" s="26"/>
      <c r="J111" s="26"/>
      <c r="K111" s="26"/>
      <c r="L111" s="26"/>
      <c r="M111" s="26"/>
      <c r="N111" s="26"/>
      <c r="O111" s="26">
        <v>954.34</v>
      </c>
      <c r="P111" s="26">
        <v>0</v>
      </c>
      <c r="Q111" s="26">
        <f t="shared" si="6"/>
        <v>954.34</v>
      </c>
      <c r="R111" s="27">
        <f>Q111+'2023年 '!Q111+'2022年 '!Q111+'2021年 '!Q111+'2020年 '!Q111+'2019年 '!Q111+'2018年'!Q111</f>
        <v>2760.71</v>
      </c>
      <c r="S111" s="32">
        <f t="shared" si="7"/>
        <v>281.96</v>
      </c>
    </row>
    <row r="112" customHeight="1" spans="1:19">
      <c r="A112" s="23">
        <v>109</v>
      </c>
      <c r="B112" s="23" t="s">
        <v>236</v>
      </c>
      <c r="C112" s="10" t="s">
        <v>237</v>
      </c>
      <c r="D112" s="23">
        <v>2478.75</v>
      </c>
      <c r="E112" s="23"/>
      <c r="F112" s="26"/>
      <c r="G112" s="27"/>
      <c r="H112" s="27"/>
      <c r="I112" s="26">
        <v>258.21</v>
      </c>
      <c r="J112" s="26"/>
      <c r="K112" s="26"/>
      <c r="L112" s="26"/>
      <c r="M112" s="26"/>
      <c r="N112" s="26"/>
      <c r="O112" s="26">
        <v>954.34</v>
      </c>
      <c r="P112" s="26">
        <v>0</v>
      </c>
      <c r="Q112" s="26">
        <f t="shared" si="6"/>
        <v>1212.55</v>
      </c>
      <c r="R112" s="27">
        <f>Q112+'2023年 '!Q112+'2022年 '!Q112+'2021年 '!Q112+'2020年 '!Q112+'2019年 '!Q112+'2018年'!Q112</f>
        <v>3179.07</v>
      </c>
      <c r="S112" s="32">
        <f t="shared" si="7"/>
        <v>700.32</v>
      </c>
    </row>
    <row r="113" customHeight="1" spans="1:19">
      <c r="A113" s="23">
        <v>110</v>
      </c>
      <c r="B113" s="23" t="s">
        <v>238</v>
      </c>
      <c r="C113" s="10" t="s">
        <v>239</v>
      </c>
      <c r="D113" s="23">
        <v>2478.75</v>
      </c>
      <c r="E113" s="23"/>
      <c r="F113" s="26"/>
      <c r="G113" s="27"/>
      <c r="H113" s="27"/>
      <c r="I113" s="26">
        <v>258.21</v>
      </c>
      <c r="J113" s="26">
        <v>258.21</v>
      </c>
      <c r="K113" s="26"/>
      <c r="L113" s="26"/>
      <c r="M113" s="26"/>
      <c r="N113" s="26"/>
      <c r="O113" s="26">
        <v>954.34</v>
      </c>
      <c r="P113" s="26">
        <v>0</v>
      </c>
      <c r="Q113" s="26">
        <f t="shared" si="6"/>
        <v>1470.76</v>
      </c>
      <c r="R113" s="27">
        <f>Q113+'2023年 '!Q113+'2022年 '!Q113+'2021年 '!Q113+'2020年 '!Q113+'2019年 '!Q113+'2018年'!Q113</f>
        <v>3437.28</v>
      </c>
      <c r="S113" s="32">
        <f t="shared" si="7"/>
        <v>958.53</v>
      </c>
    </row>
    <row r="114" customHeight="1" spans="1:19">
      <c r="A114" s="23">
        <v>111</v>
      </c>
      <c r="B114" s="23" t="s">
        <v>240</v>
      </c>
      <c r="C114" s="10" t="s">
        <v>241</v>
      </c>
      <c r="D114" s="23">
        <v>2478.75</v>
      </c>
      <c r="E114" s="23">
        <v>366.96</v>
      </c>
      <c r="F114" s="26"/>
      <c r="G114" s="27"/>
      <c r="H114" s="27"/>
      <c r="I114" s="26">
        <v>258.21</v>
      </c>
      <c r="J114" s="26"/>
      <c r="K114" s="26"/>
      <c r="L114" s="26"/>
      <c r="M114" s="26"/>
      <c r="N114" s="26"/>
      <c r="O114" s="26">
        <v>954.34</v>
      </c>
      <c r="P114" s="26">
        <v>500</v>
      </c>
      <c r="Q114" s="26">
        <f t="shared" si="6"/>
        <v>2079.51</v>
      </c>
      <c r="R114" s="27">
        <f>Q114+'2023年 '!Q114+'2022年 '!Q114+'2021年 '!Q114+'2020年 '!Q114+'2019年 '!Q114+'2018年'!Q114</f>
        <v>4676.86</v>
      </c>
      <c r="S114" s="32">
        <f t="shared" si="7"/>
        <v>2198.11</v>
      </c>
    </row>
    <row r="115" customHeight="1" spans="1:19">
      <c r="A115" s="23">
        <v>112</v>
      </c>
      <c r="B115" s="23" t="s">
        <v>242</v>
      </c>
      <c r="C115" s="10" t="s">
        <v>243</v>
      </c>
      <c r="D115" s="23">
        <v>2478.75</v>
      </c>
      <c r="E115" s="23"/>
      <c r="F115" s="26"/>
      <c r="G115" s="27"/>
      <c r="H115" s="27"/>
      <c r="I115" s="26"/>
      <c r="J115" s="26"/>
      <c r="K115" s="26">
        <v>258.21</v>
      </c>
      <c r="L115" s="26"/>
      <c r="M115" s="26"/>
      <c r="N115" s="26"/>
      <c r="O115" s="26">
        <v>954.34</v>
      </c>
      <c r="P115" s="26">
        <v>500</v>
      </c>
      <c r="Q115" s="26">
        <f t="shared" si="6"/>
        <v>1712.55</v>
      </c>
      <c r="R115" s="27">
        <f>Q115+'2023年 '!Q115+'2022年 '!Q115+'2021年 '!Q115+'2020年 '!Q115+'2019年 '!Q115+'2018年'!Q115</f>
        <v>3775.73</v>
      </c>
      <c r="S115" s="32">
        <f t="shared" si="7"/>
        <v>1296.98</v>
      </c>
    </row>
    <row r="116" customHeight="1" spans="1:19">
      <c r="A116" s="23">
        <v>113</v>
      </c>
      <c r="B116" s="23" t="s">
        <v>244</v>
      </c>
      <c r="C116" s="10" t="s">
        <v>245</v>
      </c>
      <c r="D116" s="23">
        <v>2478.75</v>
      </c>
      <c r="E116" s="23"/>
      <c r="F116" s="26"/>
      <c r="G116" s="27"/>
      <c r="H116" s="27"/>
      <c r="I116" s="26"/>
      <c r="J116" s="26">
        <v>258.21</v>
      </c>
      <c r="K116" s="26"/>
      <c r="L116" s="26"/>
      <c r="M116" s="26"/>
      <c r="N116" s="26"/>
      <c r="O116" s="26">
        <v>954.34</v>
      </c>
      <c r="P116" s="26">
        <v>0</v>
      </c>
      <c r="Q116" s="26">
        <f t="shared" si="6"/>
        <v>1212.55</v>
      </c>
      <c r="R116" s="27">
        <f>Q116+'2023年 '!Q116+'2022年 '!Q116+'2021年 '!Q116+'2020年 '!Q116+'2019年 '!Q116+'2018年'!Q116</f>
        <v>3064.75</v>
      </c>
      <c r="S116" s="32">
        <f t="shared" si="7"/>
        <v>586</v>
      </c>
    </row>
    <row r="117" customHeight="1" spans="1:19">
      <c r="A117" s="23">
        <v>114</v>
      </c>
      <c r="B117" s="23" t="s">
        <v>246</v>
      </c>
      <c r="C117" s="10" t="s">
        <v>247</v>
      </c>
      <c r="D117" s="23">
        <v>1888.51</v>
      </c>
      <c r="E117" s="23"/>
      <c r="F117" s="26"/>
      <c r="G117" s="27"/>
      <c r="H117" s="27"/>
      <c r="I117" s="26"/>
      <c r="J117" s="26"/>
      <c r="K117" s="26"/>
      <c r="L117" s="26"/>
      <c r="M117" s="26">
        <v>258.21</v>
      </c>
      <c r="N117" s="26"/>
      <c r="O117" s="26">
        <v>954.34</v>
      </c>
      <c r="P117" s="26">
        <v>0</v>
      </c>
      <c r="Q117" s="26">
        <f t="shared" si="6"/>
        <v>1212.55</v>
      </c>
      <c r="R117" s="27">
        <f>Q117+'2023年 '!Q117+'2022年 '!Q117+'2021年 '!Q117+'2020年 '!Q117+'2019年 '!Q117+'2018年'!Q117</f>
        <v>1791.49</v>
      </c>
      <c r="S117" s="32">
        <f t="shared" si="7"/>
        <v>-97.02</v>
      </c>
    </row>
    <row r="118" customHeight="1" spans="1:19">
      <c r="A118" s="23">
        <v>115</v>
      </c>
      <c r="B118" s="23" t="s">
        <v>248</v>
      </c>
      <c r="C118" s="10" t="s">
        <v>249</v>
      </c>
      <c r="D118" s="23">
        <v>2478.75</v>
      </c>
      <c r="E118" s="23"/>
      <c r="F118" s="26"/>
      <c r="G118" s="27"/>
      <c r="H118" s="27"/>
      <c r="I118" s="26">
        <v>258.21</v>
      </c>
      <c r="J118" s="26">
        <v>258.21</v>
      </c>
      <c r="K118" s="26"/>
      <c r="L118" s="26"/>
      <c r="M118" s="26"/>
      <c r="N118" s="26"/>
      <c r="O118" s="26">
        <v>954.34</v>
      </c>
      <c r="P118" s="26">
        <v>0</v>
      </c>
      <c r="Q118" s="26">
        <f t="shared" si="6"/>
        <v>1470.76</v>
      </c>
      <c r="R118" s="27">
        <f>Q118+'2023年 '!Q118+'2022年 '!Q118+'2021年 '!Q118+'2020年 '!Q118+'2019年 '!Q118+'2018年'!Q118</f>
        <v>3437.28</v>
      </c>
      <c r="S118" s="32">
        <f t="shared" si="7"/>
        <v>958.53</v>
      </c>
    </row>
    <row r="119" customHeight="1" spans="1:19">
      <c r="A119" s="23">
        <v>116</v>
      </c>
      <c r="B119" s="23" t="s">
        <v>250</v>
      </c>
      <c r="C119" s="10" t="s">
        <v>251</v>
      </c>
      <c r="D119" s="23">
        <v>2478.75</v>
      </c>
      <c r="E119" s="23"/>
      <c r="F119" s="26"/>
      <c r="G119" s="27"/>
      <c r="H119" s="27"/>
      <c r="I119" s="26">
        <v>258.21</v>
      </c>
      <c r="J119" s="26"/>
      <c r="K119" s="26"/>
      <c r="L119" s="26"/>
      <c r="M119" s="26"/>
      <c r="N119" s="26"/>
      <c r="O119" s="26">
        <v>954.34</v>
      </c>
      <c r="P119" s="26">
        <v>245.13</v>
      </c>
      <c r="Q119" s="26">
        <f t="shared" si="6"/>
        <v>1457.68</v>
      </c>
      <c r="R119" s="27">
        <f>Q119+'2023年 '!Q119+'2022年 '!Q119+'2021年 '!Q119+'2020年 '!Q119+'2019年 '!Q119+'2018年'!Q119</f>
        <v>3573.38</v>
      </c>
      <c r="S119" s="32">
        <f t="shared" si="7"/>
        <v>1094.63</v>
      </c>
    </row>
    <row r="120" customHeight="1" spans="1:19">
      <c r="A120" s="23">
        <v>117</v>
      </c>
      <c r="B120" s="23" t="s">
        <v>252</v>
      </c>
      <c r="C120" s="10" t="s">
        <v>253</v>
      </c>
      <c r="D120" s="23">
        <v>2447.74</v>
      </c>
      <c r="E120" s="23"/>
      <c r="F120" s="26"/>
      <c r="G120" s="27"/>
      <c r="H120" s="27"/>
      <c r="I120" s="26"/>
      <c r="J120" s="26"/>
      <c r="K120" s="26">
        <v>258.21</v>
      </c>
      <c r="L120" s="26"/>
      <c r="M120" s="26"/>
      <c r="N120" s="26"/>
      <c r="O120" s="26">
        <v>954.34</v>
      </c>
      <c r="P120" s="26">
        <v>0</v>
      </c>
      <c r="Q120" s="26">
        <f t="shared" si="6"/>
        <v>1212.55</v>
      </c>
      <c r="R120" s="27">
        <f>Q120+'2023年 '!Q120+'2022年 '!Q120+'2021年 '!Q120+'2020年 '!Q120+'2019年 '!Q120+'2018年'!Q120</f>
        <v>2667.79</v>
      </c>
      <c r="S120" s="32">
        <f t="shared" si="7"/>
        <v>220.05</v>
      </c>
    </row>
    <row r="121" customHeight="1" spans="1:19">
      <c r="A121" s="23">
        <v>118</v>
      </c>
      <c r="B121" s="23" t="s">
        <v>254</v>
      </c>
      <c r="C121" s="10" t="s">
        <v>255</v>
      </c>
      <c r="D121" s="23">
        <v>2447.74</v>
      </c>
      <c r="E121" s="23"/>
      <c r="F121" s="26"/>
      <c r="G121" s="27"/>
      <c r="H121" s="27"/>
      <c r="I121" s="26"/>
      <c r="J121" s="26">
        <v>258.21</v>
      </c>
      <c r="K121" s="26"/>
      <c r="L121" s="26"/>
      <c r="M121" s="26"/>
      <c r="N121" s="26"/>
      <c r="O121" s="26">
        <v>954.34</v>
      </c>
      <c r="P121" s="26">
        <v>0</v>
      </c>
      <c r="Q121" s="26">
        <f t="shared" si="6"/>
        <v>1212.55</v>
      </c>
      <c r="R121" s="27">
        <f>Q121+'2023年 '!Q121+'2022年 '!Q121+'2021年 '!Q121+'2020年 '!Q121+'2019年 '!Q121+'2018年'!Q121</f>
        <v>3275.73</v>
      </c>
      <c r="S121" s="32">
        <f t="shared" si="7"/>
        <v>827.99</v>
      </c>
    </row>
    <row r="122" customHeight="1" spans="1:19">
      <c r="A122" s="23">
        <v>119</v>
      </c>
      <c r="B122" s="23" t="s">
        <v>256</v>
      </c>
      <c r="C122" s="12" t="s">
        <v>257</v>
      </c>
      <c r="D122" s="23">
        <v>2447.74</v>
      </c>
      <c r="E122" s="23"/>
      <c r="F122" s="26"/>
      <c r="G122" s="27"/>
      <c r="H122" s="27"/>
      <c r="I122" s="26"/>
      <c r="J122" s="26"/>
      <c r="K122" s="26">
        <v>258.21</v>
      </c>
      <c r="L122" s="26"/>
      <c r="M122" s="26"/>
      <c r="N122" s="26"/>
      <c r="O122" s="26">
        <v>954.34</v>
      </c>
      <c r="P122" s="26">
        <v>0</v>
      </c>
      <c r="Q122" s="26">
        <f t="shared" si="6"/>
        <v>1212.55</v>
      </c>
      <c r="R122" s="27">
        <f>Q122+'2023年 '!Q122+'2022年 '!Q122+'2021年 '!Q122+'2020年 '!Q122+'2019年 '!Q122+'2018年'!Q122</f>
        <v>3178.07</v>
      </c>
      <c r="S122" s="32">
        <f t="shared" si="7"/>
        <v>730.33</v>
      </c>
    </row>
    <row r="123" customHeight="1" spans="1:19">
      <c r="A123" s="23">
        <v>120</v>
      </c>
      <c r="B123" s="23" t="s">
        <v>258</v>
      </c>
      <c r="C123" s="10" t="s">
        <v>259</v>
      </c>
      <c r="D123" s="23">
        <v>2447.74</v>
      </c>
      <c r="E123" s="23"/>
      <c r="F123" s="26"/>
      <c r="G123" s="27"/>
      <c r="H123" s="27"/>
      <c r="I123" s="26">
        <v>258.21</v>
      </c>
      <c r="J123" s="26"/>
      <c r="K123" s="26"/>
      <c r="L123" s="26"/>
      <c r="M123" s="26"/>
      <c r="N123" s="26"/>
      <c r="O123" s="26">
        <v>954.34</v>
      </c>
      <c r="P123" s="26">
        <v>0</v>
      </c>
      <c r="Q123" s="26">
        <f t="shared" si="6"/>
        <v>1212.55</v>
      </c>
      <c r="R123" s="27">
        <f>Q123+'2023年 '!Q123+'2022年 '!Q123+'2021年 '!Q123+'2020年 '!Q123+'2019年 '!Q123+'2018年'!Q123</f>
        <v>3179.07</v>
      </c>
      <c r="S123" s="32">
        <f t="shared" si="7"/>
        <v>731.33</v>
      </c>
    </row>
    <row r="124" customHeight="1" spans="1:19">
      <c r="A124" s="23">
        <v>121</v>
      </c>
      <c r="B124" s="23" t="s">
        <v>260</v>
      </c>
      <c r="C124" s="10" t="s">
        <v>261</v>
      </c>
      <c r="D124" s="23">
        <v>2447.74</v>
      </c>
      <c r="E124" s="23"/>
      <c r="F124" s="26"/>
      <c r="G124" s="27"/>
      <c r="H124" s="27"/>
      <c r="I124" s="26">
        <v>263.43</v>
      </c>
      <c r="J124" s="26"/>
      <c r="K124" s="26"/>
      <c r="L124" s="26">
        <v>5.22</v>
      </c>
      <c r="M124" s="26"/>
      <c r="N124" s="26"/>
      <c r="O124" s="26">
        <v>954.34</v>
      </c>
      <c r="P124" s="26">
        <v>0</v>
      </c>
      <c r="Q124" s="26">
        <f t="shared" si="6"/>
        <v>1222.99</v>
      </c>
      <c r="R124" s="27">
        <f>Q124+'2023年 '!Q124+'2022年 '!Q124+'2021年 '!Q124+'2020年 '!Q124+'2019年 '!Q124+'2018年'!Q124</f>
        <v>3286.01</v>
      </c>
      <c r="S124" s="32">
        <f t="shared" si="7"/>
        <v>838.27</v>
      </c>
    </row>
    <row r="125" customHeight="1" spans="1:19">
      <c r="A125" s="23">
        <v>122</v>
      </c>
      <c r="B125" s="23" t="s">
        <v>262</v>
      </c>
      <c r="C125" s="10" t="s">
        <v>263</v>
      </c>
      <c r="D125" s="23">
        <v>2447.74</v>
      </c>
      <c r="E125" s="23"/>
      <c r="F125" s="26"/>
      <c r="G125" s="27"/>
      <c r="H125" s="27"/>
      <c r="I125" s="26"/>
      <c r="J125" s="26"/>
      <c r="K125" s="26"/>
      <c r="L125" s="26"/>
      <c r="M125" s="26"/>
      <c r="N125" s="26"/>
      <c r="O125" s="26">
        <v>954.34</v>
      </c>
      <c r="P125" s="26">
        <v>0</v>
      </c>
      <c r="Q125" s="26">
        <f t="shared" si="6"/>
        <v>954.34</v>
      </c>
      <c r="R125" s="27">
        <f>Q125+'2023年 '!Q125+'2022年 '!Q125+'2021年 '!Q125+'2020年 '!Q125+'2019年 '!Q125+'2018年'!Q125</f>
        <v>2673.84</v>
      </c>
      <c r="S125" s="32">
        <f t="shared" si="7"/>
        <v>226.1</v>
      </c>
    </row>
    <row r="126" customHeight="1" spans="1:19">
      <c r="A126" s="23">
        <v>123</v>
      </c>
      <c r="B126" s="23" t="s">
        <v>264</v>
      </c>
      <c r="C126" s="10" t="s">
        <v>265</v>
      </c>
      <c r="D126" s="23">
        <v>2447.74</v>
      </c>
      <c r="E126" s="23"/>
      <c r="F126" s="26"/>
      <c r="G126" s="27"/>
      <c r="H126" s="27"/>
      <c r="I126" s="26">
        <v>258.21</v>
      </c>
      <c r="J126" s="26"/>
      <c r="K126" s="26"/>
      <c r="L126" s="26"/>
      <c r="M126" s="26"/>
      <c r="N126" s="26"/>
      <c r="O126" s="26">
        <v>954.34</v>
      </c>
      <c r="P126" s="26">
        <v>0</v>
      </c>
      <c r="Q126" s="26">
        <f t="shared" si="6"/>
        <v>1212.55</v>
      </c>
      <c r="R126" s="27">
        <f>Q126+'2023年 '!Q126+'2022年 '!Q126+'2021年 '!Q126+'2020年 '!Q126+'2019年 '!Q126+'2018年'!Q126</f>
        <v>3029.89</v>
      </c>
      <c r="S126" s="32">
        <f t="shared" si="7"/>
        <v>582.15</v>
      </c>
    </row>
    <row r="127" customHeight="1" spans="1:19">
      <c r="A127" s="23">
        <v>124</v>
      </c>
      <c r="B127" s="23" t="s">
        <v>266</v>
      </c>
      <c r="C127" s="10" t="s">
        <v>267</v>
      </c>
      <c r="D127" s="23">
        <v>2447.74</v>
      </c>
      <c r="E127" s="23"/>
      <c r="F127" s="26"/>
      <c r="G127" s="27"/>
      <c r="H127" s="27"/>
      <c r="I127" s="26">
        <v>258.21</v>
      </c>
      <c r="J127" s="26"/>
      <c r="K127" s="26"/>
      <c r="L127" s="26"/>
      <c r="M127" s="26"/>
      <c r="N127" s="26"/>
      <c r="O127" s="26">
        <v>954.34</v>
      </c>
      <c r="P127" s="26">
        <v>0</v>
      </c>
      <c r="Q127" s="26">
        <f t="shared" si="6"/>
        <v>1212.55</v>
      </c>
      <c r="R127" s="27">
        <f>Q127+'2023年 '!Q127+'2022年 '!Q127+'2021年 '!Q127+'2020年 '!Q127+'2019年 '!Q127+'2018年'!Q127</f>
        <v>3179.07</v>
      </c>
      <c r="S127" s="32">
        <f t="shared" si="7"/>
        <v>731.33</v>
      </c>
    </row>
    <row r="128" customHeight="1" spans="1:19">
      <c r="A128" s="23">
        <v>125</v>
      </c>
      <c r="B128" s="23" t="s">
        <v>268</v>
      </c>
      <c r="C128" s="26"/>
      <c r="E128" s="23"/>
      <c r="F128" s="26"/>
      <c r="G128" s="27"/>
      <c r="H128" s="27"/>
      <c r="I128" s="26"/>
      <c r="J128" s="26"/>
      <c r="K128" s="26"/>
      <c r="L128" s="26"/>
      <c r="M128" s="26"/>
      <c r="N128" s="26"/>
      <c r="O128" s="26"/>
      <c r="P128" s="26">
        <v>0</v>
      </c>
      <c r="Q128" s="26">
        <f t="shared" si="6"/>
        <v>0</v>
      </c>
      <c r="R128" s="27">
        <f>Q128+'2023年 '!Q128+'2022年 '!Q128+'2021年 '!Q128+'2020年 '!Q128+'2019年 '!Q128+'2018年'!Q128</f>
        <v>0</v>
      </c>
      <c r="S128" s="32">
        <f t="shared" si="7"/>
        <v>0</v>
      </c>
    </row>
    <row r="129" customHeight="1" spans="1:19">
      <c r="A129" s="23">
        <v>126</v>
      </c>
      <c r="B129" s="23" t="s">
        <v>269</v>
      </c>
      <c r="C129" s="10" t="s">
        <v>270</v>
      </c>
      <c r="D129" s="17">
        <v>2447.74</v>
      </c>
      <c r="E129" s="23"/>
      <c r="F129" s="26"/>
      <c r="G129" s="27"/>
      <c r="H129" s="27"/>
      <c r="I129" s="26">
        <v>258.21</v>
      </c>
      <c r="J129" s="26"/>
      <c r="K129" s="26"/>
      <c r="L129" s="26"/>
      <c r="M129" s="26"/>
      <c r="N129" s="26"/>
      <c r="O129" s="26">
        <v>954.34</v>
      </c>
      <c r="P129" s="26">
        <v>0</v>
      </c>
      <c r="Q129" s="26">
        <f t="shared" si="6"/>
        <v>1212.55</v>
      </c>
      <c r="R129" s="27">
        <f>Q129+'2023年 '!Q129+'2022年 '!Q129+'2021年 '!Q129+'2020年 '!Q129+'2019年 '!Q129+'2018年'!Q129</f>
        <v>3112.93</v>
      </c>
      <c r="S129" s="32">
        <f t="shared" si="7"/>
        <v>665.19</v>
      </c>
    </row>
    <row r="130" customHeight="1" spans="1:19">
      <c r="A130" s="23">
        <v>127</v>
      </c>
      <c r="B130" s="23" t="s">
        <v>271</v>
      </c>
      <c r="C130" s="10" t="s">
        <v>272</v>
      </c>
      <c r="D130" s="23">
        <v>2447.74</v>
      </c>
      <c r="E130" s="23"/>
      <c r="F130" s="26"/>
      <c r="G130" s="27"/>
      <c r="H130" s="27"/>
      <c r="I130" s="26"/>
      <c r="J130" s="26">
        <v>258.21</v>
      </c>
      <c r="K130" s="26"/>
      <c r="L130" s="26"/>
      <c r="M130" s="26"/>
      <c r="N130" s="26"/>
      <c r="O130" s="26">
        <v>954.34</v>
      </c>
      <c r="P130" s="26">
        <v>0</v>
      </c>
      <c r="Q130" s="26">
        <f t="shared" si="6"/>
        <v>1212.55</v>
      </c>
      <c r="R130" s="27">
        <f>Q130+'2023年 '!Q130+'2022年 '!Q130+'2021年 '!Q130+'2020年 '!Q130+'2019年 '!Q130+'2018年'!Q130</f>
        <v>3179.07</v>
      </c>
      <c r="S130" s="32">
        <f t="shared" si="7"/>
        <v>731.33</v>
      </c>
    </row>
    <row r="131" customHeight="1" spans="1:19">
      <c r="A131" s="23">
        <v>128</v>
      </c>
      <c r="B131" s="23" t="s">
        <v>273</v>
      </c>
      <c r="C131" s="10" t="s">
        <v>274</v>
      </c>
      <c r="D131" s="23">
        <v>2446.54</v>
      </c>
      <c r="E131" s="23"/>
      <c r="F131" s="26"/>
      <c r="G131" s="27"/>
      <c r="H131" s="27"/>
      <c r="I131" s="26"/>
      <c r="J131" s="26"/>
      <c r="K131" s="26"/>
      <c r="L131" s="26"/>
      <c r="M131" s="26"/>
      <c r="N131" s="26"/>
      <c r="O131" s="26">
        <v>954.34</v>
      </c>
      <c r="P131" s="26"/>
      <c r="Q131" s="26">
        <f t="shared" si="6"/>
        <v>954.34</v>
      </c>
      <c r="R131" s="27">
        <f>Q131+'2023年 '!Q131+'2022年 '!Q131+'2021年 '!Q131+'2020年 '!Q131+'2019年 '!Q131+'2018年'!Q131</f>
        <v>2527.71</v>
      </c>
      <c r="S131" s="32">
        <f t="shared" si="7"/>
        <v>81.1700000000001</v>
      </c>
    </row>
    <row r="132" customHeight="1" spans="1:19">
      <c r="A132" s="23">
        <v>129</v>
      </c>
      <c r="B132" s="26"/>
      <c r="C132" s="26" t="s">
        <v>275</v>
      </c>
      <c r="D132" s="26">
        <f>SUM(D4:D131)</f>
        <v>301691.72</v>
      </c>
      <c r="E132" s="26">
        <f t="shared" ref="E132:S132" si="8">SUM(E4:E131)</f>
        <v>733.92</v>
      </c>
      <c r="F132" s="26">
        <f t="shared" si="8"/>
        <v>366.96</v>
      </c>
      <c r="G132" s="26">
        <f t="shared" si="8"/>
        <v>0</v>
      </c>
      <c r="H132" s="26">
        <f t="shared" si="8"/>
        <v>0</v>
      </c>
      <c r="I132" s="26">
        <f t="shared" si="8"/>
        <v>18333.77</v>
      </c>
      <c r="J132" s="26">
        <f t="shared" si="8"/>
        <v>5386.28</v>
      </c>
      <c r="K132" s="26">
        <f t="shared" si="8"/>
        <v>3669.61</v>
      </c>
      <c r="L132" s="26">
        <f t="shared" si="8"/>
        <v>269.24</v>
      </c>
      <c r="M132" s="26">
        <f t="shared" si="8"/>
        <v>688.27</v>
      </c>
      <c r="N132" s="26">
        <f t="shared" si="8"/>
        <v>890.27</v>
      </c>
      <c r="O132" s="26">
        <f t="shared" si="8"/>
        <v>110747.69</v>
      </c>
      <c r="P132" s="26">
        <f t="shared" si="8"/>
        <v>7026.72</v>
      </c>
      <c r="Q132" s="26">
        <f t="shared" si="8"/>
        <v>148112.73</v>
      </c>
      <c r="R132" s="26">
        <f t="shared" si="8"/>
        <v>374472.28</v>
      </c>
      <c r="S132" s="32">
        <f t="shared" si="7"/>
        <v>72780.5600000002</v>
      </c>
    </row>
  </sheetData>
  <mergeCells count="3">
    <mergeCell ref="A1:R1"/>
    <mergeCell ref="A2:D2"/>
    <mergeCell ref="O2:R2"/>
  </mergeCells>
  <conditionalFormatting sqref="C4:C67">
    <cfRule type="cellIs" dxfId="1" priority="9" operator="equal">
      <formula>0</formula>
    </cfRule>
    <cfRule type="duplicateValues" dxfId="0" priority="8"/>
  </conditionalFormatting>
  <conditionalFormatting sqref="C68:C127 C129:C131">
    <cfRule type="cellIs" dxfId="1" priority="7" operator="equal">
      <formula>0</formula>
    </cfRule>
    <cfRule type="cellIs" dxfId="1" priority="6" operator="equal">
      <formula>0</formula>
    </cfRule>
  </conditionalFormatting>
  <printOptions horizontalCentered="1"/>
  <pageMargins left="0.109722222222222" right="0" top="0.472222222222222" bottom="0.472222222222222" header="0.298611111111111" footer="0.298611111111111"/>
  <pageSetup paperSize="9" scale="66" fitToHeight="0" orientation="portrait" horizontalDpi="600"/>
  <headerFooter/>
  <rowBreaks count="3" manualBreakCount="3">
    <brk id="35" max="16383" man="1"/>
    <brk id="67" max="16383" man="1"/>
    <brk id="103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132"/>
  <sheetViews>
    <sheetView workbookViewId="0">
      <selection activeCell="I9" sqref="I9"/>
    </sheetView>
  </sheetViews>
  <sheetFormatPr defaultColWidth="9" defaultRowHeight="35" customHeight="1"/>
  <cols>
    <col min="1" max="2" width="9" style="3"/>
    <col min="3" max="3" width="11.5" style="3" customWidth="1"/>
    <col min="4" max="4" width="13.875" style="3" customWidth="1"/>
    <col min="5" max="5" width="8.88333333333333" style="3" customWidth="1"/>
    <col min="6" max="6" width="10.5" style="1" customWidth="1"/>
    <col min="7" max="16" width="9" style="1"/>
    <col min="17" max="17" width="11" style="1" customWidth="1"/>
    <col min="18" max="16384" width="9" style="2"/>
  </cols>
  <sheetData>
    <row r="1" customHeight="1" spans="1:17">
      <c r="A1" s="4" t="s">
        <v>287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1" customHeight="1" spans="1:17">
      <c r="A2" s="5" t="s">
        <v>1</v>
      </c>
      <c r="B2" s="5"/>
      <c r="C2" s="5"/>
      <c r="D2" s="5"/>
      <c r="E2" s="6"/>
      <c r="F2" s="1"/>
      <c r="G2" s="1"/>
      <c r="H2" s="1"/>
      <c r="I2" s="1"/>
      <c r="J2" s="1"/>
      <c r="K2" s="1"/>
      <c r="L2" s="1"/>
      <c r="M2" s="1"/>
      <c r="N2" s="1"/>
      <c r="O2" s="13" t="s">
        <v>2</v>
      </c>
      <c r="P2" s="13"/>
      <c r="Q2" s="13"/>
    </row>
    <row r="3" s="1" customFormat="1" ht="67" customHeight="1" spans="1:17">
      <c r="A3" s="7" t="s">
        <v>3</v>
      </c>
      <c r="B3" s="7" t="s">
        <v>4</v>
      </c>
      <c r="C3" s="7" t="s">
        <v>5</v>
      </c>
      <c r="D3" s="8" t="s">
        <v>6</v>
      </c>
      <c r="E3" s="9" t="s">
        <v>7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14" t="s">
        <v>19</v>
      </c>
    </row>
    <row r="4" s="2" customFormat="1" customHeight="1" spans="1:17">
      <c r="A4" s="7">
        <v>1</v>
      </c>
      <c r="B4" s="7" t="s">
        <v>20</v>
      </c>
      <c r="C4" s="10" t="s">
        <v>21</v>
      </c>
      <c r="D4" s="7">
        <v>366.89</v>
      </c>
      <c r="E4" s="7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>
        <f t="shared" ref="Q4:Q67" si="0">D4+E4+F4+G4+H4+I4+J4+K4+L4+M4+N4+O4+P4</f>
        <v>366.89</v>
      </c>
    </row>
    <row r="5" s="2" customFormat="1" customHeight="1" spans="1:17">
      <c r="A5" s="7">
        <v>2</v>
      </c>
      <c r="B5" s="7" t="s">
        <v>22</v>
      </c>
      <c r="C5" s="10" t="s">
        <v>23</v>
      </c>
      <c r="D5" s="7">
        <v>516.04</v>
      </c>
      <c r="E5" s="7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>
        <f t="shared" si="0"/>
        <v>516.04</v>
      </c>
    </row>
    <row r="6" s="2" customFormat="1" customHeight="1" spans="1:17">
      <c r="A6" s="7">
        <v>3</v>
      </c>
      <c r="B6" s="7" t="s">
        <v>24</v>
      </c>
      <c r="C6" s="10" t="s">
        <v>25</v>
      </c>
      <c r="D6" s="7">
        <v>516.04</v>
      </c>
      <c r="E6" s="7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>
        <f t="shared" si="0"/>
        <v>516.04</v>
      </c>
    </row>
    <row r="7" s="2" customFormat="1" customHeight="1" spans="1:17">
      <c r="A7" s="7">
        <v>4</v>
      </c>
      <c r="B7" s="7" t="s">
        <v>26</v>
      </c>
      <c r="C7" s="10" t="s">
        <v>27</v>
      </c>
      <c r="D7" s="7">
        <v>665.25</v>
      </c>
      <c r="E7" s="7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>
        <f t="shared" si="0"/>
        <v>665.25</v>
      </c>
    </row>
    <row r="8" s="2" customFormat="1" customHeight="1" spans="1:17">
      <c r="A8" s="7">
        <v>5</v>
      </c>
      <c r="B8" s="7" t="s">
        <v>28</v>
      </c>
      <c r="C8" s="10" t="s">
        <v>29</v>
      </c>
      <c r="D8" s="7">
        <v>516.07</v>
      </c>
      <c r="E8" s="7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>
        <f t="shared" si="0"/>
        <v>516.07</v>
      </c>
    </row>
    <row r="9" s="2" customFormat="1" customHeight="1" spans="1:17">
      <c r="A9" s="7">
        <v>6</v>
      </c>
      <c r="B9" s="7" t="s">
        <v>30</v>
      </c>
      <c r="C9" s="10" t="s">
        <v>31</v>
      </c>
      <c r="D9" s="7">
        <v>516.04</v>
      </c>
      <c r="E9" s="7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>
        <f t="shared" si="0"/>
        <v>516.04</v>
      </c>
    </row>
    <row r="10" s="2" customFormat="1" customHeight="1" spans="1:17">
      <c r="A10" s="7">
        <v>7</v>
      </c>
      <c r="B10" s="7" t="s">
        <v>32</v>
      </c>
      <c r="C10" s="10" t="s">
        <v>33</v>
      </c>
      <c r="D10" s="7">
        <v>516.04</v>
      </c>
      <c r="E10" s="7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>
        <f t="shared" si="0"/>
        <v>516.04</v>
      </c>
    </row>
    <row r="11" s="2" customFormat="1" customHeight="1" spans="1:17">
      <c r="A11" s="7">
        <v>8</v>
      </c>
      <c r="B11" s="7" t="s">
        <v>34</v>
      </c>
      <c r="C11" s="10" t="s">
        <v>35</v>
      </c>
      <c r="D11" s="7">
        <v>531.7</v>
      </c>
      <c r="E11" s="7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>
        <f t="shared" si="0"/>
        <v>531.7</v>
      </c>
    </row>
    <row r="12" s="2" customFormat="1" customHeight="1" spans="1:17">
      <c r="A12" s="7">
        <v>9</v>
      </c>
      <c r="B12" s="7" t="s">
        <v>36</v>
      </c>
      <c r="C12" s="10" t="s">
        <v>37</v>
      </c>
      <c r="D12" s="7">
        <v>665.22</v>
      </c>
      <c r="E12" s="7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>
        <f t="shared" si="0"/>
        <v>665.22</v>
      </c>
    </row>
    <row r="13" s="2" customFormat="1" customHeight="1" spans="1:17">
      <c r="A13" s="7">
        <v>10</v>
      </c>
      <c r="B13" s="7" t="s">
        <v>38</v>
      </c>
      <c r="C13" s="10" t="s">
        <v>39</v>
      </c>
      <c r="D13" s="7">
        <v>-447.17</v>
      </c>
      <c r="E13" s="7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>
        <f t="shared" si="0"/>
        <v>-447.17</v>
      </c>
    </row>
    <row r="14" s="2" customFormat="1" customHeight="1" spans="1:17">
      <c r="A14" s="7">
        <v>11</v>
      </c>
      <c r="B14" s="7" t="s">
        <v>40</v>
      </c>
      <c r="C14" s="10" t="s">
        <v>41</v>
      </c>
      <c r="D14" s="7">
        <v>464.87</v>
      </c>
      <c r="E14" s="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>
        <f t="shared" si="0"/>
        <v>464.87</v>
      </c>
    </row>
    <row r="15" s="2" customFormat="1" customHeight="1" spans="1:17">
      <c r="A15" s="7">
        <v>12</v>
      </c>
      <c r="B15" s="7" t="s">
        <v>42</v>
      </c>
      <c r="C15" s="10" t="s">
        <v>43</v>
      </c>
      <c r="D15" s="7">
        <v>516.04</v>
      </c>
      <c r="E15" s="7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>
        <f t="shared" si="0"/>
        <v>516.04</v>
      </c>
    </row>
    <row r="16" s="2" customFormat="1" customHeight="1" spans="1:17">
      <c r="A16" s="7">
        <v>13</v>
      </c>
      <c r="B16" s="7" t="s">
        <v>44</v>
      </c>
      <c r="C16" s="10" t="s">
        <v>45</v>
      </c>
      <c r="D16" s="7">
        <v>516.04</v>
      </c>
      <c r="E16" s="7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>
        <f t="shared" si="0"/>
        <v>516.04</v>
      </c>
    </row>
    <row r="17" s="2" customFormat="1" customHeight="1" spans="1:17">
      <c r="A17" s="7">
        <v>14</v>
      </c>
      <c r="B17" s="7" t="s">
        <v>46</v>
      </c>
      <c r="C17" s="10" t="s">
        <v>47</v>
      </c>
      <c r="D17" s="7">
        <v>0</v>
      </c>
      <c r="E17" s="7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>
        <f t="shared" si="0"/>
        <v>0</v>
      </c>
    </row>
    <row r="18" s="2" customFormat="1" customHeight="1" spans="1:17">
      <c r="A18" s="7">
        <v>15</v>
      </c>
      <c r="B18" s="7" t="s">
        <v>48</v>
      </c>
      <c r="C18" s="10" t="s">
        <v>49</v>
      </c>
      <c r="D18" s="7">
        <v>0</v>
      </c>
      <c r="E18" s="7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>
        <f t="shared" si="0"/>
        <v>0</v>
      </c>
    </row>
    <row r="19" s="2" customFormat="1" customHeight="1" spans="1:17">
      <c r="A19" s="7">
        <v>16</v>
      </c>
      <c r="B19" s="7" t="s">
        <v>50</v>
      </c>
      <c r="C19" s="10" t="s">
        <v>51</v>
      </c>
      <c r="D19" s="7">
        <v>516.04</v>
      </c>
      <c r="E19" s="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>
        <f t="shared" si="0"/>
        <v>516.04</v>
      </c>
    </row>
    <row r="20" s="2" customFormat="1" customHeight="1" spans="1:17">
      <c r="A20" s="7">
        <v>17</v>
      </c>
      <c r="B20" s="7" t="s">
        <v>52</v>
      </c>
      <c r="C20" s="10" t="s">
        <v>53</v>
      </c>
      <c r="D20" s="7">
        <v>401.2</v>
      </c>
      <c r="E20" s="7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>
        <f t="shared" si="0"/>
        <v>401.2</v>
      </c>
    </row>
    <row r="21" s="2" customFormat="1" customHeight="1" spans="1:17">
      <c r="A21" s="7">
        <v>18</v>
      </c>
      <c r="B21" s="7" t="s">
        <v>54</v>
      </c>
      <c r="C21" s="10" t="s">
        <v>55</v>
      </c>
      <c r="D21" s="7">
        <v>406.12</v>
      </c>
      <c r="E21" s="7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>
        <f t="shared" si="0"/>
        <v>406.12</v>
      </c>
    </row>
    <row r="22" s="2" customFormat="1" customHeight="1" spans="1:17">
      <c r="A22" s="7">
        <v>19</v>
      </c>
      <c r="B22" s="7" t="s">
        <v>56</v>
      </c>
      <c r="C22" s="10" t="s">
        <v>57</v>
      </c>
      <c r="D22" s="7">
        <v>775.170000000001</v>
      </c>
      <c r="E22" s="7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>
        <f t="shared" si="0"/>
        <v>775.170000000001</v>
      </c>
    </row>
    <row r="23" s="2" customFormat="1" customHeight="1" spans="1:17">
      <c r="A23" s="7">
        <v>20</v>
      </c>
      <c r="B23" s="7" t="s">
        <v>58</v>
      </c>
      <c r="C23" s="10" t="s">
        <v>59</v>
      </c>
      <c r="D23" s="7">
        <v>516.07</v>
      </c>
      <c r="E23" s="7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>
        <f t="shared" si="0"/>
        <v>516.07</v>
      </c>
    </row>
    <row r="24" s="2" customFormat="1" customHeight="1" spans="1:17">
      <c r="A24" s="7">
        <v>21</v>
      </c>
      <c r="B24" s="7" t="s">
        <v>60</v>
      </c>
      <c r="C24" s="10" t="s">
        <v>61</v>
      </c>
      <c r="D24" s="7">
        <v>-11.0799999999995</v>
      </c>
      <c r="E24" s="7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>
        <f t="shared" si="0"/>
        <v>-11.0799999999995</v>
      </c>
    </row>
    <row r="25" s="2" customFormat="1" customHeight="1" spans="1:17">
      <c r="A25" s="7">
        <v>22</v>
      </c>
      <c r="B25" s="7" t="s">
        <v>62</v>
      </c>
      <c r="C25" s="10" t="s">
        <v>63</v>
      </c>
      <c r="D25" s="7">
        <v>649.56</v>
      </c>
      <c r="E25" s="7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>
        <f t="shared" si="0"/>
        <v>649.56</v>
      </c>
    </row>
    <row r="26" s="2" customFormat="1" customHeight="1" spans="1:17">
      <c r="A26" s="7">
        <v>23</v>
      </c>
      <c r="B26" s="7" t="s">
        <v>64</v>
      </c>
      <c r="C26" s="10" t="s">
        <v>65</v>
      </c>
      <c r="D26" s="7">
        <v>516.04</v>
      </c>
      <c r="E26" s="7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>
        <f t="shared" si="0"/>
        <v>516.04</v>
      </c>
    </row>
    <row r="27" s="2" customFormat="1" customHeight="1" spans="1:17">
      <c r="A27" s="7">
        <v>24</v>
      </c>
      <c r="B27" s="7" t="s">
        <v>66</v>
      </c>
      <c r="C27" s="10" t="s">
        <v>67</v>
      </c>
      <c r="D27" s="7">
        <v>516.12</v>
      </c>
      <c r="E27" s="7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>
        <f t="shared" si="0"/>
        <v>516.12</v>
      </c>
    </row>
    <row r="28" s="2" customFormat="1" customHeight="1" spans="1:17">
      <c r="A28" s="7">
        <v>25</v>
      </c>
      <c r="B28" s="7" t="s">
        <v>68</v>
      </c>
      <c r="C28" s="10" t="s">
        <v>69</v>
      </c>
      <c r="D28" s="7">
        <v>516.04</v>
      </c>
      <c r="E28" s="7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>
        <f t="shared" si="0"/>
        <v>516.04</v>
      </c>
    </row>
    <row r="29" s="2" customFormat="1" customHeight="1" spans="1:17">
      <c r="A29" s="7">
        <v>26</v>
      </c>
      <c r="B29" s="7" t="s">
        <v>70</v>
      </c>
      <c r="C29" s="12" t="s">
        <v>71</v>
      </c>
      <c r="D29" s="7">
        <v>516.04</v>
      </c>
      <c r="E29" s="7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>
        <f t="shared" si="0"/>
        <v>516.04</v>
      </c>
    </row>
    <row r="30" s="2" customFormat="1" customHeight="1" spans="1:17">
      <c r="A30" s="7">
        <v>27</v>
      </c>
      <c r="B30" s="7" t="s">
        <v>72</v>
      </c>
      <c r="C30" s="12" t="s">
        <v>73</v>
      </c>
      <c r="D30" s="7">
        <v>195.78</v>
      </c>
      <c r="E30" s="7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>
        <f t="shared" si="0"/>
        <v>195.78</v>
      </c>
    </row>
    <row r="31" s="2" customFormat="1" customHeight="1" spans="1:17">
      <c r="A31" s="7">
        <v>28</v>
      </c>
      <c r="B31" s="7" t="s">
        <v>74</v>
      </c>
      <c r="C31" s="10" t="s">
        <v>75</v>
      </c>
      <c r="D31" s="7">
        <v>713.97</v>
      </c>
      <c r="E31" s="7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>
        <f t="shared" si="0"/>
        <v>713.97</v>
      </c>
    </row>
    <row r="32" s="2" customFormat="1" customHeight="1" spans="1:17">
      <c r="A32" s="7">
        <v>29</v>
      </c>
      <c r="B32" s="7" t="s">
        <v>76</v>
      </c>
      <c r="C32" s="12" t="s">
        <v>77</v>
      </c>
      <c r="D32" s="7">
        <v>516.04</v>
      </c>
      <c r="E32" s="7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>
        <f t="shared" si="0"/>
        <v>516.04</v>
      </c>
    </row>
    <row r="33" s="2" customFormat="1" customHeight="1" spans="1:17">
      <c r="A33" s="7">
        <v>30</v>
      </c>
      <c r="B33" s="7" t="s">
        <v>78</v>
      </c>
      <c r="C33" s="10" t="s">
        <v>79</v>
      </c>
      <c r="D33" s="7">
        <v>516.07</v>
      </c>
      <c r="E33" s="7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>
        <f t="shared" si="0"/>
        <v>516.07</v>
      </c>
    </row>
    <row r="34" s="2" customFormat="1" customHeight="1" spans="1:17">
      <c r="A34" s="7">
        <v>31</v>
      </c>
      <c r="B34" s="7" t="s">
        <v>80</v>
      </c>
      <c r="C34" s="10" t="s">
        <v>81</v>
      </c>
      <c r="D34" s="7">
        <v>228.5</v>
      </c>
      <c r="E34" s="7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>
        <f t="shared" si="0"/>
        <v>228.5</v>
      </c>
    </row>
    <row r="35" s="2" customFormat="1" customHeight="1" spans="1:17">
      <c r="A35" s="7">
        <v>32</v>
      </c>
      <c r="B35" s="7" t="s">
        <v>82</v>
      </c>
      <c r="C35" s="10" t="s">
        <v>83</v>
      </c>
      <c r="D35" s="7">
        <v>-813.76</v>
      </c>
      <c r="E35" s="7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>
        <f t="shared" si="0"/>
        <v>-813.76</v>
      </c>
    </row>
    <row r="36" s="2" customFormat="1" customHeight="1" spans="1:17">
      <c r="A36" s="7">
        <v>33</v>
      </c>
      <c r="B36" s="7" t="s">
        <v>84</v>
      </c>
      <c r="C36" s="10" t="s">
        <v>85</v>
      </c>
      <c r="D36" s="7">
        <v>0</v>
      </c>
      <c r="E36" s="7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>
        <f t="shared" si="0"/>
        <v>0</v>
      </c>
    </row>
    <row r="37" s="2" customFormat="1" customHeight="1" spans="1:17">
      <c r="A37" s="7">
        <v>34</v>
      </c>
      <c r="B37" s="7" t="s">
        <v>86</v>
      </c>
      <c r="C37" s="10" t="s">
        <v>87</v>
      </c>
      <c r="D37" s="7">
        <v>516.04</v>
      </c>
      <c r="E37" s="7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>
        <f t="shared" si="0"/>
        <v>516.04</v>
      </c>
    </row>
    <row r="38" s="2" customFormat="1" customHeight="1" spans="1:17">
      <c r="A38" s="7">
        <v>35</v>
      </c>
      <c r="B38" s="7" t="s">
        <v>88</v>
      </c>
      <c r="C38" s="12" t="s">
        <v>89</v>
      </c>
      <c r="D38" s="7">
        <v>516.04</v>
      </c>
      <c r="E38" s="7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>
        <f t="shared" si="0"/>
        <v>516.04</v>
      </c>
    </row>
    <row r="39" s="2" customFormat="1" customHeight="1" spans="1:17">
      <c r="A39" s="7">
        <v>36</v>
      </c>
      <c r="B39" s="7" t="s">
        <v>90</v>
      </c>
      <c r="C39" s="10" t="s">
        <v>91</v>
      </c>
      <c r="D39" s="7">
        <v>252.02</v>
      </c>
      <c r="E39" s="7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>
        <f t="shared" si="0"/>
        <v>252.02</v>
      </c>
    </row>
    <row r="40" s="2" customFormat="1" customHeight="1" spans="1:17">
      <c r="A40" s="7">
        <v>37</v>
      </c>
      <c r="B40" s="7" t="s">
        <v>92</v>
      </c>
      <c r="C40" s="10" t="s">
        <v>93</v>
      </c>
      <c r="D40" s="7">
        <v>561.940000000001</v>
      </c>
      <c r="E40" s="7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>
        <f t="shared" si="0"/>
        <v>561.940000000001</v>
      </c>
    </row>
    <row r="41" s="2" customFormat="1" customHeight="1" spans="1:17">
      <c r="A41" s="7">
        <v>38</v>
      </c>
      <c r="B41" s="7" t="s">
        <v>94</v>
      </c>
      <c r="C41" s="10" t="s">
        <v>95</v>
      </c>
      <c r="D41" s="7">
        <v>665.22</v>
      </c>
      <c r="E41" s="7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>
        <f t="shared" si="0"/>
        <v>665.22</v>
      </c>
    </row>
    <row r="42" s="2" customFormat="1" customHeight="1" spans="1:17">
      <c r="A42" s="7">
        <v>39</v>
      </c>
      <c r="B42" s="7" t="s">
        <v>96</v>
      </c>
      <c r="C42" s="10" t="s">
        <v>97</v>
      </c>
      <c r="D42" s="7">
        <v>1149.59</v>
      </c>
      <c r="E42" s="7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>
        <f t="shared" si="0"/>
        <v>1149.59</v>
      </c>
    </row>
    <row r="43" s="2" customFormat="1" customHeight="1" spans="1:17">
      <c r="A43" s="7">
        <v>40</v>
      </c>
      <c r="B43" s="7" t="s">
        <v>98</v>
      </c>
      <c r="C43" s="10" t="s">
        <v>99</v>
      </c>
      <c r="D43" s="7">
        <v>305.7</v>
      </c>
      <c r="E43" s="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>
        <f t="shared" si="0"/>
        <v>305.7</v>
      </c>
    </row>
    <row r="44" s="2" customFormat="1" customHeight="1" spans="1:17">
      <c r="A44" s="7">
        <v>41</v>
      </c>
      <c r="B44" s="7" t="s">
        <v>100</v>
      </c>
      <c r="C44" s="10" t="s">
        <v>101</v>
      </c>
      <c r="D44" s="7">
        <v>516.07</v>
      </c>
      <c r="E44" s="7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>
        <f t="shared" si="0"/>
        <v>516.07</v>
      </c>
    </row>
    <row r="45" s="2" customFormat="1" customHeight="1" spans="1:17">
      <c r="A45" s="7">
        <v>42</v>
      </c>
      <c r="B45" s="7" t="s">
        <v>102</v>
      </c>
      <c r="C45" s="10" t="s">
        <v>103</v>
      </c>
      <c r="D45" s="7">
        <v>1182.03</v>
      </c>
      <c r="E45" s="7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>
        <f t="shared" si="0"/>
        <v>1182.03</v>
      </c>
    </row>
    <row r="46" s="2" customFormat="1" customHeight="1" spans="1:17">
      <c r="A46" s="7">
        <v>43</v>
      </c>
      <c r="B46" s="7" t="s">
        <v>104</v>
      </c>
      <c r="C46" s="10" t="s">
        <v>105</v>
      </c>
      <c r="D46" s="7">
        <v>508.33</v>
      </c>
      <c r="E46" s="7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>
        <f t="shared" si="0"/>
        <v>508.33</v>
      </c>
    </row>
    <row r="47" s="2" customFormat="1" customHeight="1" spans="1:17">
      <c r="A47" s="7">
        <v>44</v>
      </c>
      <c r="B47" s="7" t="s">
        <v>106</v>
      </c>
      <c r="C47" s="10" t="s">
        <v>107</v>
      </c>
      <c r="D47" s="7">
        <v>382.52</v>
      </c>
      <c r="E47" s="7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>
        <f t="shared" si="0"/>
        <v>382.52</v>
      </c>
    </row>
    <row r="48" s="2" customFormat="1" customHeight="1" spans="1:17">
      <c r="A48" s="7">
        <v>45</v>
      </c>
      <c r="B48" s="7" t="s">
        <v>108</v>
      </c>
      <c r="C48" s="10" t="s">
        <v>109</v>
      </c>
      <c r="D48" s="7">
        <v>505.45</v>
      </c>
      <c r="E48" s="7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>
        <f t="shared" si="0"/>
        <v>505.45</v>
      </c>
    </row>
    <row r="49" s="2" customFormat="1" customHeight="1" spans="1:17">
      <c r="A49" s="7">
        <v>46</v>
      </c>
      <c r="B49" s="7" t="s">
        <v>110</v>
      </c>
      <c r="C49" s="10" t="s">
        <v>111</v>
      </c>
      <c r="D49" s="7">
        <v>516.04</v>
      </c>
      <c r="E49" s="7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>
        <f t="shared" si="0"/>
        <v>516.04</v>
      </c>
    </row>
    <row r="50" s="2" customFormat="1" customHeight="1" spans="1:17">
      <c r="A50" s="7">
        <v>47</v>
      </c>
      <c r="B50" s="7" t="s">
        <v>112</v>
      </c>
      <c r="C50" s="10" t="s">
        <v>113</v>
      </c>
      <c r="D50" s="7">
        <v>516.04</v>
      </c>
      <c r="E50" s="7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>
        <f t="shared" si="0"/>
        <v>516.04</v>
      </c>
    </row>
    <row r="51" s="2" customFormat="1" customHeight="1" spans="1:17">
      <c r="A51" s="7">
        <v>48</v>
      </c>
      <c r="B51" s="7" t="s">
        <v>114</v>
      </c>
      <c r="C51" s="10" t="s">
        <v>115</v>
      </c>
      <c r="D51" s="7">
        <v>685.22</v>
      </c>
      <c r="E51" s="7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>
        <f t="shared" si="0"/>
        <v>685.22</v>
      </c>
    </row>
    <row r="52" s="2" customFormat="1" customHeight="1" spans="1:17">
      <c r="A52" s="7">
        <v>49</v>
      </c>
      <c r="B52" s="7" t="s">
        <v>116</v>
      </c>
      <c r="C52" s="10" t="s">
        <v>117</v>
      </c>
      <c r="D52" s="7">
        <v>516.07</v>
      </c>
      <c r="E52" s="7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>
        <f t="shared" si="0"/>
        <v>516.07</v>
      </c>
    </row>
    <row r="53" s="2" customFormat="1" customHeight="1" spans="1:17">
      <c r="A53" s="7">
        <v>50</v>
      </c>
      <c r="B53" s="7" t="s">
        <v>118</v>
      </c>
      <c r="C53" s="10" t="s">
        <v>119</v>
      </c>
      <c r="D53" s="7">
        <v>516.04</v>
      </c>
      <c r="E53" s="7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>
        <f t="shared" si="0"/>
        <v>516.04</v>
      </c>
    </row>
    <row r="54" s="2" customFormat="1" customHeight="1" spans="1:17">
      <c r="A54" s="7">
        <v>51</v>
      </c>
      <c r="B54" s="7" t="s">
        <v>120</v>
      </c>
      <c r="C54" s="10" t="s">
        <v>121</v>
      </c>
      <c r="D54" s="7">
        <v>516.04</v>
      </c>
      <c r="E54" s="7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>
        <f t="shared" si="0"/>
        <v>516.04</v>
      </c>
    </row>
    <row r="55" s="2" customFormat="1" customHeight="1" spans="1:17">
      <c r="A55" s="7">
        <v>52</v>
      </c>
      <c r="B55" s="7" t="s">
        <v>122</v>
      </c>
      <c r="C55" s="10" t="s">
        <v>123</v>
      </c>
      <c r="D55" s="7">
        <v>381.150000000001</v>
      </c>
      <c r="E55" s="7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>
        <f t="shared" si="0"/>
        <v>381.150000000001</v>
      </c>
    </row>
    <row r="56" s="2" customFormat="1" customHeight="1" spans="1:17">
      <c r="A56" s="7">
        <v>53</v>
      </c>
      <c r="B56" s="7" t="s">
        <v>124</v>
      </c>
      <c r="C56" s="10" t="s">
        <v>125</v>
      </c>
      <c r="D56" s="7">
        <v>547.68</v>
      </c>
      <c r="E56" s="7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>
        <f t="shared" si="0"/>
        <v>547.68</v>
      </c>
    </row>
    <row r="57" s="2" customFormat="1" customHeight="1" spans="1:17">
      <c r="A57" s="7">
        <v>54</v>
      </c>
      <c r="B57" s="7" t="s">
        <v>126</v>
      </c>
      <c r="C57" s="10" t="s">
        <v>127</v>
      </c>
      <c r="D57" s="7">
        <v>657.64</v>
      </c>
      <c r="E57" s="7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>
        <f t="shared" si="0"/>
        <v>657.64</v>
      </c>
    </row>
    <row r="58" s="2" customFormat="1" customHeight="1" spans="1:17">
      <c r="A58" s="7">
        <v>55</v>
      </c>
      <c r="B58" s="7" t="s">
        <v>128</v>
      </c>
      <c r="C58" s="10" t="s">
        <v>129</v>
      </c>
      <c r="D58" s="7">
        <v>547.75</v>
      </c>
      <c r="E58" s="7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>
        <f t="shared" si="0"/>
        <v>547.75</v>
      </c>
    </row>
    <row r="59" s="2" customFormat="1" customHeight="1" spans="1:17">
      <c r="A59" s="7">
        <v>56</v>
      </c>
      <c r="B59" s="7" t="s">
        <v>130</v>
      </c>
      <c r="C59" s="10" t="s">
        <v>131</v>
      </c>
      <c r="D59" s="7">
        <v>340.99</v>
      </c>
      <c r="E59" s="7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>
        <f t="shared" si="0"/>
        <v>340.99</v>
      </c>
    </row>
    <row r="60" s="2" customFormat="1" customHeight="1" spans="1:17">
      <c r="A60" s="7">
        <v>57</v>
      </c>
      <c r="B60" s="7" t="s">
        <v>132</v>
      </c>
      <c r="C60" s="10" t="s">
        <v>133</v>
      </c>
      <c r="D60" s="7">
        <v>833.79</v>
      </c>
      <c r="E60" s="7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>
        <f t="shared" si="0"/>
        <v>833.79</v>
      </c>
    </row>
    <row r="61" s="2" customFormat="1" customHeight="1" spans="1:17">
      <c r="A61" s="7">
        <v>58</v>
      </c>
      <c r="B61" s="7" t="s">
        <v>134</v>
      </c>
      <c r="C61" s="10" t="s">
        <v>135</v>
      </c>
      <c r="D61" s="7">
        <v>227.46</v>
      </c>
      <c r="E61" s="7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>
        <f t="shared" si="0"/>
        <v>227.46</v>
      </c>
    </row>
    <row r="62" s="2" customFormat="1" customHeight="1" spans="1:17">
      <c r="A62" s="7">
        <v>59</v>
      </c>
      <c r="B62" s="7" t="s">
        <v>136</v>
      </c>
      <c r="C62" s="10" t="s">
        <v>137</v>
      </c>
      <c r="D62" s="7">
        <v>547.72</v>
      </c>
      <c r="E62" s="7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>
        <f t="shared" si="0"/>
        <v>547.72</v>
      </c>
    </row>
    <row r="63" s="2" customFormat="1" customHeight="1" spans="1:17">
      <c r="A63" s="7">
        <v>60</v>
      </c>
      <c r="B63" s="7" t="s">
        <v>138</v>
      </c>
      <c r="C63" s="12" t="s">
        <v>139</v>
      </c>
      <c r="D63" s="7">
        <v>681.24</v>
      </c>
      <c r="E63" s="7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>
        <f t="shared" si="0"/>
        <v>681.24</v>
      </c>
    </row>
    <row r="64" s="2" customFormat="1" customHeight="1" spans="1:17">
      <c r="A64" s="7">
        <v>61</v>
      </c>
      <c r="B64" s="7" t="s">
        <v>140</v>
      </c>
      <c r="C64" s="12" t="s">
        <v>141</v>
      </c>
      <c r="D64" s="7">
        <v>406.1</v>
      </c>
      <c r="E64" s="7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>
        <f t="shared" si="0"/>
        <v>406.1</v>
      </c>
    </row>
    <row r="65" s="2" customFormat="1" customHeight="1" spans="1:17">
      <c r="A65" s="7">
        <v>62</v>
      </c>
      <c r="B65" s="7" t="s">
        <v>142</v>
      </c>
      <c r="C65" s="10" t="s">
        <v>143</v>
      </c>
      <c r="D65" s="7">
        <v>117.13</v>
      </c>
      <c r="E65" s="7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>
        <f t="shared" si="0"/>
        <v>117.13</v>
      </c>
    </row>
    <row r="66" s="2" customFormat="1" customHeight="1" spans="1:17">
      <c r="A66" s="7">
        <v>63</v>
      </c>
      <c r="B66" s="7" t="s">
        <v>144</v>
      </c>
      <c r="C66" s="10" t="s">
        <v>145</v>
      </c>
      <c r="D66" s="7">
        <v>547.72</v>
      </c>
      <c r="E66" s="7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>
        <f t="shared" si="0"/>
        <v>547.72</v>
      </c>
    </row>
    <row r="67" s="2" customFormat="1" customHeight="1" spans="1:17">
      <c r="A67" s="7">
        <v>64</v>
      </c>
      <c r="B67" s="7" t="s">
        <v>146</v>
      </c>
      <c r="C67" s="10" t="s">
        <v>147</v>
      </c>
      <c r="D67" s="7">
        <v>-8.39999999999964</v>
      </c>
      <c r="E67" s="7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>
        <f t="shared" si="0"/>
        <v>-8.39999999999964</v>
      </c>
    </row>
    <row r="68" customHeight="1" spans="1:17">
      <c r="A68" s="7">
        <v>65</v>
      </c>
      <c r="B68" s="7" t="s">
        <v>148</v>
      </c>
      <c r="C68" s="10" t="s">
        <v>149</v>
      </c>
      <c r="D68" s="7">
        <v>700.32</v>
      </c>
      <c r="E68" s="7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>
        <f t="shared" ref="Q68:Q131" si="1">D68+E68+F68+G68+H68+I68+J68+K68+L68+M68+N68+O68+P68</f>
        <v>700.32</v>
      </c>
    </row>
    <row r="69" customHeight="1" spans="1:17">
      <c r="A69" s="7">
        <v>66</v>
      </c>
      <c r="B69" s="7" t="s">
        <v>150</v>
      </c>
      <c r="C69" s="10" t="s">
        <v>151</v>
      </c>
      <c r="D69" s="7">
        <v>701.32</v>
      </c>
      <c r="E69" s="7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>
        <f t="shared" si="1"/>
        <v>701.32</v>
      </c>
    </row>
    <row r="70" customHeight="1" spans="1:17">
      <c r="A70" s="7">
        <v>67</v>
      </c>
      <c r="B70" s="7" t="s">
        <v>152</v>
      </c>
      <c r="C70" s="10" t="s">
        <v>153</v>
      </c>
      <c r="D70" s="7">
        <v>585</v>
      </c>
      <c r="E70" s="7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>
        <f t="shared" si="1"/>
        <v>585</v>
      </c>
    </row>
    <row r="71" customHeight="1" spans="1:17">
      <c r="A71" s="7">
        <v>68</v>
      </c>
      <c r="B71" s="7" t="s">
        <v>154</v>
      </c>
      <c r="C71" s="10" t="s">
        <v>155</v>
      </c>
      <c r="D71" s="7">
        <v>700.32</v>
      </c>
      <c r="E71" s="7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>
        <f t="shared" si="1"/>
        <v>700.32</v>
      </c>
    </row>
    <row r="72" customHeight="1" spans="1:17">
      <c r="A72" s="7">
        <v>69</v>
      </c>
      <c r="B72" s="7" t="s">
        <v>156</v>
      </c>
      <c r="C72" s="10" t="s">
        <v>157</v>
      </c>
      <c r="D72" s="7">
        <v>442.11</v>
      </c>
      <c r="E72" s="7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>
        <f t="shared" si="1"/>
        <v>442.11</v>
      </c>
    </row>
    <row r="73" customHeight="1" spans="1:17">
      <c r="A73" s="7">
        <v>70</v>
      </c>
      <c r="B73" s="7" t="s">
        <v>158</v>
      </c>
      <c r="C73" s="10" t="s">
        <v>159</v>
      </c>
      <c r="D73" s="7">
        <v>950.57</v>
      </c>
      <c r="E73" s="7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>
        <f t="shared" si="1"/>
        <v>950.57</v>
      </c>
    </row>
    <row r="74" customHeight="1" spans="1:17">
      <c r="A74" s="7">
        <v>71</v>
      </c>
      <c r="B74" s="7" t="s">
        <v>160</v>
      </c>
      <c r="C74" s="10" t="s">
        <v>161</v>
      </c>
      <c r="D74" s="7">
        <v>1089.77</v>
      </c>
      <c r="E74" s="7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>
        <f t="shared" si="1"/>
        <v>1089.77</v>
      </c>
    </row>
    <row r="75" customHeight="1" spans="1:17">
      <c r="A75" s="7">
        <v>72</v>
      </c>
      <c r="B75" s="7" t="s">
        <v>162</v>
      </c>
      <c r="C75" s="10" t="s">
        <v>163</v>
      </c>
      <c r="D75" s="7">
        <v>0</v>
      </c>
      <c r="E75" s="7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>
        <f t="shared" si="1"/>
        <v>0</v>
      </c>
    </row>
    <row r="76" customHeight="1" spans="1:17">
      <c r="A76" s="7">
        <v>73</v>
      </c>
      <c r="B76" s="7" t="s">
        <v>164</v>
      </c>
      <c r="C76" s="10" t="s">
        <v>165</v>
      </c>
      <c r="D76" s="7">
        <v>1700.32</v>
      </c>
      <c r="E76" s="7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>
        <f t="shared" si="1"/>
        <v>1700.32</v>
      </c>
    </row>
    <row r="77" customHeight="1" spans="1:17">
      <c r="A77" s="7">
        <v>74</v>
      </c>
      <c r="B77" s="7" t="s">
        <v>166</v>
      </c>
      <c r="C77" s="10" t="s">
        <v>167</v>
      </c>
      <c r="D77" s="7">
        <v>848.87</v>
      </c>
      <c r="E77" s="7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>
        <f t="shared" si="1"/>
        <v>848.87</v>
      </c>
    </row>
    <row r="78" customHeight="1" spans="1:17">
      <c r="A78" s="7">
        <v>75</v>
      </c>
      <c r="B78" s="7" t="s">
        <v>168</v>
      </c>
      <c r="C78" s="15" t="s">
        <v>169</v>
      </c>
      <c r="D78" s="7">
        <v>1216.46</v>
      </c>
      <c r="E78" s="7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>
        <f t="shared" si="1"/>
        <v>1216.46</v>
      </c>
    </row>
    <row r="79" customHeight="1" spans="1:17">
      <c r="A79" s="7">
        <v>76</v>
      </c>
      <c r="B79" s="7" t="s">
        <v>170</v>
      </c>
      <c r="C79" s="10" t="s">
        <v>171</v>
      </c>
      <c r="D79" s="7">
        <v>700.32</v>
      </c>
      <c r="E79" s="7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>
        <f t="shared" si="1"/>
        <v>700.32</v>
      </c>
    </row>
    <row r="80" customHeight="1" spans="1:17">
      <c r="A80" s="7">
        <v>77</v>
      </c>
      <c r="B80" s="7" t="s">
        <v>172</v>
      </c>
      <c r="C80" s="10" t="s">
        <v>173</v>
      </c>
      <c r="D80" s="7">
        <v>1034.36</v>
      </c>
      <c r="E80" s="7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>
        <f t="shared" si="1"/>
        <v>1034.36</v>
      </c>
    </row>
    <row r="81" customHeight="1" spans="1:17">
      <c r="A81" s="7">
        <v>78</v>
      </c>
      <c r="B81" s="7" t="s">
        <v>174</v>
      </c>
      <c r="C81" s="10" t="s">
        <v>175</v>
      </c>
      <c r="D81" s="7">
        <v>0</v>
      </c>
      <c r="E81" s="7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>
        <f t="shared" si="1"/>
        <v>0</v>
      </c>
    </row>
    <row r="82" customHeight="1" spans="1:17">
      <c r="A82" s="7">
        <v>79</v>
      </c>
      <c r="B82" s="7" t="s">
        <v>176</v>
      </c>
      <c r="C82" s="10" t="s">
        <v>177</v>
      </c>
      <c r="D82" s="7">
        <v>482.54</v>
      </c>
      <c r="E82" s="7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>
        <f t="shared" si="1"/>
        <v>482.54</v>
      </c>
    </row>
    <row r="83" customHeight="1" spans="1:17">
      <c r="A83" s="7">
        <v>80</v>
      </c>
      <c r="B83" s="7" t="s">
        <v>178</v>
      </c>
      <c r="C83" s="10" t="s">
        <v>179</v>
      </c>
      <c r="D83" s="7">
        <v>848.87</v>
      </c>
      <c r="E83" s="7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>
        <f t="shared" si="1"/>
        <v>848.87</v>
      </c>
    </row>
    <row r="84" customHeight="1" spans="1:17">
      <c r="A84" s="7">
        <v>81</v>
      </c>
      <c r="B84" s="7" t="s">
        <v>180</v>
      </c>
      <c r="C84" s="10" t="s">
        <v>181</v>
      </c>
      <c r="D84" s="7">
        <v>495.85</v>
      </c>
      <c r="E84" s="7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>
        <f t="shared" si="1"/>
        <v>495.85</v>
      </c>
    </row>
    <row r="85" customHeight="1" spans="1:17">
      <c r="A85" s="7">
        <v>82</v>
      </c>
      <c r="B85" s="7" t="s">
        <v>182</v>
      </c>
      <c r="C85" s="10" t="s">
        <v>183</v>
      </c>
      <c r="D85" s="7">
        <v>585</v>
      </c>
      <c r="E85" s="7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>
        <f t="shared" si="1"/>
        <v>585</v>
      </c>
    </row>
    <row r="86" customHeight="1" spans="1:17">
      <c r="A86" s="7">
        <v>83</v>
      </c>
      <c r="B86" s="7" t="s">
        <v>184</v>
      </c>
      <c r="C86" s="10" t="s">
        <v>185</v>
      </c>
      <c r="D86" s="7">
        <v>599.62</v>
      </c>
      <c r="E86" s="7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>
        <f t="shared" si="1"/>
        <v>599.62</v>
      </c>
    </row>
    <row r="87" customHeight="1" spans="1:17">
      <c r="A87" s="7">
        <v>84</v>
      </c>
      <c r="B87" s="7" t="s">
        <v>186</v>
      </c>
      <c r="C87" s="10" t="s">
        <v>187</v>
      </c>
      <c r="D87" s="7">
        <v>442.11</v>
      </c>
      <c r="E87" s="7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>
        <f t="shared" si="1"/>
        <v>442.11</v>
      </c>
    </row>
    <row r="88" customHeight="1" spans="1:17">
      <c r="A88" s="7">
        <v>85</v>
      </c>
      <c r="B88" s="7" t="s">
        <v>188</v>
      </c>
      <c r="C88" s="10" t="s">
        <v>189</v>
      </c>
      <c r="D88" s="7">
        <v>628.22</v>
      </c>
      <c r="E88" s="7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>
        <f t="shared" si="1"/>
        <v>628.22</v>
      </c>
    </row>
    <row r="89" customHeight="1" spans="1:17">
      <c r="A89" s="7">
        <v>86</v>
      </c>
      <c r="B89" s="7" t="s">
        <v>190</v>
      </c>
      <c r="C89" s="10" t="s">
        <v>191</v>
      </c>
      <c r="D89" s="7">
        <v>700.32</v>
      </c>
      <c r="E89" s="7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>
        <f t="shared" si="1"/>
        <v>700.32</v>
      </c>
    </row>
    <row r="90" customHeight="1" spans="1:17">
      <c r="A90" s="7">
        <v>87</v>
      </c>
      <c r="B90" s="7" t="s">
        <v>192</v>
      </c>
      <c r="C90" s="10" t="s">
        <v>193</v>
      </c>
      <c r="D90" s="7">
        <v>700.32</v>
      </c>
      <c r="E90" s="7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>
        <f t="shared" si="1"/>
        <v>700.32</v>
      </c>
    </row>
    <row r="91" customHeight="1" spans="1:17">
      <c r="A91" s="7">
        <v>88</v>
      </c>
      <c r="B91" s="7" t="s">
        <v>194</v>
      </c>
      <c r="C91" s="10" t="s">
        <v>195</v>
      </c>
      <c r="D91" s="7">
        <v>1062.74</v>
      </c>
      <c r="E91" s="7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>
        <f t="shared" si="1"/>
        <v>1062.74</v>
      </c>
    </row>
    <row r="92" customHeight="1" spans="1:17">
      <c r="A92" s="7">
        <v>89</v>
      </c>
      <c r="B92" s="7" t="s">
        <v>196</v>
      </c>
      <c r="C92" s="10" t="s">
        <v>197</v>
      </c>
      <c r="D92" s="7">
        <v>700.32</v>
      </c>
      <c r="E92" s="7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>
        <f t="shared" si="1"/>
        <v>700.32</v>
      </c>
    </row>
    <row r="93" customHeight="1" spans="1:17">
      <c r="A93" s="7">
        <v>90</v>
      </c>
      <c r="B93" s="7" t="s">
        <v>198</v>
      </c>
      <c r="C93" s="10" t="s">
        <v>199</v>
      </c>
      <c r="D93" s="7">
        <v>482.54</v>
      </c>
      <c r="E93" s="7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>
        <f t="shared" si="1"/>
        <v>482.54</v>
      </c>
    </row>
    <row r="94" customHeight="1" spans="1:17">
      <c r="A94" s="7">
        <v>91</v>
      </c>
      <c r="B94" s="7" t="s">
        <v>200</v>
      </c>
      <c r="C94" s="10" t="s">
        <v>201</v>
      </c>
      <c r="D94" s="7">
        <v>313.91</v>
      </c>
      <c r="E94" s="7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>
        <f t="shared" si="1"/>
        <v>313.91</v>
      </c>
    </row>
    <row r="95" customHeight="1" spans="1:17">
      <c r="A95" s="7">
        <v>92</v>
      </c>
      <c r="B95" s="7" t="s">
        <v>202</v>
      </c>
      <c r="C95" s="10" t="s">
        <v>203</v>
      </c>
      <c r="D95" s="7">
        <v>802.02</v>
      </c>
      <c r="E95" s="7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>
        <f t="shared" si="1"/>
        <v>802.02</v>
      </c>
    </row>
    <row r="96" customHeight="1" spans="1:17">
      <c r="A96" s="7">
        <v>93</v>
      </c>
      <c r="B96" s="7" t="s">
        <v>204</v>
      </c>
      <c r="C96" s="10" t="s">
        <v>205</v>
      </c>
      <c r="D96" s="7">
        <v>802.02</v>
      </c>
      <c r="E96" s="7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>
        <f t="shared" si="1"/>
        <v>802.02</v>
      </c>
    </row>
    <row r="97" customHeight="1" spans="1:17">
      <c r="A97" s="7">
        <v>94</v>
      </c>
      <c r="B97" s="7" t="s">
        <v>206</v>
      </c>
      <c r="C97" s="10" t="s">
        <v>207</v>
      </c>
      <c r="D97" s="7">
        <v>145.17</v>
      </c>
      <c r="E97" s="7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>
        <f t="shared" si="1"/>
        <v>145.17</v>
      </c>
    </row>
    <row r="98" customHeight="1" spans="1:17">
      <c r="A98" s="7">
        <v>95</v>
      </c>
      <c r="B98" s="7" t="s">
        <v>208</v>
      </c>
      <c r="C98" s="10" t="s">
        <v>209</v>
      </c>
      <c r="D98" s="7">
        <v>598.62</v>
      </c>
      <c r="E98" s="7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>
        <f t="shared" si="1"/>
        <v>598.62</v>
      </c>
    </row>
    <row r="99" customHeight="1" spans="1:17">
      <c r="A99" s="7">
        <v>96</v>
      </c>
      <c r="B99" s="7" t="s">
        <v>210</v>
      </c>
      <c r="C99" s="10" t="s">
        <v>211</v>
      </c>
      <c r="D99" s="7">
        <v>700.32</v>
      </c>
      <c r="E99" s="7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>
        <f t="shared" si="1"/>
        <v>700.32</v>
      </c>
    </row>
    <row r="100" customHeight="1" spans="1:17">
      <c r="A100" s="7">
        <v>97</v>
      </c>
      <c r="B100" s="7" t="s">
        <v>212</v>
      </c>
      <c r="C100" s="10" t="s">
        <v>213</v>
      </c>
      <c r="D100" s="7">
        <v>636</v>
      </c>
      <c r="E100" s="7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>
        <f t="shared" si="1"/>
        <v>636</v>
      </c>
    </row>
    <row r="101" customHeight="1" spans="1:17">
      <c r="A101" s="7">
        <v>98</v>
      </c>
      <c r="B101" s="7" t="s">
        <v>214</v>
      </c>
      <c r="C101" s="12" t="s">
        <v>215</v>
      </c>
      <c r="D101" s="7">
        <v>700.32</v>
      </c>
      <c r="E101" s="7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>
        <f t="shared" si="1"/>
        <v>700.32</v>
      </c>
    </row>
    <row r="102" customHeight="1" spans="1:17">
      <c r="A102" s="7">
        <v>99</v>
      </c>
      <c r="B102" s="7" t="s">
        <v>216</v>
      </c>
      <c r="C102" s="10" t="s">
        <v>217</v>
      </c>
      <c r="D102" s="7">
        <v>1183.7</v>
      </c>
      <c r="E102" s="7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>
        <f t="shared" si="1"/>
        <v>1183.7</v>
      </c>
    </row>
    <row r="103" customHeight="1" spans="1:17">
      <c r="A103" s="7">
        <v>100</v>
      </c>
      <c r="B103" s="7" t="s">
        <v>218</v>
      </c>
      <c r="C103" s="10" t="s">
        <v>219</v>
      </c>
      <c r="D103" s="7">
        <v>75.3</v>
      </c>
      <c r="E103" s="7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>
        <f t="shared" si="1"/>
        <v>75.3</v>
      </c>
    </row>
    <row r="104" customHeight="1" spans="1:17">
      <c r="A104" s="7">
        <v>101</v>
      </c>
      <c r="B104" s="7" t="s">
        <v>220</v>
      </c>
      <c r="C104" s="10" t="s">
        <v>221</v>
      </c>
      <c r="D104" s="7">
        <v>699.69</v>
      </c>
      <c r="E104" s="7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>
        <f t="shared" si="1"/>
        <v>699.69</v>
      </c>
    </row>
    <row r="105" customHeight="1" spans="1:17">
      <c r="A105" s="7">
        <v>102</v>
      </c>
      <c r="B105" s="7" t="s">
        <v>222</v>
      </c>
      <c r="C105" s="10" t="s">
        <v>223</v>
      </c>
      <c r="D105" s="7">
        <v>700.32</v>
      </c>
      <c r="E105" s="7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>
        <f t="shared" si="1"/>
        <v>700.32</v>
      </c>
    </row>
    <row r="106" customHeight="1" spans="1:17">
      <c r="A106" s="7">
        <v>103</v>
      </c>
      <c r="B106" s="7" t="s">
        <v>224</v>
      </c>
      <c r="C106" s="10" t="s">
        <v>225</v>
      </c>
      <c r="D106" s="7">
        <v>1216.46</v>
      </c>
      <c r="E106" s="7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>
        <f t="shared" si="1"/>
        <v>1216.46</v>
      </c>
    </row>
    <row r="107" customHeight="1" spans="1:17">
      <c r="A107" s="7">
        <v>104</v>
      </c>
      <c r="B107" s="7" t="s">
        <v>226</v>
      </c>
      <c r="C107" s="10" t="s">
        <v>227</v>
      </c>
      <c r="D107" s="7">
        <v>700.32</v>
      </c>
      <c r="E107" s="7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>
        <f t="shared" si="1"/>
        <v>700.32</v>
      </c>
    </row>
    <row r="108" customHeight="1" spans="1:17">
      <c r="A108" s="7">
        <v>105</v>
      </c>
      <c r="B108" s="7" t="s">
        <v>228</v>
      </c>
      <c r="C108" s="10" t="s">
        <v>229</v>
      </c>
      <c r="D108" s="7">
        <v>700.32</v>
      </c>
      <c r="E108" s="7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>
        <f t="shared" si="1"/>
        <v>700.32</v>
      </c>
    </row>
    <row r="109" customHeight="1" spans="1:17">
      <c r="A109" s="7">
        <v>106</v>
      </c>
      <c r="B109" s="7" t="s">
        <v>230</v>
      </c>
      <c r="C109" s="10" t="s">
        <v>231</v>
      </c>
      <c r="D109" s="7">
        <v>677.55</v>
      </c>
      <c r="E109" s="7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>
        <f t="shared" si="1"/>
        <v>677.55</v>
      </c>
    </row>
    <row r="110" customHeight="1" spans="1:17">
      <c r="A110" s="7">
        <v>107</v>
      </c>
      <c r="B110" s="7" t="s">
        <v>232</v>
      </c>
      <c r="C110" s="10" t="s">
        <v>233</v>
      </c>
      <c r="D110" s="7">
        <v>699.69</v>
      </c>
      <c r="E110" s="7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>
        <f t="shared" si="1"/>
        <v>699.69</v>
      </c>
    </row>
    <row r="111" customHeight="1" spans="1:17">
      <c r="A111" s="7">
        <v>108</v>
      </c>
      <c r="B111" s="7" t="s">
        <v>234</v>
      </c>
      <c r="C111" s="10" t="s">
        <v>235</v>
      </c>
      <c r="D111" s="7">
        <v>281.96</v>
      </c>
      <c r="E111" s="7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>
        <f t="shared" si="1"/>
        <v>281.96</v>
      </c>
    </row>
    <row r="112" customHeight="1" spans="1:17">
      <c r="A112" s="7">
        <v>109</v>
      </c>
      <c r="B112" s="7" t="s">
        <v>236</v>
      </c>
      <c r="C112" s="10" t="s">
        <v>237</v>
      </c>
      <c r="D112" s="7">
        <v>700.32</v>
      </c>
      <c r="E112" s="7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>
        <f t="shared" si="1"/>
        <v>700.32</v>
      </c>
    </row>
    <row r="113" customHeight="1" spans="1:17">
      <c r="A113" s="7">
        <v>110</v>
      </c>
      <c r="B113" s="7" t="s">
        <v>238</v>
      </c>
      <c r="C113" s="10" t="s">
        <v>239</v>
      </c>
      <c r="D113" s="7">
        <v>958.53</v>
      </c>
      <c r="E113" s="7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>
        <f t="shared" si="1"/>
        <v>958.53</v>
      </c>
    </row>
    <row r="114" customHeight="1" spans="1:17">
      <c r="A114" s="7">
        <v>111</v>
      </c>
      <c r="B114" s="7" t="s">
        <v>240</v>
      </c>
      <c r="C114" s="10" t="s">
        <v>241</v>
      </c>
      <c r="D114" s="7">
        <v>2198.11</v>
      </c>
      <c r="E114" s="7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>
        <f t="shared" si="1"/>
        <v>2198.11</v>
      </c>
    </row>
    <row r="115" customHeight="1" spans="1:17">
      <c r="A115" s="7">
        <v>112</v>
      </c>
      <c r="B115" s="7" t="s">
        <v>242</v>
      </c>
      <c r="C115" s="10" t="s">
        <v>243</v>
      </c>
      <c r="D115" s="7">
        <v>1296.98</v>
      </c>
      <c r="E115" s="7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>
        <f t="shared" si="1"/>
        <v>1296.98</v>
      </c>
    </row>
    <row r="116" customHeight="1" spans="1:17">
      <c r="A116" s="7">
        <v>113</v>
      </c>
      <c r="B116" s="7" t="s">
        <v>244</v>
      </c>
      <c r="C116" s="10" t="s">
        <v>245</v>
      </c>
      <c r="D116" s="7">
        <v>586</v>
      </c>
      <c r="E116" s="7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>
        <f t="shared" si="1"/>
        <v>586</v>
      </c>
    </row>
    <row r="117" customHeight="1" spans="1:17">
      <c r="A117" s="7">
        <v>114</v>
      </c>
      <c r="B117" s="7" t="s">
        <v>246</v>
      </c>
      <c r="C117" s="10" t="s">
        <v>247</v>
      </c>
      <c r="D117" s="7">
        <v>-97.02</v>
      </c>
      <c r="E117" s="7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>
        <f t="shared" si="1"/>
        <v>-97.02</v>
      </c>
    </row>
    <row r="118" customHeight="1" spans="1:17">
      <c r="A118" s="7">
        <v>115</v>
      </c>
      <c r="B118" s="7" t="s">
        <v>248</v>
      </c>
      <c r="C118" s="10" t="s">
        <v>249</v>
      </c>
      <c r="D118" s="7">
        <v>958.53</v>
      </c>
      <c r="E118" s="7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>
        <f t="shared" si="1"/>
        <v>958.53</v>
      </c>
    </row>
    <row r="119" customHeight="1" spans="1:17">
      <c r="A119" s="7">
        <v>116</v>
      </c>
      <c r="B119" s="7" t="s">
        <v>250</v>
      </c>
      <c r="C119" s="10" t="s">
        <v>251</v>
      </c>
      <c r="D119" s="7">
        <v>1094.63</v>
      </c>
      <c r="E119" s="7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>
        <f t="shared" si="1"/>
        <v>1094.63</v>
      </c>
    </row>
    <row r="120" customHeight="1" spans="1:17">
      <c r="A120" s="7">
        <v>117</v>
      </c>
      <c r="B120" s="7" t="s">
        <v>252</v>
      </c>
      <c r="C120" s="10" t="s">
        <v>253</v>
      </c>
      <c r="D120" s="7">
        <v>220.05</v>
      </c>
      <c r="E120" s="7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>
        <f t="shared" si="1"/>
        <v>220.05</v>
      </c>
    </row>
    <row r="121" customHeight="1" spans="1:17">
      <c r="A121" s="7">
        <v>118</v>
      </c>
      <c r="B121" s="7" t="s">
        <v>254</v>
      </c>
      <c r="C121" s="10" t="s">
        <v>255</v>
      </c>
      <c r="D121" s="7">
        <v>827.99</v>
      </c>
      <c r="E121" s="7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>
        <f t="shared" si="1"/>
        <v>827.99</v>
      </c>
    </row>
    <row r="122" customHeight="1" spans="1:17">
      <c r="A122" s="7">
        <v>119</v>
      </c>
      <c r="B122" s="7" t="s">
        <v>256</v>
      </c>
      <c r="C122" s="12" t="s">
        <v>257</v>
      </c>
      <c r="D122" s="7">
        <v>730.33</v>
      </c>
      <c r="E122" s="7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>
        <f t="shared" si="1"/>
        <v>730.33</v>
      </c>
    </row>
    <row r="123" customHeight="1" spans="1:17">
      <c r="A123" s="7">
        <v>120</v>
      </c>
      <c r="B123" s="7" t="s">
        <v>258</v>
      </c>
      <c r="C123" s="10" t="s">
        <v>259</v>
      </c>
      <c r="D123" s="7">
        <v>731.33</v>
      </c>
      <c r="E123" s="7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>
        <f t="shared" si="1"/>
        <v>731.33</v>
      </c>
    </row>
    <row r="124" customHeight="1" spans="1:17">
      <c r="A124" s="7">
        <v>121</v>
      </c>
      <c r="B124" s="7" t="s">
        <v>260</v>
      </c>
      <c r="C124" s="10" t="s">
        <v>261</v>
      </c>
      <c r="D124" s="7">
        <v>838.27</v>
      </c>
      <c r="E124" s="7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>
        <f t="shared" si="1"/>
        <v>838.27</v>
      </c>
    </row>
    <row r="125" customHeight="1" spans="1:17">
      <c r="A125" s="7">
        <v>122</v>
      </c>
      <c r="B125" s="7" t="s">
        <v>262</v>
      </c>
      <c r="C125" s="10" t="s">
        <v>263</v>
      </c>
      <c r="D125" s="7">
        <v>226.1</v>
      </c>
      <c r="E125" s="7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>
        <f t="shared" si="1"/>
        <v>226.1</v>
      </c>
    </row>
    <row r="126" customHeight="1" spans="1:17">
      <c r="A126" s="7">
        <v>123</v>
      </c>
      <c r="B126" s="7" t="s">
        <v>264</v>
      </c>
      <c r="C126" s="10" t="s">
        <v>265</v>
      </c>
      <c r="D126" s="7">
        <v>582.15</v>
      </c>
      <c r="E126" s="7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>
        <f t="shared" si="1"/>
        <v>582.15</v>
      </c>
    </row>
    <row r="127" customHeight="1" spans="1:17">
      <c r="A127" s="7">
        <v>124</v>
      </c>
      <c r="B127" s="7" t="s">
        <v>266</v>
      </c>
      <c r="C127" s="10" t="s">
        <v>267</v>
      </c>
      <c r="D127" s="7">
        <v>731.33</v>
      </c>
      <c r="E127" s="7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>
        <f t="shared" si="1"/>
        <v>731.33</v>
      </c>
    </row>
    <row r="128" customHeight="1" spans="1:17">
      <c r="A128" s="7">
        <v>125</v>
      </c>
      <c r="B128" s="7" t="s">
        <v>268</v>
      </c>
      <c r="C128" s="16"/>
      <c r="D128" s="7">
        <v>0</v>
      </c>
      <c r="E128" s="7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>
        <f t="shared" si="1"/>
        <v>0</v>
      </c>
    </row>
    <row r="129" customHeight="1" spans="1:17">
      <c r="A129" s="7">
        <v>126</v>
      </c>
      <c r="B129" s="7" t="s">
        <v>269</v>
      </c>
      <c r="C129" s="10" t="s">
        <v>270</v>
      </c>
      <c r="D129" s="7">
        <v>665.19</v>
      </c>
      <c r="E129" s="7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>
        <f t="shared" si="1"/>
        <v>665.19</v>
      </c>
    </row>
    <row r="130" customHeight="1" spans="1:17">
      <c r="A130" s="7">
        <v>127</v>
      </c>
      <c r="B130" s="7" t="s">
        <v>271</v>
      </c>
      <c r="C130" s="10" t="s">
        <v>272</v>
      </c>
      <c r="D130" s="7">
        <v>731.33</v>
      </c>
      <c r="E130" s="7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>
        <f t="shared" si="1"/>
        <v>731.33</v>
      </c>
    </row>
    <row r="131" customHeight="1" spans="1:17">
      <c r="A131" s="7">
        <v>128</v>
      </c>
      <c r="B131" s="7" t="s">
        <v>273</v>
      </c>
      <c r="C131" s="10" t="s">
        <v>274</v>
      </c>
      <c r="D131" s="7">
        <v>81.1700000000001</v>
      </c>
      <c r="E131" s="7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>
        <f t="shared" si="1"/>
        <v>81.1700000000001</v>
      </c>
    </row>
    <row r="132" customHeight="1" spans="1:17">
      <c r="A132" s="7">
        <v>129</v>
      </c>
      <c r="B132" s="16"/>
      <c r="C132" s="16" t="s">
        <v>275</v>
      </c>
      <c r="D132" s="16">
        <f>SUM(D4:D131)</f>
        <v>72780.5600000001</v>
      </c>
      <c r="E132" s="16">
        <f t="shared" ref="D132:Q132" si="2">SUM(E4:E131)</f>
        <v>0</v>
      </c>
      <c r="F132" s="16">
        <f t="shared" si="2"/>
        <v>0</v>
      </c>
      <c r="G132" s="16">
        <f t="shared" si="2"/>
        <v>0</v>
      </c>
      <c r="H132" s="16">
        <f t="shared" si="2"/>
        <v>0</v>
      </c>
      <c r="I132" s="16">
        <f t="shared" si="2"/>
        <v>0</v>
      </c>
      <c r="J132" s="16">
        <f t="shared" si="2"/>
        <v>0</v>
      </c>
      <c r="K132" s="16">
        <f t="shared" si="2"/>
        <v>0</v>
      </c>
      <c r="L132" s="16">
        <f t="shared" si="2"/>
        <v>0</v>
      </c>
      <c r="M132" s="16">
        <f t="shared" si="2"/>
        <v>0</v>
      </c>
      <c r="N132" s="16">
        <f t="shared" si="2"/>
        <v>0</v>
      </c>
      <c r="O132" s="16">
        <f t="shared" si="2"/>
        <v>0</v>
      </c>
      <c r="P132" s="16">
        <f t="shared" si="2"/>
        <v>0</v>
      </c>
      <c r="Q132" s="16">
        <f t="shared" si="2"/>
        <v>72780.5600000001</v>
      </c>
    </row>
  </sheetData>
  <autoFilter ref="A3:Q132">
    <extLst/>
  </autoFilter>
  <mergeCells count="3">
    <mergeCell ref="A1:Q1"/>
    <mergeCell ref="A2:D2"/>
    <mergeCell ref="O2:Q2"/>
  </mergeCells>
  <conditionalFormatting sqref="C4:C67">
    <cfRule type="cellIs" dxfId="1" priority="4" operator="equal">
      <formula>0</formula>
    </cfRule>
    <cfRule type="duplicateValues" dxfId="0" priority="3"/>
  </conditionalFormatting>
  <conditionalFormatting sqref="C68:C127 C129:C131">
    <cfRule type="cellIs" dxfId="1" priority="2" operator="equal">
      <formula>0</formula>
    </cfRule>
    <cfRule type="cellIs" dxfId="1" priority="1" operator="equal">
      <formula>0</formula>
    </cfRule>
  </conditionalFormatting>
  <pageMargins left="0.393055555555556" right="0.393055555555556" top="0.751388888888889" bottom="0.751388888888889" header="0.298611111111111" footer="0.298611111111111"/>
  <pageSetup paperSize="9" scale="86" fitToHeight="0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CHINA</Company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2016年</vt:lpstr>
      <vt:lpstr>2017年 </vt:lpstr>
      <vt:lpstr>2018年</vt:lpstr>
      <vt:lpstr>2019年 </vt:lpstr>
      <vt:lpstr>2020年 </vt:lpstr>
      <vt:lpstr>2021年 </vt:lpstr>
      <vt:lpstr>2022年 </vt:lpstr>
      <vt:lpstr>2023年 </vt:lpstr>
      <vt:lpstr>2024年 </vt:lpstr>
      <vt:lpstr>2025年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dreamsummit</dc:creator>
  <cp:lastModifiedBy>Administrator</cp:lastModifiedBy>
  <dcterms:created xsi:type="dcterms:W3CDTF">2018-12-05T08:59:00Z</dcterms:created>
  <cp:lastPrinted>2018-12-05T09:04:00Z</cp:lastPrinted>
  <dcterms:modified xsi:type="dcterms:W3CDTF">2025-06-03T10:08:16Z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80A227C6A64445BC837E4DAD01748C9A_13</vt:lpwstr>
  </property>
</Properties>
</file>