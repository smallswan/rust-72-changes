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 activeTab="11"/>
  </bookViews>
  <sheets>
    <sheet name="2016年 " sheetId="1" r:id="rId1"/>
    <sheet name="2017年" sheetId="12" r:id="rId2"/>
    <sheet name="2018年  " sheetId="11" r:id="rId3"/>
    <sheet name="2019年" sheetId="10" r:id="rId4"/>
    <sheet name="2020年" sheetId="2" r:id="rId5"/>
    <sheet name="2021年" sheetId="3" r:id="rId6"/>
    <sheet name="2022年" sheetId="4" r:id="rId7"/>
    <sheet name="2023年" sheetId="5" r:id="rId8"/>
    <sheet name="2024年" sheetId="6" r:id="rId9"/>
    <sheet name="2025年" sheetId="7" r:id="rId10"/>
    <sheet name="Sheet1" sheetId="8" r:id="rId11"/>
    <sheet name="Sheet2" sheetId="13" r:id="rId12"/>
  </sheets>
  <definedNames>
    <definedName name="_xlnm._FilterDatabase" localSheetId="10" hidden="1">Sheet1!$A$2:$C$133</definedName>
    <definedName name="_xlnm._FilterDatabase" localSheetId="0" hidden="1">'2016年 '!$A$4:$AJ$136</definedName>
    <definedName name="_xlnm._FilterDatabase" localSheetId="1" hidden="1">'2017年'!$A$4:$AK$134</definedName>
    <definedName name="_xlnm._FilterDatabase" localSheetId="2" hidden="1">'2018年  '!$A$4:$AI$134</definedName>
    <definedName name="_xlnm._FilterDatabase" localSheetId="3" hidden="1">'2019年'!$A$4:$AG$134</definedName>
    <definedName name="_xlnm._FilterDatabase" localSheetId="4" hidden="1">'2020年'!$A$3:$AF$133</definedName>
    <definedName name="_xlnm._FilterDatabase" localSheetId="5" hidden="1">'2021年'!$A$3:$AE$133</definedName>
    <definedName name="_xlnm._FilterDatabase" localSheetId="6" hidden="1">'2022年'!$A$3:$AE$133</definedName>
    <definedName name="_xlnm._FilterDatabase" localSheetId="7" hidden="1">'2023年'!$A$3:$AE$133</definedName>
    <definedName name="_xlnm._FilterDatabase" localSheetId="8" hidden="1">'2024年'!$A$3:$AE$133</definedName>
    <definedName name="_xlnm._FilterDatabase" localSheetId="9" hidden="1">'2025年'!$A$3:$AD$3</definedName>
    <definedName name="_xlnm.Print_Titles" localSheetId="9">'2025年'!$1:$3</definedName>
    <definedName name="_xlnm.Print_Titles" localSheetId="7">'2023年'!$1:$3</definedName>
    <definedName name="_xlnm.Print_Titles" localSheetId="6">'2022年'!$1:$3</definedName>
    <definedName name="_xlnm.Print_Titles" localSheetId="5">'2021年'!$1:$3</definedName>
    <definedName name="_xlnm.Print_Titles" localSheetId="4">'2020年'!$1:$2</definedName>
    <definedName name="_xlnm.Print_Titles" localSheetId="3">'2019年'!$1:$3</definedName>
    <definedName name="_xlnm.Print_Titles" localSheetId="2">'2018年  '!$1:$3</definedName>
    <definedName name="_xlnm.Print_Titles" localSheetId="1">'2017年'!$1:$3</definedName>
    <definedName name="_xlnm.Print_Titles" localSheetId="0">'2016年 '!$1:$4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H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李明新</t>
        </r>
      </text>
    </comment>
    <comment ref="H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罗绍宏</t>
        </r>
      </text>
    </comment>
    <comment ref="H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梁建钢</t>
        </r>
      </text>
    </comment>
    <comment ref="H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姚盛荣</t>
        </r>
      </text>
    </comment>
    <comment ref="H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韩必旺</t>
        </r>
      </text>
    </comment>
    <comment ref="H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黄桂楼</t>
        </r>
      </text>
    </comment>
    <comment ref="H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覃桂英</t>
        </r>
      </text>
    </comment>
    <comment ref="H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罗天严</t>
        </r>
      </text>
    </comment>
    <comment ref="H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赵德斌</t>
        </r>
      </text>
    </comment>
    <comment ref="H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唐奇咸</t>
        </r>
      </text>
    </comment>
    <comment ref="H1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仇志晚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李明新</t>
        </r>
      </text>
    </comment>
    <comment ref="C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罗绍宏</t>
        </r>
      </text>
    </comment>
    <comment ref="C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梁建钢</t>
        </r>
      </text>
    </comment>
    <comment ref="C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姚盛荣</t>
        </r>
      </text>
    </comment>
    <comment ref="C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韩必旺</t>
        </r>
      </text>
    </comment>
    <comment ref="C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黄桂楼</t>
        </r>
      </text>
    </comment>
    <comment ref="C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覃桂英</t>
        </r>
      </text>
    </comment>
    <comment ref="C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罗天严</t>
        </r>
      </text>
    </comment>
    <comment ref="C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赵德斌</t>
        </r>
      </text>
    </comment>
    <comment ref="C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唐奇咸</t>
        </r>
      </text>
    </comment>
    <comment ref="C1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仇志晚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C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李明新</t>
        </r>
      </text>
    </comment>
    <comment ref="C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罗绍宏</t>
        </r>
      </text>
    </comment>
    <comment ref="C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梁建钢</t>
        </r>
      </text>
    </comment>
    <comment ref="C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姚盛荣</t>
        </r>
      </text>
    </comment>
    <comment ref="C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韩必旺</t>
        </r>
      </text>
    </comment>
    <comment ref="C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黄桂楼</t>
        </r>
      </text>
    </comment>
    <comment ref="C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覃桂英</t>
        </r>
      </text>
    </comment>
    <comment ref="C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罗天严</t>
        </r>
      </text>
    </comment>
    <comment ref="C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赵德斌</t>
        </r>
      </text>
    </comment>
    <comment ref="C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唐奇咸</t>
        </r>
      </text>
    </comment>
    <comment ref="C1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仇志晚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C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李明新</t>
        </r>
      </text>
    </comment>
    <comment ref="C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罗绍宏</t>
        </r>
      </text>
    </comment>
    <comment ref="C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梁建钢</t>
        </r>
      </text>
    </comment>
    <comment ref="C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姚盛荣</t>
        </r>
      </text>
    </comment>
    <comment ref="C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韩必旺</t>
        </r>
      </text>
    </comment>
    <comment ref="C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黄桂楼</t>
        </r>
      </text>
    </comment>
    <comment ref="C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覃桂英</t>
        </r>
      </text>
    </comment>
    <comment ref="C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罗天严</t>
        </r>
      </text>
    </comment>
    <comment ref="C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赵德斌</t>
        </r>
      </text>
    </comment>
    <comment ref="C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唐奇咸</t>
        </r>
      </text>
    </comment>
    <comment ref="C1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仇志晚</t>
        </r>
      </text>
    </comment>
    <comment ref="C1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班朝仁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贺丽芬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台账412.82，实际352.82，台账多记60元</t>
        </r>
      </text>
    </comment>
    <comment ref="F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台账412.82，实际352.82，台账多记60元</t>
        </r>
      </text>
    </comment>
    <comment ref="C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赵道静</t>
        </r>
      </text>
    </comment>
    <comment ref="C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韦联猛</t>
        </r>
      </text>
    </comment>
    <comment ref="C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姚辰英</t>
        </r>
      </text>
    </comment>
    <comment ref="C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韦献忠</t>
        </r>
      </text>
    </comment>
    <comment ref="C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黄国华</t>
        </r>
      </text>
    </comment>
    <comment ref="C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万桂林</t>
        </r>
      </text>
    </comment>
    <comment ref="C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姚凤鸾</t>
        </r>
      </text>
    </comment>
    <comment ref="C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牙韩佼</t>
        </r>
      </text>
    </comment>
    <comment ref="C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赵德师</t>
        </r>
      </text>
    </comment>
    <comment ref="C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罗保承</t>
        </r>
      </text>
    </comment>
    <comment ref="C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朱琼</t>
        </r>
      </text>
    </comment>
    <comment ref="C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韦永浱</t>
        </r>
      </text>
    </comment>
    <comment ref="C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姚秀波</t>
        </r>
      </text>
    </comment>
    <comment ref="E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台账454.19，实际514.19，台账少记60元
</t>
        </r>
      </text>
    </comment>
    <comment ref="F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台账454.19，实际514.19，台账少记60元
</t>
        </r>
      </text>
    </comment>
    <comment ref="C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覃燕宁</t>
        </r>
      </text>
    </comment>
    <comment ref="C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杨小芹</t>
        </r>
      </text>
    </comment>
    <comment ref="C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赵德斌</t>
        </r>
      </text>
    </comment>
    <comment ref="H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台账100，实际40，台账多记60元
</t>
        </r>
      </text>
    </comment>
    <comment ref="C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韦保勇</t>
        </r>
      </text>
    </comment>
    <comment ref="P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台账139.35，实际400，台账少记260.65元
</t>
        </r>
      </text>
    </comment>
    <comment ref="C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贺仕雄</t>
        </r>
      </text>
    </comment>
    <comment ref="C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韦志麟</t>
        </r>
      </text>
    </comment>
    <comment ref="C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覃焕金</t>
        </r>
      </text>
    </comment>
    <comment ref="C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罗世升</t>
        </r>
      </text>
    </comment>
    <comment ref="C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罗娟</t>
        </r>
      </text>
    </comment>
    <comment ref="C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谭贵德</t>
        </r>
      </text>
    </comment>
    <comment ref="P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台账279.35，实际600，台账少记320.65元
</t>
        </r>
      </text>
    </comment>
    <comment ref="C1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叶南君</t>
        </r>
      </text>
    </comment>
    <comment ref="C1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贲吕晴</t>
        </r>
      </text>
    </comment>
    <comment ref="C1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陈世贵</t>
        </r>
      </text>
    </comment>
    <comment ref="C1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何皓</t>
        </r>
      </text>
    </comment>
    <comment ref="C1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姚申秀</t>
        </r>
      </text>
    </comment>
    <comment ref="C1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王秀群</t>
        </r>
      </text>
    </comment>
    <comment ref="C1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罗永参</t>
        </r>
      </text>
    </comment>
    <comment ref="C1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韦雪勤</t>
        </r>
      </text>
    </comment>
    <comment ref="C1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廖小妹</t>
        </r>
      </text>
    </comment>
    <comment ref="C1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龙秀忠</t>
        </r>
      </text>
    </comment>
    <comment ref="C1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吴鸾鸣</t>
        </r>
      </text>
    </comment>
    <comment ref="E1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台账210.85，实际150.85，台账少记60元
</t>
        </r>
      </text>
    </comment>
    <comment ref="F1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台账210.85，实际150.85，台账少记60元
</t>
        </r>
      </text>
    </comment>
    <comment ref="C1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房秀玲</t>
        </r>
      </text>
    </comment>
    <comment ref="C1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陈鑫原</t>
        </r>
      </text>
    </comment>
    <comment ref="K1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电工表总数18860.56，单位账18923.52，多付62.96.</t>
        </r>
      </text>
    </comment>
    <comment ref="O1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电工表总数18419.82，单位账18431.69，多付11.87.
</t>
        </r>
      </text>
    </comment>
    <comment ref="S1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电工表总数24976.75，单位账25021.59，多付44.84.
</t>
        </r>
      </text>
    </comment>
    <comment ref="U1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电工表总数25514.45，单位账25576.36，多付61.91.
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贺丽芬</t>
        </r>
      </text>
    </comment>
    <comment ref="A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赵道静</t>
        </r>
      </text>
    </comment>
    <comment ref="A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韦联猛</t>
        </r>
      </text>
    </comment>
    <comment ref="A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姚辰英</t>
        </r>
      </text>
    </comment>
    <comment ref="A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韦献忠</t>
        </r>
      </text>
    </comment>
    <comment ref="A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黄国华</t>
        </r>
      </text>
    </comment>
    <comment ref="A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万桂林</t>
        </r>
      </text>
    </comment>
    <comment ref="A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姚凤鸾</t>
        </r>
      </text>
    </comment>
    <comment ref="A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牙韩佼</t>
        </r>
      </text>
    </comment>
    <comment ref="A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赵德师</t>
        </r>
      </text>
    </comment>
    <comment ref="A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罗保承</t>
        </r>
      </text>
    </comment>
    <comment ref="A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朱琼</t>
        </r>
      </text>
    </comment>
    <comment ref="A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韦永浱</t>
        </r>
      </text>
    </comment>
    <comment ref="A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姚秀波</t>
        </r>
      </text>
    </comment>
    <comment ref="A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覃燕宁</t>
        </r>
      </text>
    </comment>
    <comment ref="A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杨小芹</t>
        </r>
      </text>
    </comment>
    <comment ref="A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赵德斌</t>
        </r>
      </text>
    </comment>
    <comment ref="A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韦保勇</t>
        </r>
      </text>
    </comment>
    <comment ref="A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贺仕雄</t>
        </r>
      </text>
    </comment>
    <comment ref="A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韦志麟</t>
        </r>
      </text>
    </comment>
    <comment ref="A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覃焕金</t>
        </r>
      </text>
    </comment>
    <comment ref="A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罗世升</t>
        </r>
      </text>
    </comment>
    <comment ref="A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罗娟</t>
        </r>
      </text>
    </comment>
    <comment ref="A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谭贵德</t>
        </r>
      </text>
    </comment>
    <comment ref="A1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叶南君</t>
        </r>
      </text>
    </comment>
    <comment ref="A1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贲吕晴</t>
        </r>
      </text>
    </comment>
    <comment ref="A1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陈世贵</t>
        </r>
      </text>
    </comment>
    <comment ref="A1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何皓</t>
        </r>
      </text>
    </comment>
    <comment ref="A1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姚申秀</t>
        </r>
      </text>
    </comment>
    <comment ref="A1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王秀群</t>
        </r>
      </text>
    </comment>
    <comment ref="A1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罗永参</t>
        </r>
      </text>
    </comment>
    <comment ref="A1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韦雪勤</t>
        </r>
      </text>
    </comment>
    <comment ref="A1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廖小妹</t>
        </r>
      </text>
    </comment>
    <comment ref="A1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龙秀忠</t>
        </r>
      </text>
    </comment>
    <comment ref="A1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吴鸾鸣</t>
        </r>
      </text>
    </comment>
    <comment ref="A1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房秀玲</t>
        </r>
      </text>
    </comment>
    <comment ref="A1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陈鑫原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C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覃焕金</t>
        </r>
      </text>
    </comment>
  </commentList>
</comments>
</file>

<file path=xl/sharedStrings.xml><?xml version="1.0" encoding="utf-8"?>
<sst xmlns="http://schemas.openxmlformats.org/spreadsheetml/2006/main" count="3557" uniqueCount="358">
  <si>
    <t>天峨县林朵林场新场部危改AB栋2016年度电费收缴情况登记表</t>
  </si>
  <si>
    <t>编制部门：天峨县林朵林场计划财务科</t>
  </si>
  <si>
    <t>单位：元</t>
  </si>
  <si>
    <t>合计</t>
  </si>
  <si>
    <t>9-12月应交</t>
  </si>
  <si>
    <t>9-12月已交</t>
  </si>
  <si>
    <t>编号</t>
  </si>
  <si>
    <t>房号</t>
  </si>
  <si>
    <t>原户主</t>
  </si>
  <si>
    <t>上年余额（+）或欠交（-）</t>
  </si>
  <si>
    <t>1月应交</t>
  </si>
  <si>
    <t>1月已交</t>
  </si>
  <si>
    <t>2月应交</t>
  </si>
  <si>
    <t>2月已交</t>
  </si>
  <si>
    <t>3月应交</t>
  </si>
  <si>
    <t>3月已交</t>
  </si>
  <si>
    <t>4月应交</t>
  </si>
  <si>
    <t>4月已交</t>
  </si>
  <si>
    <t>5月应交</t>
  </si>
  <si>
    <t>5月已交</t>
  </si>
  <si>
    <t>6月应交</t>
  </si>
  <si>
    <t>6月已交</t>
  </si>
  <si>
    <t>7月应交</t>
  </si>
  <si>
    <t>7月已交</t>
  </si>
  <si>
    <t>8月应交</t>
  </si>
  <si>
    <t>8月已交</t>
  </si>
  <si>
    <t>9月应交</t>
  </si>
  <si>
    <t>9月已交</t>
  </si>
  <si>
    <t>10月应交</t>
  </si>
  <si>
    <t>10月已交</t>
  </si>
  <si>
    <t>11月应交</t>
  </si>
  <si>
    <t>11月已交</t>
  </si>
  <si>
    <t>1-12月应交</t>
  </si>
  <si>
    <t>12月已交</t>
  </si>
  <si>
    <t>2016年应交合计</t>
  </si>
  <si>
    <t>2016年已交合计</t>
  </si>
  <si>
    <t>本年余额（+）或欠交（-）</t>
  </si>
  <si>
    <t>A1801</t>
  </si>
  <si>
    <t>韦贞鸾</t>
  </si>
  <si>
    <t>A1802</t>
  </si>
  <si>
    <t>杨桂玉</t>
  </si>
  <si>
    <t>A1803</t>
  </si>
  <si>
    <t>胡远必</t>
  </si>
  <si>
    <t>A1804</t>
  </si>
  <si>
    <t>梁小凤</t>
  </si>
  <si>
    <t>A1701</t>
  </si>
  <si>
    <t>陈巧玲</t>
  </si>
  <si>
    <t>A1702</t>
  </si>
  <si>
    <t>周凤琼</t>
  </si>
  <si>
    <t>A1703</t>
  </si>
  <si>
    <t>班华钊</t>
  </si>
  <si>
    <t>A1704</t>
  </si>
  <si>
    <t>孙慧芳</t>
  </si>
  <si>
    <t>A1601</t>
  </si>
  <si>
    <t>赵花萄</t>
  </si>
  <si>
    <t>A1602</t>
  </si>
  <si>
    <t>韦玉林</t>
  </si>
  <si>
    <t>A1603</t>
  </si>
  <si>
    <t>李祖勋</t>
  </si>
  <si>
    <t>A1604</t>
  </si>
  <si>
    <t>马尚军</t>
  </si>
  <si>
    <t>A1501</t>
  </si>
  <si>
    <t>杨凤英</t>
  </si>
  <si>
    <t>A1502</t>
  </si>
  <si>
    <t>陈曙林</t>
  </si>
  <si>
    <t>A1503</t>
  </si>
  <si>
    <t>韦月鸾</t>
  </si>
  <si>
    <t>A1504</t>
  </si>
  <si>
    <t>方焕忠</t>
  </si>
  <si>
    <t>A1401</t>
  </si>
  <si>
    <t>李向农</t>
  </si>
  <si>
    <t>A1402</t>
  </si>
  <si>
    <t>邓扬静</t>
  </si>
  <si>
    <t>A1403</t>
  </si>
  <si>
    <t>黄光龙</t>
  </si>
  <si>
    <t>A1404</t>
  </si>
  <si>
    <t>杨光权</t>
  </si>
  <si>
    <t>A1301</t>
  </si>
  <si>
    <t>吴胜斌</t>
  </si>
  <si>
    <t>A1302</t>
  </si>
  <si>
    <t>韦献萍</t>
  </si>
  <si>
    <t>A1303</t>
  </si>
  <si>
    <t>黄汉冕</t>
  </si>
  <si>
    <t>A1304</t>
  </si>
  <si>
    <t>梁艳红</t>
  </si>
  <si>
    <t>A1201</t>
  </si>
  <si>
    <t>索邦卫</t>
  </si>
  <si>
    <t>A1202</t>
  </si>
  <si>
    <t>韦竹珍</t>
  </si>
  <si>
    <t>A1203</t>
  </si>
  <si>
    <t>冉光新</t>
  </si>
  <si>
    <t>A1204</t>
  </si>
  <si>
    <t>彭鸣忠</t>
  </si>
  <si>
    <t>A1101</t>
  </si>
  <si>
    <t>李莎莎</t>
  </si>
  <si>
    <t>A1102</t>
  </si>
  <si>
    <t>陈臻慧</t>
  </si>
  <si>
    <t>A1103</t>
  </si>
  <si>
    <t>吴爱叶</t>
  </si>
  <si>
    <t>A1104</t>
  </si>
  <si>
    <t>岑丽娟</t>
  </si>
  <si>
    <t>A1001</t>
  </si>
  <si>
    <t>黄敬财</t>
  </si>
  <si>
    <t>A1002</t>
  </si>
  <si>
    <t>韦永</t>
  </si>
  <si>
    <t>A1003</t>
  </si>
  <si>
    <t>黄国华</t>
  </si>
  <si>
    <t>A1004</t>
  </si>
  <si>
    <t>樊红</t>
  </si>
  <si>
    <t>A901</t>
  </si>
  <si>
    <t>吴荣庆</t>
  </si>
  <si>
    <t>A902</t>
  </si>
  <si>
    <t>韦选康</t>
  </si>
  <si>
    <t>A903</t>
  </si>
  <si>
    <t>尹明东</t>
  </si>
  <si>
    <t>A904</t>
  </si>
  <si>
    <t>赵德师</t>
  </si>
  <si>
    <t>A801</t>
  </si>
  <si>
    <t>索彩悦</t>
  </si>
  <si>
    <t>A802</t>
  </si>
  <si>
    <t>梁耀兴</t>
  </si>
  <si>
    <t>A803</t>
  </si>
  <si>
    <t>孙忠权</t>
  </si>
  <si>
    <t>A804</t>
  </si>
  <si>
    <t>薛双美</t>
  </si>
  <si>
    <t>A701</t>
  </si>
  <si>
    <t>张丹好</t>
  </si>
  <si>
    <t>A702</t>
  </si>
  <si>
    <t>秦秀银</t>
  </si>
  <si>
    <t>A703</t>
  </si>
  <si>
    <t>徐永腾</t>
  </si>
  <si>
    <t>A704</t>
  </si>
  <si>
    <t>韦建良</t>
  </si>
  <si>
    <t>A601</t>
  </si>
  <si>
    <t>黄恒富</t>
  </si>
  <si>
    <t>A602</t>
  </si>
  <si>
    <t>宁剑</t>
  </si>
  <si>
    <t>A603</t>
  </si>
  <si>
    <t>韦露帆</t>
  </si>
  <si>
    <t>A604</t>
  </si>
  <si>
    <t>黄定军</t>
  </si>
  <si>
    <t>A501</t>
  </si>
  <si>
    <t>唐运忠</t>
  </si>
  <si>
    <t>A502</t>
  </si>
  <si>
    <t>宁昌妹</t>
  </si>
  <si>
    <t>A503</t>
  </si>
  <si>
    <t>赵桂民</t>
  </si>
  <si>
    <t>A504</t>
  </si>
  <si>
    <t>何脉珠</t>
  </si>
  <si>
    <t>A401</t>
  </si>
  <si>
    <t>覃雪萍</t>
  </si>
  <si>
    <t>A402</t>
  </si>
  <si>
    <t>唐智</t>
  </si>
  <si>
    <t>A403</t>
  </si>
  <si>
    <t>韦光会</t>
  </si>
  <si>
    <t>A404</t>
  </si>
  <si>
    <t>李远干</t>
  </si>
  <si>
    <t>A301</t>
  </si>
  <si>
    <t>索文德</t>
  </si>
  <si>
    <t>A302</t>
  </si>
  <si>
    <t>班荣明</t>
  </si>
  <si>
    <t>A303</t>
  </si>
  <si>
    <t>管德明</t>
  </si>
  <si>
    <t>A304</t>
  </si>
  <si>
    <t>黄朝勇</t>
  </si>
  <si>
    <t>李春园</t>
  </si>
  <si>
    <t>广电</t>
  </si>
  <si>
    <t>B1801</t>
  </si>
  <si>
    <t>杨世永</t>
  </si>
  <si>
    <t>B1802</t>
  </si>
  <si>
    <t>张永谦</t>
  </si>
  <si>
    <t>B1803</t>
  </si>
  <si>
    <t>韦春梅</t>
  </si>
  <si>
    <t>B1804</t>
  </si>
  <si>
    <t>杨世会</t>
  </si>
  <si>
    <t>B1701</t>
  </si>
  <si>
    <t>覃海宁</t>
  </si>
  <si>
    <t>B1702</t>
  </si>
  <si>
    <t>赵小华</t>
  </si>
  <si>
    <t>B1703</t>
  </si>
  <si>
    <t>兰瑞传</t>
  </si>
  <si>
    <t>B1704</t>
  </si>
  <si>
    <t>李祖干</t>
  </si>
  <si>
    <t>B1601</t>
  </si>
  <si>
    <t>吴胜聪</t>
  </si>
  <si>
    <t>B1602</t>
  </si>
  <si>
    <t>张培训</t>
  </si>
  <si>
    <t>B1603</t>
  </si>
  <si>
    <t>向凌</t>
  </si>
  <si>
    <t>B1604</t>
  </si>
  <si>
    <t>卢运理</t>
  </si>
  <si>
    <t>B1501</t>
  </si>
  <si>
    <t>黄树田</t>
  </si>
  <si>
    <t>B1502</t>
  </si>
  <si>
    <t>卢秀香</t>
  </si>
  <si>
    <t>B1503</t>
  </si>
  <si>
    <t>梁芸</t>
  </si>
  <si>
    <t>B1504</t>
  </si>
  <si>
    <t>唐月新</t>
  </si>
  <si>
    <t>B1401</t>
  </si>
  <si>
    <t>张坤远</t>
  </si>
  <si>
    <t>B1402</t>
  </si>
  <si>
    <t>唐毓辉</t>
  </si>
  <si>
    <t>B1403</t>
  </si>
  <si>
    <t>张庭强</t>
  </si>
  <si>
    <t>B1404</t>
  </si>
  <si>
    <t>杨月俞</t>
  </si>
  <si>
    <t>B1301</t>
  </si>
  <si>
    <t>薛红芳</t>
  </si>
  <si>
    <t>B1302</t>
  </si>
  <si>
    <t>尹明亮</t>
  </si>
  <si>
    <t>B1303</t>
  </si>
  <si>
    <t>黄学军</t>
  </si>
  <si>
    <t>B1304</t>
  </si>
  <si>
    <t>韦水银</t>
  </si>
  <si>
    <t>B1201</t>
  </si>
  <si>
    <t>韦勇东</t>
  </si>
  <si>
    <t>B1202</t>
  </si>
  <si>
    <t>罗其永</t>
  </si>
  <si>
    <t>B1203</t>
  </si>
  <si>
    <t>廖婉</t>
  </si>
  <si>
    <t>B1204</t>
  </si>
  <si>
    <t>张卫红</t>
  </si>
  <si>
    <t>B1101</t>
  </si>
  <si>
    <t>仇利生</t>
  </si>
  <si>
    <t>B1102</t>
  </si>
  <si>
    <t>韩雪琴</t>
  </si>
  <si>
    <t>B1103</t>
  </si>
  <si>
    <t>罗智云</t>
  </si>
  <si>
    <t>B1104</t>
  </si>
  <si>
    <t>韦丽春</t>
  </si>
  <si>
    <t>B1001</t>
  </si>
  <si>
    <t>黄恒洋</t>
  </si>
  <si>
    <t>B1002</t>
  </si>
  <si>
    <t>韦美新</t>
  </si>
  <si>
    <t>B1003</t>
  </si>
  <si>
    <t>黄浓智</t>
  </si>
  <si>
    <t>B1004</t>
  </si>
  <si>
    <t>黄荣强</t>
  </si>
  <si>
    <t>B901</t>
  </si>
  <si>
    <t>吴胜刚</t>
  </si>
  <si>
    <t>B902</t>
  </si>
  <si>
    <t>黄秀杰</t>
  </si>
  <si>
    <t>B903</t>
  </si>
  <si>
    <t>黄静琴</t>
  </si>
  <si>
    <t>B904</t>
  </si>
  <si>
    <t>韦美莲</t>
  </si>
  <si>
    <t>B801</t>
  </si>
  <si>
    <t>谭慧婕</t>
  </si>
  <si>
    <t>B802</t>
  </si>
  <si>
    <t>韩兰孝</t>
  </si>
  <si>
    <t>B803</t>
  </si>
  <si>
    <t>何珍茂</t>
  </si>
  <si>
    <t>B804</t>
  </si>
  <si>
    <t>田昌旺</t>
  </si>
  <si>
    <t>B701</t>
  </si>
  <si>
    <t>谢金容</t>
  </si>
  <si>
    <t>B702</t>
  </si>
  <si>
    <t>范桂菊</t>
  </si>
  <si>
    <t>B703</t>
  </si>
  <si>
    <t>农成</t>
  </si>
  <si>
    <t>B704</t>
  </si>
  <si>
    <t>蓝旭林</t>
  </si>
  <si>
    <t>B601</t>
  </si>
  <si>
    <t>秦义发</t>
  </si>
  <si>
    <t>B602</t>
  </si>
  <si>
    <t>黄金福</t>
  </si>
  <si>
    <t>B603</t>
  </si>
  <si>
    <t>王恩安</t>
  </si>
  <si>
    <t>B604</t>
  </si>
  <si>
    <t>龙明英</t>
  </si>
  <si>
    <t>B501</t>
  </si>
  <si>
    <t>韦朝稳</t>
  </si>
  <si>
    <t>B502</t>
  </si>
  <si>
    <t>陆复权</t>
  </si>
  <si>
    <t>B503</t>
  </si>
  <si>
    <t>韦国勋</t>
  </si>
  <si>
    <t>B504</t>
  </si>
  <si>
    <t>韦清耀</t>
  </si>
  <si>
    <t>B401</t>
  </si>
  <si>
    <t>张良</t>
  </si>
  <si>
    <t>B402</t>
  </si>
  <si>
    <t>黄汉杰</t>
  </si>
  <si>
    <t>B403</t>
  </si>
  <si>
    <t>黄侦江</t>
  </si>
  <si>
    <t>B404</t>
  </si>
  <si>
    <t>周冬梅</t>
  </si>
  <si>
    <t>B302</t>
  </si>
  <si>
    <t>田明川</t>
  </si>
  <si>
    <t>B303</t>
  </si>
  <si>
    <t>韦仕斌</t>
  </si>
  <si>
    <t>B304</t>
  </si>
  <si>
    <t>韦光伟</t>
  </si>
  <si>
    <t>天峨县林朵林场新场部危改AB栋2017年度电费收缴情况登记表</t>
  </si>
  <si>
    <t>1月应交（2016年12月电费）</t>
  </si>
  <si>
    <t>12月应交（2017年11月电费）</t>
  </si>
  <si>
    <t>2017年应交</t>
  </si>
  <si>
    <t>2017年已交</t>
  </si>
  <si>
    <t>天峨县林朵林场新场部危改AB栋2018年度电费收缴情况登记表</t>
  </si>
  <si>
    <t>1月应交（2017年12月电费）</t>
  </si>
  <si>
    <t>12月应交（2018年11月电费）</t>
  </si>
  <si>
    <t>2018年应交合计</t>
  </si>
  <si>
    <t>2018年已交合计</t>
  </si>
  <si>
    <t>天峨县林朵林场新场部危改AB栋2019年度电费收缴情况登记表</t>
  </si>
  <si>
    <t>1月应交（2018年12月电费）</t>
  </si>
  <si>
    <t>2016.1-2019.4电损公摊应交</t>
  </si>
  <si>
    <t>卫生费</t>
  </si>
  <si>
    <t>12月应交（2019年11月电费）</t>
  </si>
  <si>
    <t>2019年1-12月应交合计</t>
  </si>
  <si>
    <t>2019年1-12月已交合计</t>
  </si>
  <si>
    <t>天峨县林朵林场新场部危改AB栋2020年度电费收缴情况登记表</t>
  </si>
  <si>
    <t>1月应交（2019年12月电费）</t>
  </si>
  <si>
    <t>补2月应交</t>
  </si>
  <si>
    <t>12月应交（2020年11月电费）</t>
  </si>
  <si>
    <t>1-12月已交</t>
  </si>
  <si>
    <t>广电网络公司</t>
  </si>
  <si>
    <t>天峨县林朵林场新场部危改AB栋2021年度电费收缴情况登记表</t>
  </si>
  <si>
    <t>1月应交（2020年12月电费）</t>
  </si>
  <si>
    <t>12月应交（2021年11月电费）</t>
  </si>
  <si>
    <t>姚盛荣</t>
  </si>
  <si>
    <t>韩必旺</t>
  </si>
  <si>
    <t>覃桂英</t>
  </si>
  <si>
    <t>罗天严</t>
  </si>
  <si>
    <t>广电网
络公司</t>
  </si>
  <si>
    <t>天峨县林朵林场新场部危改AB栋2022年度电费收缴情况登记表</t>
  </si>
  <si>
    <t>1月应交（2021年12月电费）</t>
  </si>
  <si>
    <t>12月应交（2022年11月电费）</t>
  </si>
  <si>
    <t>韦竹珍(陈业珍)</t>
  </si>
  <si>
    <t>冉光新(李明新)</t>
  </si>
  <si>
    <t>李莎莎(罗绍宏)</t>
  </si>
  <si>
    <t>黄国华(姚盛荣)</t>
  </si>
  <si>
    <t>赵德师（韩必旺）</t>
  </si>
  <si>
    <t>黄恒富（黄桂楼）</t>
  </si>
  <si>
    <t>覃雪萍（覃桂英）</t>
  </si>
  <si>
    <t>李远干（罗天严）</t>
  </si>
  <si>
    <t>韦美新（仇志晚）</t>
  </si>
  <si>
    <t>韦国勋（班朝仁）</t>
  </si>
  <si>
    <t>天峨县林朵林场新场部危改AB栋2023年度电费收缴情况登记表</t>
  </si>
  <si>
    <t>1月应交（2022年12月电费）</t>
  </si>
  <si>
    <t>12月应交（2023年11月电费）</t>
  </si>
  <si>
    <t>天峨县林朵林场新场部危改AB栋2024年度电费收缴情况登记表</t>
  </si>
  <si>
    <t>1月应交（2023年12月电费）</t>
  </si>
  <si>
    <t>4-5月应交</t>
  </si>
  <si>
    <t>12月应交（2024年11月电费）</t>
  </si>
  <si>
    <t>天峨县林朵林场新场部危改AB栋2025年度电费收缴情况登记表</t>
  </si>
  <si>
    <t>1月应交（2024.12.1-12.31）</t>
  </si>
  <si>
    <t>3月应交（2025.1.1-2.28）</t>
  </si>
  <si>
    <t>12月应交</t>
  </si>
  <si>
    <t>铁塔公司A</t>
  </si>
  <si>
    <t>移动公司</t>
  </si>
  <si>
    <t>铁塔公司B</t>
  </si>
  <si>
    <t>2019年1-8月应交合计</t>
  </si>
  <si>
    <t>2019年1-8月已交合计</t>
  </si>
  <si>
    <t>8月正确余额</t>
  </si>
  <si>
    <t>8月末余额</t>
  </si>
  <si>
    <t>2019年9-12月应交合计</t>
  </si>
  <si>
    <t>2019年9-12月已交合计</t>
  </si>
  <si>
    <t>Ｔ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</si>
</sst>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  <numFmt numFmtId="178" formatCode="#,##0.00;[Red]#,##0.00"/>
    <numFmt numFmtId="179" formatCode="0.000_ "/>
  </numFmts>
  <fonts count="5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sz val="14"/>
      <color theme="1"/>
      <name val="宋体"/>
      <charset val="134"/>
    </font>
    <font>
      <b/>
      <sz val="18"/>
      <color rgb="FFFF0000"/>
      <name val="宋体"/>
      <charset val="134"/>
    </font>
    <font>
      <b/>
      <sz val="18"/>
      <color theme="1"/>
      <name val="宋体"/>
      <charset val="134"/>
    </font>
    <font>
      <sz val="14"/>
      <color rgb="FFFF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</font>
    <font>
      <b/>
      <sz val="18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2"/>
      <color rgb="FFFF0000"/>
      <name val="宋体"/>
      <charset val="134"/>
    </font>
    <font>
      <b/>
      <sz val="14"/>
      <color rgb="FF00B050"/>
      <name val="宋体"/>
      <charset val="134"/>
    </font>
    <font>
      <sz val="11"/>
      <color rgb="FF00B050"/>
      <name val="宋体"/>
      <charset val="134"/>
      <scheme val="minor"/>
    </font>
    <font>
      <sz val="14"/>
      <color rgb="FF00B050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0"/>
    </font>
    <font>
      <sz val="10"/>
      <color theme="1"/>
      <name val="宋体"/>
      <charset val="134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1" fillId="20" borderId="7" applyNumberFormat="0" applyAlignment="0" applyProtection="0">
      <alignment vertical="center"/>
    </xf>
    <xf numFmtId="0" fontId="42" fillId="20" borderId="3" applyNumberFormat="0" applyAlignment="0" applyProtection="0">
      <alignment vertical="center"/>
    </xf>
    <xf numFmtId="0" fontId="43" fillId="21" borderId="8" applyNumberFormat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17" fillId="0" borderId="0">
      <alignment vertical="center"/>
    </xf>
  </cellStyleXfs>
  <cellXfs count="265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2" fillId="0" borderId="0" xfId="0" applyFont="1" applyFill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 shrinkToFit="1"/>
    </xf>
    <xf numFmtId="0" fontId="0" fillId="2" borderId="0" xfId="0" applyFont="1" applyFill="1">
      <alignment vertical="center"/>
    </xf>
    <xf numFmtId="0" fontId="0" fillId="2" borderId="0" xfId="0" applyFont="1" applyFill="1" applyAlignment="1">
      <alignment horizontal="center" vertical="center" shrinkToFit="1"/>
    </xf>
    <xf numFmtId="0" fontId="0" fillId="2" borderId="0" xfId="0" applyFill="1">
      <alignment vertical="center"/>
    </xf>
    <xf numFmtId="176" fontId="0" fillId="2" borderId="0" xfId="0" applyNumberFormat="1" applyFont="1" applyFill="1">
      <alignment vertical="center"/>
    </xf>
    <xf numFmtId="176" fontId="0" fillId="2" borderId="0" xfId="0" applyNumberFormat="1" applyFont="1" applyFill="1" applyAlignment="1">
      <alignment horizontal="center" vertical="center" shrinkToFit="1"/>
    </xf>
    <xf numFmtId="0" fontId="3" fillId="0" borderId="0" xfId="49" applyFont="1" applyFill="1" applyBorder="1" applyAlignment="1">
      <alignment horizontal="center" vertical="center"/>
    </xf>
    <xf numFmtId="0" fontId="4" fillId="0" borderId="0" xfId="49" applyFont="1" applyFill="1" applyBorder="1" applyAlignment="1">
      <alignment horizontal="center" vertical="center"/>
    </xf>
    <xf numFmtId="0" fontId="5" fillId="0" borderId="0" xfId="49" applyFont="1" applyFill="1" applyAlignment="1">
      <alignment horizontal="left" vertical="center"/>
    </xf>
    <xf numFmtId="0" fontId="6" fillId="0" borderId="0" xfId="49" applyFont="1" applyFill="1" applyBorder="1" applyAlignment="1">
      <alignment horizontal="center" vertical="center" shrinkToFit="1"/>
    </xf>
    <xf numFmtId="0" fontId="7" fillId="0" borderId="0" xfId="49" applyFont="1" applyFill="1" applyBorder="1" applyAlignment="1">
      <alignment horizontal="center" vertical="center" shrinkToFit="1"/>
    </xf>
    <xf numFmtId="0" fontId="5" fillId="0" borderId="1" xfId="49" applyFont="1" applyFill="1" applyBorder="1" applyAlignment="1">
      <alignment horizontal="center" vertical="center" shrinkToFit="1"/>
    </xf>
    <xf numFmtId="49" fontId="5" fillId="0" borderId="1" xfId="49" applyNumberFormat="1" applyFont="1" applyFill="1" applyBorder="1" applyAlignment="1">
      <alignment horizontal="center" vertical="center" wrapText="1" shrinkToFit="1"/>
    </xf>
    <xf numFmtId="49" fontId="8" fillId="0" borderId="1" xfId="49" applyNumberFormat="1" applyFont="1" applyFill="1" applyBorder="1" applyAlignment="1">
      <alignment horizontal="center" vertical="center" shrinkToFit="1"/>
    </xf>
    <xf numFmtId="49" fontId="5" fillId="0" borderId="1" xfId="49" applyNumberFormat="1" applyFont="1" applyFill="1" applyBorder="1" applyAlignment="1">
      <alignment horizontal="center" vertical="center" shrinkToFit="1"/>
    </xf>
    <xf numFmtId="0" fontId="9" fillId="0" borderId="1" xfId="49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43" fontId="9" fillId="0" borderId="1" xfId="49" applyNumberFormat="1" applyFont="1" applyFill="1" applyBorder="1" applyAlignment="1">
      <alignment horizontal="center" vertical="center" shrinkToFit="1"/>
    </xf>
    <xf numFmtId="43" fontId="10" fillId="0" borderId="1" xfId="49" applyNumberFormat="1" applyFont="1" applyFill="1" applyBorder="1" applyAlignment="1">
      <alignment horizontal="center" vertical="center" shrinkToFit="1"/>
    </xf>
    <xf numFmtId="43" fontId="0" fillId="0" borderId="1" xfId="0" applyNumberFormat="1" applyFont="1" applyFill="1" applyBorder="1" applyAlignment="1">
      <alignment horizontal="center" vertical="center" shrinkToFit="1"/>
    </xf>
    <xf numFmtId="0" fontId="11" fillId="0" borderId="0" xfId="0" applyFont="1" applyFill="1" applyAlignment="1">
      <alignment horizontal="center" vertical="center" shrinkToFit="1"/>
    </xf>
    <xf numFmtId="43" fontId="11" fillId="0" borderId="1" xfId="0" applyNumberFormat="1" applyFont="1" applyFill="1" applyBorder="1" applyAlignment="1">
      <alignment horizontal="center" vertical="center" shrinkToFit="1"/>
    </xf>
    <xf numFmtId="0" fontId="12" fillId="0" borderId="0" xfId="49" applyFont="1" applyFill="1" applyBorder="1" applyAlignment="1">
      <alignment horizontal="center" vertical="center"/>
    </xf>
    <xf numFmtId="0" fontId="13" fillId="0" borderId="0" xfId="49" applyFont="1" applyFill="1" applyAlignment="1">
      <alignment horizontal="left" vertical="center"/>
    </xf>
    <xf numFmtId="0" fontId="14" fillId="0" borderId="0" xfId="49" applyFont="1" applyFill="1" applyBorder="1" applyAlignment="1">
      <alignment horizontal="center" vertical="center" shrinkToFit="1"/>
    </xf>
    <xf numFmtId="0" fontId="15" fillId="0" borderId="0" xfId="0" applyFont="1" applyFill="1" applyAlignment="1">
      <alignment horizontal="center" vertical="center" shrinkToFit="1"/>
    </xf>
    <xf numFmtId="0" fontId="13" fillId="0" borderId="1" xfId="49" applyFont="1" applyFill="1" applyBorder="1" applyAlignment="1">
      <alignment horizontal="center" vertical="center" shrinkToFit="1"/>
    </xf>
    <xf numFmtId="49" fontId="13" fillId="0" borderId="1" xfId="49" applyNumberFormat="1" applyFont="1" applyFill="1" applyBorder="1" applyAlignment="1">
      <alignment horizontal="center" vertical="center" wrapText="1" shrinkToFit="1"/>
    </xf>
    <xf numFmtId="49" fontId="13" fillId="0" borderId="1" xfId="49" applyNumberFormat="1" applyFont="1" applyFill="1" applyBorder="1" applyAlignment="1">
      <alignment horizontal="center" vertical="center" shrinkToFit="1"/>
    </xf>
    <xf numFmtId="0" fontId="16" fillId="0" borderId="1" xfId="49" applyFont="1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vertical="center" shrinkToFit="1"/>
    </xf>
    <xf numFmtId="43" fontId="16" fillId="0" borderId="1" xfId="49" applyNumberFormat="1" applyFont="1" applyFill="1" applyBorder="1" applyAlignment="1">
      <alignment horizontal="center" vertical="center" shrinkToFit="1"/>
    </xf>
    <xf numFmtId="43" fontId="15" fillId="0" borderId="1" xfId="0" applyNumberFormat="1" applyFont="1" applyFill="1" applyBorder="1" applyAlignment="1">
      <alignment horizontal="center" vertical="center" shrinkToFit="1"/>
    </xf>
    <xf numFmtId="0" fontId="3" fillId="2" borderId="0" xfId="49" applyFont="1" applyFill="1" applyBorder="1" applyAlignment="1">
      <alignment horizontal="center" vertical="center"/>
    </xf>
    <xf numFmtId="176" fontId="3" fillId="2" borderId="0" xfId="49" applyNumberFormat="1" applyFont="1" applyFill="1" applyBorder="1" applyAlignment="1">
      <alignment horizontal="center" vertical="center"/>
    </xf>
    <xf numFmtId="0" fontId="5" fillId="2" borderId="0" xfId="49" applyFont="1" applyFill="1" applyAlignment="1">
      <alignment horizontal="left" vertical="center"/>
    </xf>
    <xf numFmtId="176" fontId="5" fillId="2" borderId="0" xfId="49" applyNumberFormat="1" applyFont="1" applyFill="1" applyAlignment="1">
      <alignment horizontal="left" vertical="center"/>
    </xf>
    <xf numFmtId="176" fontId="7" fillId="2" borderId="0" xfId="49" applyNumberFormat="1" applyFont="1" applyFill="1" applyBorder="1" applyAlignment="1">
      <alignment horizontal="center" vertical="center" shrinkToFit="1"/>
    </xf>
    <xf numFmtId="0" fontId="5" fillId="2" borderId="1" xfId="49" applyFont="1" applyFill="1" applyBorder="1" applyAlignment="1">
      <alignment horizontal="center" vertical="center" shrinkToFit="1"/>
    </xf>
    <xf numFmtId="176" fontId="5" fillId="2" borderId="1" xfId="49" applyNumberFormat="1" applyFont="1" applyFill="1" applyBorder="1" applyAlignment="1">
      <alignment horizontal="center" vertical="center" wrapText="1" shrinkToFit="1"/>
    </xf>
    <xf numFmtId="176" fontId="5" fillId="2" borderId="1" xfId="49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176" fontId="17" fillId="2" borderId="1" xfId="0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176" fontId="5" fillId="0" borderId="0" xfId="49" applyNumberFormat="1" applyFont="1" applyFill="1" applyAlignment="1">
      <alignment horizontal="left" vertical="center"/>
    </xf>
    <xf numFmtId="176" fontId="5" fillId="0" borderId="1" xfId="49" applyNumberFormat="1" applyFont="1" applyFill="1" applyBorder="1" applyAlignment="1">
      <alignment horizontal="center" vertical="center" wrapText="1" shrinkToFit="1"/>
    </xf>
    <xf numFmtId="0" fontId="2" fillId="0" borderId="1" xfId="49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176" fontId="0" fillId="0" borderId="1" xfId="0" applyNumberFormat="1" applyFont="1" applyBorder="1" applyAlignment="1">
      <alignment horizontal="center" vertical="center" shrinkToFit="1"/>
    </xf>
    <xf numFmtId="43" fontId="17" fillId="0" borderId="1" xfId="49" applyNumberFormat="1" applyFont="1" applyFill="1" applyBorder="1" applyAlignment="1">
      <alignment horizontal="center" vertical="center" shrinkToFit="1"/>
    </xf>
    <xf numFmtId="43" fontId="2" fillId="0" borderId="1" xfId="49" applyNumberFormat="1" applyFont="1" applyFill="1" applyBorder="1" applyAlignment="1">
      <alignment horizontal="center" vertical="center" shrinkToFit="1"/>
    </xf>
    <xf numFmtId="43" fontId="2" fillId="0" borderId="1" xfId="0" applyNumberFormat="1" applyFont="1" applyFill="1" applyBorder="1" applyAlignment="1">
      <alignment horizontal="center" vertical="center" shrinkToFit="1"/>
    </xf>
    <xf numFmtId="49" fontId="3" fillId="2" borderId="0" xfId="49" applyNumberFormat="1" applyFont="1" applyFill="1" applyBorder="1" applyAlignment="1">
      <alignment horizontal="center" vertical="center"/>
    </xf>
    <xf numFmtId="49" fontId="5" fillId="2" borderId="0" xfId="49" applyNumberFormat="1" applyFont="1" applyFill="1" applyAlignment="1">
      <alignment horizontal="left" vertical="center"/>
    </xf>
    <xf numFmtId="49" fontId="5" fillId="2" borderId="1" xfId="49" applyNumberFormat="1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 shrinkToFit="1"/>
    </xf>
    <xf numFmtId="176" fontId="18" fillId="3" borderId="1" xfId="0" applyNumberFormat="1" applyFont="1" applyFill="1" applyBorder="1" applyAlignment="1" applyProtection="1">
      <alignment horizontal="center" vertical="center" shrinkToFit="1"/>
    </xf>
    <xf numFmtId="176" fontId="2" fillId="3" borderId="1" xfId="0" applyNumberFormat="1" applyFont="1" applyFill="1" applyBorder="1" applyAlignment="1" applyProtection="1">
      <alignment horizontal="center" vertical="center" shrinkToFit="1"/>
    </xf>
    <xf numFmtId="176" fontId="18" fillId="2" borderId="1" xfId="0" applyNumberFormat="1" applyFont="1" applyFill="1" applyBorder="1" applyAlignment="1" applyProtection="1">
      <alignment horizontal="center" vertical="center" shrinkToFit="1"/>
    </xf>
    <xf numFmtId="176" fontId="2" fillId="2" borderId="1" xfId="0" applyNumberFormat="1" applyFont="1" applyFill="1" applyBorder="1" applyAlignment="1" applyProtection="1">
      <alignment horizontal="center" vertical="center" shrinkToFit="1"/>
    </xf>
    <xf numFmtId="177" fontId="3" fillId="2" borderId="0" xfId="49" applyNumberFormat="1" applyFont="1" applyFill="1" applyBorder="1" applyAlignment="1">
      <alignment horizontal="center" vertical="center"/>
    </xf>
    <xf numFmtId="177" fontId="5" fillId="2" borderId="0" xfId="49" applyNumberFormat="1" applyFont="1" applyFill="1" applyAlignment="1">
      <alignment horizontal="left" vertical="center"/>
    </xf>
    <xf numFmtId="0" fontId="7" fillId="2" borderId="0" xfId="49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177" fontId="5" fillId="2" borderId="1" xfId="49" applyNumberFormat="1" applyFont="1" applyFill="1" applyBorder="1" applyAlignment="1">
      <alignment horizontal="center" vertical="center" wrapText="1" shrinkToFit="1"/>
    </xf>
    <xf numFmtId="177" fontId="5" fillId="2" borderId="1" xfId="49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3" fillId="4" borderId="0" xfId="49" applyFont="1" applyFill="1" applyBorder="1" applyAlignment="1">
      <alignment horizontal="center" vertical="center"/>
    </xf>
    <xf numFmtId="0" fontId="7" fillId="4" borderId="0" xfId="49" applyFont="1" applyFill="1" applyBorder="1" applyAlignment="1">
      <alignment horizontal="center" vertical="center" shrinkToFit="1"/>
    </xf>
    <xf numFmtId="0" fontId="0" fillId="4" borderId="0" xfId="0" applyFont="1" applyFill="1" applyAlignment="1">
      <alignment horizontal="center" vertical="center" shrinkToFit="1"/>
    </xf>
    <xf numFmtId="49" fontId="5" fillId="4" borderId="1" xfId="49" applyNumberFormat="1" applyFont="1" applyFill="1" applyBorder="1" applyAlignment="1">
      <alignment horizontal="center" vertical="center" shrinkToFit="1"/>
    </xf>
    <xf numFmtId="177" fontId="2" fillId="2" borderId="1" xfId="0" applyNumberFormat="1" applyFont="1" applyFill="1" applyBorder="1" applyAlignment="1" applyProtection="1">
      <alignment horizontal="center" vertical="center" shrinkToFit="1"/>
    </xf>
    <xf numFmtId="0" fontId="0" fillId="4" borderId="1" xfId="0" applyFont="1" applyFill="1" applyBorder="1" applyAlignment="1">
      <alignment vertical="center" shrinkToFit="1"/>
    </xf>
    <xf numFmtId="177" fontId="0" fillId="2" borderId="0" xfId="0" applyNumberFormat="1" applyFill="1">
      <alignment vertical="center"/>
    </xf>
    <xf numFmtId="0" fontId="0" fillId="4" borderId="0" xfId="0" applyFill="1">
      <alignment vertical="center"/>
    </xf>
    <xf numFmtId="176" fontId="3" fillId="5" borderId="0" xfId="49" applyNumberFormat="1" applyFont="1" applyFill="1" applyBorder="1" applyAlignment="1">
      <alignment horizontal="center" vertical="center"/>
    </xf>
    <xf numFmtId="176" fontId="4" fillId="4" borderId="0" xfId="49" applyNumberFormat="1" applyFont="1" applyFill="1" applyBorder="1" applyAlignment="1">
      <alignment horizontal="center" vertical="center"/>
    </xf>
    <xf numFmtId="176" fontId="7" fillId="5" borderId="0" xfId="49" applyNumberFormat="1" applyFont="1" applyFill="1" applyBorder="1" applyAlignment="1">
      <alignment horizontal="center" vertical="center" shrinkToFit="1"/>
    </xf>
    <xf numFmtId="176" fontId="6" fillId="4" borderId="0" xfId="49" applyNumberFormat="1" applyFont="1" applyFill="1" applyBorder="1" applyAlignment="1">
      <alignment horizontal="center" vertical="center" shrinkToFit="1"/>
    </xf>
    <xf numFmtId="176" fontId="11" fillId="4" borderId="0" xfId="0" applyNumberFormat="1" applyFont="1" applyFill="1" applyAlignment="1">
      <alignment horizontal="center" vertical="center" shrinkToFit="1"/>
    </xf>
    <xf numFmtId="176" fontId="0" fillId="5" borderId="0" xfId="0" applyNumberFormat="1" applyFont="1" applyFill="1" applyAlignment="1">
      <alignment horizontal="center" vertical="center" shrinkToFit="1"/>
    </xf>
    <xf numFmtId="176" fontId="2" fillId="5" borderId="1" xfId="49" applyNumberFormat="1" applyFont="1" applyFill="1" applyBorder="1" applyAlignment="1">
      <alignment horizontal="center" vertical="center" wrapText="1" shrinkToFit="1"/>
    </xf>
    <xf numFmtId="176" fontId="8" fillId="4" borderId="1" xfId="49" applyNumberFormat="1" applyFont="1" applyFill="1" applyBorder="1" applyAlignment="1">
      <alignment horizontal="center" vertical="center" shrinkToFit="1"/>
    </xf>
    <xf numFmtId="176" fontId="9" fillId="5" borderId="1" xfId="49" applyNumberFormat="1" applyFont="1" applyFill="1" applyBorder="1" applyAlignment="1">
      <alignment horizontal="center" vertical="center" wrapText="1" shrinkToFit="1"/>
    </xf>
    <xf numFmtId="176" fontId="2" fillId="5" borderId="1" xfId="0" applyNumberFormat="1" applyFont="1" applyFill="1" applyBorder="1" applyAlignment="1" applyProtection="1">
      <alignment horizontal="center" vertical="center" shrinkToFit="1"/>
    </xf>
    <xf numFmtId="176" fontId="11" fillId="4" borderId="1" xfId="0" applyNumberFormat="1" applyFont="1" applyFill="1" applyBorder="1" applyAlignment="1">
      <alignment horizontal="center" vertical="center" shrinkToFit="1"/>
    </xf>
    <xf numFmtId="177" fontId="13" fillId="0" borderId="1" xfId="0" applyNumberFormat="1" applyFont="1" applyFill="1" applyBorder="1" applyAlignment="1">
      <alignment horizontal="center" vertical="center"/>
    </xf>
    <xf numFmtId="176" fontId="3" fillId="6" borderId="0" xfId="49" applyNumberFormat="1" applyFont="1" applyFill="1" applyBorder="1" applyAlignment="1">
      <alignment horizontal="center" vertical="center"/>
    </xf>
    <xf numFmtId="176" fontId="0" fillId="6" borderId="0" xfId="0" applyNumberFormat="1" applyFont="1" applyFill="1" applyAlignment="1">
      <alignment horizontal="center" vertical="center" shrinkToFit="1"/>
    </xf>
    <xf numFmtId="176" fontId="5" fillId="6" borderId="1" xfId="49" applyNumberFormat="1" applyFont="1" applyFill="1" applyBorder="1" applyAlignment="1">
      <alignment horizontal="center" vertical="center" shrinkToFit="1"/>
    </xf>
    <xf numFmtId="176" fontId="19" fillId="6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7" borderId="0" xfId="49" applyFont="1" applyFill="1" applyBorder="1" applyAlignment="1">
      <alignment horizontal="center" vertical="center"/>
    </xf>
    <xf numFmtId="0" fontId="0" fillId="7" borderId="0" xfId="0" applyFont="1" applyFill="1" applyAlignment="1">
      <alignment horizontal="center" vertical="center" shrinkToFit="1"/>
    </xf>
    <xf numFmtId="49" fontId="5" fillId="7" borderId="1" xfId="49" applyNumberFormat="1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7" borderId="1" xfId="0" applyFont="1" applyFill="1" applyBorder="1" applyAlignment="1">
      <alignment horizontal="center" vertical="center" shrinkToFit="1"/>
    </xf>
    <xf numFmtId="0" fontId="0" fillId="4" borderId="1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176" fontId="5" fillId="5" borderId="1" xfId="49" applyNumberFormat="1" applyFont="1" applyFill="1" applyBorder="1" applyAlignment="1">
      <alignment horizontal="center" vertical="center" shrinkToFit="1"/>
    </xf>
    <xf numFmtId="177" fontId="17" fillId="5" borderId="1" xfId="0" applyNumberFormat="1" applyFont="1" applyFill="1" applyBorder="1" applyAlignment="1" applyProtection="1">
      <alignment horizontal="center" vertical="center" shrinkToFit="1"/>
    </xf>
    <xf numFmtId="177" fontId="19" fillId="4" borderId="1" xfId="0" applyNumberFormat="1" applyFont="1" applyFill="1" applyBorder="1" applyAlignment="1" applyProtection="1">
      <alignment horizontal="center" vertical="center" shrinkToFit="1"/>
    </xf>
    <xf numFmtId="176" fontId="0" fillId="2" borderId="1" xfId="0" applyNumberFormat="1" applyFont="1" applyFill="1" applyBorder="1" applyAlignment="1">
      <alignment horizontal="center" vertical="center" shrinkToFit="1"/>
    </xf>
    <xf numFmtId="0" fontId="12" fillId="5" borderId="0" xfId="49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 shrinkToFit="1"/>
    </xf>
    <xf numFmtId="49" fontId="13" fillId="5" borderId="1" xfId="49" applyNumberFormat="1" applyFont="1" applyFill="1" applyBorder="1" applyAlignment="1">
      <alignment horizontal="center" vertical="center" shrinkToFit="1"/>
    </xf>
    <xf numFmtId="0" fontId="17" fillId="5" borderId="1" xfId="0" applyFont="1" applyFill="1" applyBorder="1" applyAlignment="1">
      <alignment horizontal="center" vertical="center"/>
    </xf>
    <xf numFmtId="176" fontId="3" fillId="4" borderId="0" xfId="49" applyNumberFormat="1" applyFont="1" applyFill="1" applyBorder="1" applyAlignment="1">
      <alignment horizontal="center" vertical="center"/>
    </xf>
    <xf numFmtId="176" fontId="0" fillId="4" borderId="0" xfId="0" applyNumberFormat="1" applyFont="1" applyFill="1" applyAlignment="1">
      <alignment horizontal="center" vertical="center" shrinkToFit="1"/>
    </xf>
    <xf numFmtId="176" fontId="5" fillId="4" borderId="1" xfId="49" applyNumberFormat="1" applyFont="1" applyFill="1" applyBorder="1" applyAlignment="1">
      <alignment horizontal="center" vertical="center" shrinkToFit="1"/>
    </xf>
    <xf numFmtId="176" fontId="8" fillId="2" borderId="1" xfId="0" applyNumberFormat="1" applyFont="1" applyFill="1" applyBorder="1" applyAlignment="1" applyProtection="1">
      <alignment horizontal="center" vertical="center"/>
    </xf>
    <xf numFmtId="176" fontId="8" fillId="4" borderId="1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 shrinkToFit="1"/>
    </xf>
    <xf numFmtId="176" fontId="0" fillId="0" borderId="1" xfId="0" applyNumberFormat="1" applyFont="1" applyFill="1" applyBorder="1" applyAlignment="1">
      <alignment horizontal="center" vertical="center" shrinkToFit="1"/>
    </xf>
    <xf numFmtId="0" fontId="3" fillId="5" borderId="0" xfId="49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49" fontId="5" fillId="5" borderId="1" xfId="49" applyNumberFormat="1" applyFont="1" applyFill="1" applyBorder="1" applyAlignment="1">
      <alignment horizontal="center" vertical="center" shrinkToFit="1"/>
    </xf>
    <xf numFmtId="43" fontId="0" fillId="5" borderId="1" xfId="0" applyNumberFormat="1" applyFont="1" applyFill="1" applyBorder="1" applyAlignment="1">
      <alignment horizontal="center" vertical="center" shrinkToFit="1"/>
    </xf>
    <xf numFmtId="177" fontId="3" fillId="0" borderId="0" xfId="49" applyNumberFormat="1" applyFont="1" applyFill="1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 wrapText="1" shrinkToFit="1"/>
    </xf>
    <xf numFmtId="177" fontId="0" fillId="0" borderId="1" xfId="0" applyNumberFormat="1" applyFont="1" applyFill="1" applyBorder="1" applyAlignment="1">
      <alignment horizontal="center" vertical="center" shrinkToFit="1"/>
    </xf>
    <xf numFmtId="0" fontId="4" fillId="5" borderId="0" xfId="49" applyFont="1" applyFill="1" applyBorder="1" applyAlignment="1">
      <alignment horizontal="center" vertical="center"/>
    </xf>
    <xf numFmtId="0" fontId="3" fillId="8" borderId="0" xfId="49" applyFont="1" applyFill="1" applyBorder="1" applyAlignment="1">
      <alignment horizontal="center" vertical="center"/>
    </xf>
    <xf numFmtId="0" fontId="20" fillId="2" borderId="0" xfId="49" applyFont="1" applyFill="1" applyBorder="1" applyAlignment="1">
      <alignment horizontal="center" vertical="center"/>
    </xf>
    <xf numFmtId="0" fontId="20" fillId="0" borderId="0" xfId="49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shrinkToFit="1"/>
    </xf>
    <xf numFmtId="0" fontId="0" fillId="8" borderId="0" xfId="0" applyFont="1" applyFill="1" applyAlignment="1">
      <alignment horizontal="center" vertical="center" shrinkToFit="1"/>
    </xf>
    <xf numFmtId="0" fontId="21" fillId="2" borderId="0" xfId="0" applyFont="1" applyFill="1" applyAlignment="1">
      <alignment horizontal="center" vertical="center" shrinkToFit="1"/>
    </xf>
    <xf numFmtId="0" fontId="21" fillId="0" borderId="0" xfId="0" applyFont="1" applyFill="1" applyAlignment="1">
      <alignment horizontal="center" vertical="center" shrinkToFit="1"/>
    </xf>
    <xf numFmtId="49" fontId="8" fillId="5" borderId="1" xfId="49" applyNumberFormat="1" applyFont="1" applyFill="1" applyBorder="1" applyAlignment="1">
      <alignment horizontal="center" vertical="center" shrinkToFit="1"/>
    </xf>
    <xf numFmtId="49" fontId="5" fillId="8" borderId="1" xfId="49" applyNumberFormat="1" applyFont="1" applyFill="1" applyBorder="1" applyAlignment="1">
      <alignment horizontal="center" vertical="center" shrinkToFit="1"/>
    </xf>
    <xf numFmtId="49" fontId="22" fillId="2" borderId="1" xfId="49" applyNumberFormat="1" applyFont="1" applyFill="1" applyBorder="1" applyAlignment="1">
      <alignment horizontal="center" vertical="center" shrinkToFit="1"/>
    </xf>
    <xf numFmtId="49" fontId="22" fillId="0" borderId="1" xfId="49" applyNumberFormat="1" applyFont="1" applyFill="1" applyBorder="1" applyAlignment="1">
      <alignment horizontal="center" vertical="center" shrinkToFit="1"/>
    </xf>
    <xf numFmtId="43" fontId="11" fillId="5" borderId="1" xfId="0" applyNumberFormat="1" applyFont="1" applyFill="1" applyBorder="1" applyAlignment="1">
      <alignment horizontal="center" vertical="center" shrinkToFit="1"/>
    </xf>
    <xf numFmtId="43" fontId="0" fillId="8" borderId="1" xfId="0" applyNumberFormat="1" applyFont="1" applyFill="1" applyBorder="1" applyAlignment="1">
      <alignment horizontal="center" vertical="center" shrinkToFit="1"/>
    </xf>
    <xf numFmtId="43" fontId="21" fillId="2" borderId="1" xfId="0" applyNumberFormat="1" applyFont="1" applyFill="1" applyBorder="1" applyAlignment="1">
      <alignment horizontal="center" vertical="center" shrinkToFit="1"/>
    </xf>
    <xf numFmtId="43" fontId="21" fillId="0" borderId="1" xfId="0" applyNumberFormat="1" applyFont="1" applyFill="1" applyBorder="1" applyAlignment="1">
      <alignment horizontal="center" vertical="center" shrinkToFit="1"/>
    </xf>
    <xf numFmtId="176" fontId="0" fillId="0" borderId="0" xfId="0" applyNumberFormat="1" applyFon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 wrapText="1" shrinkToFit="1"/>
    </xf>
    <xf numFmtId="176" fontId="5" fillId="0" borderId="1" xfId="49" applyNumberFormat="1" applyFont="1" applyFill="1" applyBorder="1" applyAlignment="1">
      <alignment horizontal="center" vertical="center" shrinkToFit="1"/>
    </xf>
    <xf numFmtId="176" fontId="13" fillId="0" borderId="1" xfId="0" applyNumberFormat="1" applyFont="1" applyFill="1" applyBorder="1" applyAlignment="1" applyProtection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/>
    </xf>
    <xf numFmtId="176" fontId="0" fillId="0" borderId="1" xfId="0" applyNumberFormat="1" applyFont="1" applyBorder="1">
      <alignment vertical="center"/>
    </xf>
    <xf numFmtId="176" fontId="0" fillId="0" borderId="0" xfId="0" applyNumberFormat="1" applyFont="1" applyFill="1">
      <alignment vertical="center"/>
    </xf>
    <xf numFmtId="176" fontId="0" fillId="0" borderId="0" xfId="0" applyNumberFormat="1" applyFill="1">
      <alignment vertical="center"/>
    </xf>
    <xf numFmtId="176" fontId="1" fillId="0" borderId="1" xfId="0" applyNumberFormat="1" applyFont="1" applyFill="1" applyBorder="1" applyAlignment="1">
      <alignment horizontal="center" vertical="center" wrapText="1" shrinkToFit="1"/>
    </xf>
    <xf numFmtId="176" fontId="2" fillId="0" borderId="1" xfId="0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3" fillId="2" borderId="0" xfId="49" applyNumberFormat="1" applyFont="1" applyFill="1" applyBorder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76" fontId="2" fillId="2" borderId="1" xfId="49" applyNumberFormat="1" applyFont="1" applyFill="1" applyBorder="1" applyAlignment="1">
      <alignment horizontal="center" vertical="center" shrinkToFit="1"/>
    </xf>
    <xf numFmtId="176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 wrapText="1" shrinkToFit="1"/>
    </xf>
    <xf numFmtId="0" fontId="0" fillId="9" borderId="1" xfId="0" applyFont="1" applyFill="1" applyBorder="1" applyAlignment="1">
      <alignment horizontal="center" vertical="center" shrinkToFi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 wrapText="1" shrinkToFit="1"/>
    </xf>
    <xf numFmtId="0" fontId="0" fillId="2" borderId="1" xfId="0" applyFont="1" applyFill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176" fontId="11" fillId="2" borderId="0" xfId="0" applyNumberFormat="1" applyFont="1" applyFill="1">
      <alignment vertical="center"/>
    </xf>
    <xf numFmtId="176" fontId="0" fillId="2" borderId="0" xfId="0" applyNumberFormat="1" applyFont="1" applyFill="1" applyAlignment="1">
      <alignment horizontal="center" vertical="center"/>
    </xf>
    <xf numFmtId="176" fontId="0" fillId="5" borderId="0" xfId="0" applyNumberFormat="1" applyFont="1" applyFill="1" applyAlignment="1">
      <alignment horizontal="center" vertical="center"/>
    </xf>
    <xf numFmtId="176" fontId="0" fillId="5" borderId="1" xfId="0" applyNumberFormat="1" applyFont="1" applyFill="1" applyBorder="1" applyAlignment="1">
      <alignment horizontal="center" vertical="center" wrapText="1" shrinkToFit="1"/>
    </xf>
    <xf numFmtId="176" fontId="11" fillId="2" borderId="1" xfId="0" applyNumberFormat="1" applyFont="1" applyFill="1" applyBorder="1" applyAlignment="1">
      <alignment horizontal="center" vertical="center" shrinkToFit="1"/>
    </xf>
    <xf numFmtId="176" fontId="0" fillId="5" borderId="1" xfId="0" applyNumberFormat="1" applyFont="1" applyFill="1" applyBorder="1" applyAlignment="1">
      <alignment horizontal="center" vertical="center" shrinkToFit="1"/>
    </xf>
    <xf numFmtId="176" fontId="11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>
      <alignment vertical="center"/>
    </xf>
    <xf numFmtId="176" fontId="4" fillId="0" borderId="0" xfId="49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 shrinkToFit="1"/>
    </xf>
    <xf numFmtId="176" fontId="11" fillId="0" borderId="1" xfId="0" applyNumberFormat="1" applyFont="1" applyFill="1" applyBorder="1" applyAlignment="1">
      <alignment horizontal="center" vertical="center" wrapText="1" shrinkToFit="1"/>
    </xf>
    <xf numFmtId="176" fontId="11" fillId="0" borderId="1" xfId="0" applyNumberFormat="1" applyFont="1" applyFill="1" applyBorder="1" applyAlignment="1">
      <alignment horizontal="center" vertical="center" shrinkToFit="1"/>
    </xf>
    <xf numFmtId="176" fontId="11" fillId="0" borderId="0" xfId="0" applyNumberFormat="1" applyFont="1" applyFill="1" applyAlignment="1">
      <alignment horizontal="center" vertical="center" shrinkToFit="1"/>
    </xf>
    <xf numFmtId="176" fontId="2" fillId="10" borderId="1" xfId="0" applyNumberFormat="1" applyFont="1" applyFill="1" applyBorder="1" applyAlignment="1">
      <alignment horizontal="center" vertical="center" shrinkToFit="1"/>
    </xf>
    <xf numFmtId="0" fontId="19" fillId="0" borderId="1" xfId="0" applyFont="1" applyFill="1" applyBorder="1" applyAlignment="1">
      <alignment horizontal="center" vertical="center" wrapText="1" shrinkToFit="1"/>
    </xf>
    <xf numFmtId="0" fontId="2" fillId="0" borderId="1" xfId="0" applyNumberFormat="1" applyFont="1" applyFill="1" applyBorder="1" applyAlignment="1" applyProtection="1">
      <alignment horizontal="center" vertical="center" shrinkToFit="1"/>
    </xf>
    <xf numFmtId="176" fontId="5" fillId="2" borderId="1" xfId="0" applyNumberFormat="1" applyFont="1" applyFill="1" applyBorder="1" applyAlignment="1" applyProtection="1">
      <alignment horizontal="center" vertical="center" shrinkToFit="1"/>
    </xf>
    <xf numFmtId="176" fontId="0" fillId="5" borderId="0" xfId="0" applyNumberFormat="1" applyFont="1" applyFill="1">
      <alignment vertical="center"/>
    </xf>
    <xf numFmtId="176" fontId="11" fillId="5" borderId="0" xfId="0" applyNumberFormat="1" applyFont="1" applyFill="1">
      <alignment vertical="center"/>
    </xf>
    <xf numFmtId="49" fontId="0" fillId="2" borderId="0" xfId="0" applyNumberFormat="1" applyFont="1" applyFill="1">
      <alignment vertical="center"/>
    </xf>
    <xf numFmtId="176" fontId="9" fillId="2" borderId="0" xfId="0" applyNumberFormat="1" applyFont="1" applyFill="1">
      <alignment vertical="center"/>
    </xf>
    <xf numFmtId="176" fontId="2" fillId="2" borderId="1" xfId="49" applyNumberFormat="1" applyFont="1" applyFill="1" applyBorder="1" applyAlignment="1">
      <alignment horizontal="center" vertical="center" wrapText="1" shrinkToFit="1"/>
    </xf>
    <xf numFmtId="176" fontId="9" fillId="2" borderId="1" xfId="49" applyNumberFormat="1" applyFont="1" applyFill="1" applyBorder="1" applyAlignment="1">
      <alignment horizontal="center" vertical="center" wrapText="1" shrinkToFit="1"/>
    </xf>
    <xf numFmtId="176" fontId="5" fillId="2" borderId="0" xfId="49" applyNumberFormat="1" applyFont="1" applyFill="1" applyBorder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 shrinkToFit="1"/>
    </xf>
    <xf numFmtId="178" fontId="25" fillId="2" borderId="1" xfId="0" applyNumberFormat="1" applyFont="1" applyFill="1" applyBorder="1" applyAlignment="1">
      <alignment horizontal="center" vertical="center" shrinkToFit="1"/>
    </xf>
    <xf numFmtId="176" fontId="0" fillId="2" borderId="1" xfId="0" applyNumberFormat="1" applyFont="1" applyFill="1" applyBorder="1" applyAlignment="1">
      <alignment horizontal="center" vertical="center" wrapText="1" shrinkToFit="1"/>
    </xf>
    <xf numFmtId="176" fontId="9" fillId="2" borderId="1" xfId="0" applyNumberFormat="1" applyFont="1" applyFill="1" applyBorder="1" applyAlignment="1">
      <alignment horizontal="center" vertical="center" shrinkToFit="1"/>
    </xf>
    <xf numFmtId="177" fontId="0" fillId="2" borderId="0" xfId="0" applyNumberFormat="1" applyFont="1" applyFill="1">
      <alignment vertical="center"/>
    </xf>
    <xf numFmtId="49" fontId="5" fillId="2" borderId="1" xfId="49" applyNumberFormat="1" applyFont="1" applyFill="1" applyBorder="1" applyAlignment="1">
      <alignment horizontal="center" vertical="center" wrapText="1" shrinkToFit="1"/>
    </xf>
    <xf numFmtId="0" fontId="2" fillId="10" borderId="1" xfId="0" applyFont="1" applyFill="1" applyBorder="1" applyAlignment="1">
      <alignment horizontal="center" vertical="center" shrinkToFit="1"/>
    </xf>
    <xf numFmtId="17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shrinkToFit="1"/>
    </xf>
    <xf numFmtId="0" fontId="5" fillId="2" borderId="1" xfId="0" applyNumberFormat="1" applyFont="1" applyFill="1" applyBorder="1" applyAlignment="1" applyProtection="1">
      <alignment horizontal="center" vertical="center" shrinkToFit="1"/>
    </xf>
    <xf numFmtId="177" fontId="0" fillId="2" borderId="1" xfId="0" applyNumberFormat="1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176" fontId="24" fillId="2" borderId="0" xfId="0" applyNumberFormat="1" applyFont="1" applyFill="1" applyAlignment="1">
      <alignment horizontal="center" vertical="center"/>
    </xf>
    <xf numFmtId="176" fontId="25" fillId="2" borderId="0" xfId="0" applyNumberFormat="1" applyFont="1" applyFill="1" applyBorder="1" applyAlignment="1">
      <alignment horizontal="center" vertical="center" shrinkToFit="1"/>
    </xf>
    <xf numFmtId="176" fontId="25" fillId="2" borderId="1" xfId="0" applyNumberFormat="1" applyFont="1" applyFill="1" applyBorder="1" applyAlignment="1" applyProtection="1">
      <alignment horizontal="center" vertical="center" shrinkToFit="1"/>
    </xf>
    <xf numFmtId="176" fontId="24" fillId="2" borderId="1" xfId="0" applyNumberFormat="1" applyFont="1" applyFill="1" applyBorder="1" applyAlignment="1">
      <alignment horizontal="center" vertical="center" wrapText="1"/>
    </xf>
    <xf numFmtId="176" fontId="24" fillId="2" borderId="1" xfId="0" applyNumberFormat="1" applyFont="1" applyFill="1" applyBorder="1" applyAlignment="1">
      <alignment horizontal="center" vertical="center" shrinkToFit="1"/>
    </xf>
    <xf numFmtId="0" fontId="2" fillId="2" borderId="0" xfId="0" applyFont="1" applyFill="1">
      <alignment vertical="center"/>
    </xf>
    <xf numFmtId="0" fontId="19" fillId="0" borderId="0" xfId="0" applyFont="1" applyFill="1">
      <alignment vertical="center"/>
    </xf>
    <xf numFmtId="0" fontId="2" fillId="2" borderId="1" xfId="49" applyFont="1" applyFill="1" applyBorder="1" applyAlignment="1">
      <alignment horizontal="center" vertical="center" shrinkToFit="1"/>
    </xf>
    <xf numFmtId="43" fontId="9" fillId="2" borderId="1" xfId="49" applyNumberFormat="1" applyFont="1" applyFill="1" applyBorder="1" applyAlignment="1">
      <alignment horizontal="center" vertical="center" shrinkToFit="1"/>
    </xf>
    <xf numFmtId="43" fontId="2" fillId="2" borderId="1" xfId="49" applyNumberFormat="1" applyFont="1" applyFill="1" applyBorder="1" applyAlignment="1">
      <alignment horizontal="center" vertical="center" shrinkToFit="1"/>
    </xf>
    <xf numFmtId="43" fontId="2" fillId="2" borderId="1" xfId="0" applyNumberFormat="1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wrapText="1" shrinkToFit="1"/>
    </xf>
    <xf numFmtId="176" fontId="2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1" xfId="0" applyNumberFormat="1" applyFont="1" applyFill="1" applyBorder="1" applyAlignment="1" applyProtection="1">
      <alignment horizontal="center" vertical="center" shrinkToFit="1"/>
    </xf>
    <xf numFmtId="0" fontId="11" fillId="0" borderId="0" xfId="0" applyFont="1">
      <alignment vertical="center"/>
    </xf>
    <xf numFmtId="176" fontId="2" fillId="2" borderId="1" xfId="0" applyNumberFormat="1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6" fillId="2" borderId="2" xfId="0" applyNumberFormat="1" applyFont="1" applyFill="1" applyBorder="1" applyAlignment="1" applyProtection="1">
      <alignment vertical="center" wrapText="1"/>
    </xf>
    <xf numFmtId="176" fontId="5" fillId="2" borderId="1" xfId="0" applyNumberFormat="1" applyFont="1" applyFill="1" applyBorder="1" applyAlignment="1" applyProtection="1">
      <alignment horizontal="center" vertical="center"/>
    </xf>
    <xf numFmtId="176" fontId="2" fillId="2" borderId="1" xfId="0" applyNumberFormat="1" applyFont="1" applyFill="1" applyBorder="1" applyAlignment="1" applyProtection="1">
      <alignment horizontal="center" vertical="center"/>
    </xf>
    <xf numFmtId="0" fontId="27" fillId="0" borderId="0" xfId="0" applyFont="1" applyFill="1">
      <alignment vertical="center"/>
    </xf>
    <xf numFmtId="0" fontId="11" fillId="0" borderId="0" xfId="0" applyFont="1" applyFill="1">
      <alignment vertical="center"/>
    </xf>
    <xf numFmtId="179" fontId="0" fillId="0" borderId="0" xfId="0" applyNumberFormat="1" applyFont="1" applyFill="1">
      <alignment vertical="center"/>
    </xf>
    <xf numFmtId="0" fontId="28" fillId="2" borderId="0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43" fontId="0" fillId="2" borderId="1" xfId="0" applyNumberFormat="1" applyFont="1" applyFill="1" applyBorder="1" applyAlignment="1">
      <alignment horizontal="center" vertical="center" shrinkToFit="1"/>
    </xf>
    <xf numFmtId="176" fontId="28" fillId="2" borderId="0" xfId="49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 applyProtection="1">
      <alignment horizontal="center" vertical="center" shrinkToFit="1"/>
    </xf>
    <xf numFmtId="179" fontId="9" fillId="2" borderId="1" xfId="49" applyNumberFormat="1" applyFont="1" applyFill="1" applyBorder="1" applyAlignment="1">
      <alignment horizontal="center" vertical="center" shrinkToFit="1"/>
    </xf>
    <xf numFmtId="179" fontId="9" fillId="2" borderId="1" xfId="0" applyNumberFormat="1" applyFont="1" applyFill="1" applyBorder="1" applyAlignment="1">
      <alignment horizontal="center" vertical="center" shrinkToFit="1"/>
    </xf>
    <xf numFmtId="179" fontId="0" fillId="2" borderId="1" xfId="0" applyNumberFormat="1" applyFont="1" applyFill="1" applyBorder="1" applyAlignment="1">
      <alignment horizontal="center" vertical="center" shrinkToFit="1"/>
    </xf>
    <xf numFmtId="179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0" fillId="2" borderId="0" xfId="0" applyNumberFormat="1" applyFont="1" applyFill="1" applyAlignment="1">
      <alignment horizontal="center" vertical="center" shrinkToFit="1"/>
    </xf>
    <xf numFmtId="177" fontId="28" fillId="2" borderId="0" xfId="49" applyNumberFormat="1" applyFont="1" applyFill="1" applyBorder="1" applyAlignment="1">
      <alignment horizontal="center" vertical="center"/>
    </xf>
    <xf numFmtId="0" fontId="27" fillId="2" borderId="0" xfId="0" applyFont="1" applyFill="1">
      <alignment vertical="center"/>
    </xf>
    <xf numFmtId="177" fontId="0" fillId="2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ont="1" applyFill="1">
      <alignment vertical="center"/>
    </xf>
    <xf numFmtId="43" fontId="0" fillId="0" borderId="0" xfId="0" applyNumberFormat="1" applyFont="1" applyFill="1">
      <alignment vertical="center"/>
    </xf>
    <xf numFmtId="0" fontId="0" fillId="0" borderId="1" xfId="0" applyFont="1" applyFill="1" applyBorder="1" applyAlignment="1">
      <alignment horizontal="center" vertical="center" shrinkToFit="1"/>
    </xf>
    <xf numFmtId="0" fontId="9" fillId="5" borderId="1" xfId="49" applyFont="1" applyFill="1" applyBorder="1" applyAlignment="1">
      <alignment horizontal="center" vertical="center" shrinkToFit="1"/>
    </xf>
    <xf numFmtId="0" fontId="9" fillId="5" borderId="1" xfId="0" applyFont="1" applyFill="1" applyBorder="1" applyAlignment="1">
      <alignment horizontal="center" vertical="center" shrinkToFit="1"/>
    </xf>
    <xf numFmtId="0" fontId="9" fillId="0" borderId="1" xfId="0" applyNumberFormat="1" applyFont="1" applyFill="1" applyBorder="1" applyAlignment="1" applyProtection="1">
      <alignment horizontal="center" vertical="center" shrinkToFit="1"/>
    </xf>
    <xf numFmtId="43" fontId="9" fillId="5" borderId="1" xfId="49" applyNumberFormat="1" applyFont="1" applyFill="1" applyBorder="1" applyAlignment="1">
      <alignment horizontal="center" vertical="center" shrinkToFi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36"/>
  <sheetViews>
    <sheetView zoomScale="70" zoomScaleNormal="70" topLeftCell="F1" workbookViewId="0">
      <selection activeCell="K8" sqref="K8"/>
    </sheetView>
  </sheetViews>
  <sheetFormatPr defaultColWidth="9" defaultRowHeight="35" customHeight="1"/>
  <cols>
    <col min="1" max="1" width="15.1333333333333" style="1" hidden="1" customWidth="1"/>
    <col min="2" max="2" width="9.38333333333333" style="1" hidden="1" customWidth="1"/>
    <col min="3" max="3" width="9" style="1" hidden="1" customWidth="1"/>
    <col min="4" max="4" width="11.5" style="1" hidden="1" customWidth="1"/>
    <col min="5" max="5" width="9" style="1" hidden="1" customWidth="1"/>
    <col min="6" max="6" width="7.14166666666667" style="1" customWidth="1"/>
    <col min="7" max="7" width="10.6333333333333" style="1" customWidth="1"/>
    <col min="8" max="8" width="12.85" style="1" customWidth="1"/>
    <col min="9" max="9" width="17.9333333333333" style="1" customWidth="1"/>
    <col min="10" max="10" width="9" style="1"/>
    <col min="11" max="11" width="13.325" style="1" customWidth="1"/>
    <col min="12" max="12" width="11.75" style="1" customWidth="1"/>
    <col min="13" max="13" width="12.225" style="1" customWidth="1"/>
    <col min="14" max="14" width="10.1583333333333" style="1" customWidth="1"/>
    <col min="15" max="15" width="11.575" style="1" customWidth="1"/>
    <col min="16" max="16" width="10" style="1" customWidth="1"/>
    <col min="17" max="28" width="9" style="1"/>
    <col min="29" max="29" width="10.475" style="1" customWidth="1"/>
    <col min="30" max="30" width="11.1083333333333" style="1" customWidth="1"/>
    <col min="31" max="31" width="9.84166666666667" style="1" customWidth="1"/>
    <col min="32" max="32" width="11.5833333333333" style="1" customWidth="1"/>
    <col min="33" max="33" width="10.95" style="1" customWidth="1"/>
    <col min="34" max="34" width="13.8083333333333" style="1" customWidth="1"/>
    <col min="35" max="35" width="13.325" style="1" customWidth="1"/>
    <col min="36" max="36" width="13.8083333333333" style="1" customWidth="1"/>
    <col min="37" max="16384" width="9" style="1"/>
  </cols>
  <sheetData>
    <row r="1" customHeight="1" spans="6:36">
      <c r="F1" s="16" t="s">
        <v>0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53"/>
    </row>
    <row r="2" s="2" customFormat="1" customHeight="1" spans="6:37">
      <c r="F2" s="18" t="s">
        <v>1</v>
      </c>
      <c r="G2" s="18"/>
      <c r="H2" s="18"/>
      <c r="I2" s="18"/>
      <c r="J2" s="20"/>
      <c r="K2" s="20"/>
      <c r="L2" s="20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22" t="s">
        <v>2</v>
      </c>
      <c r="AF2" s="122"/>
      <c r="AG2" s="122"/>
      <c r="AH2" s="122"/>
      <c r="AI2" s="122"/>
      <c r="AJ2" s="124"/>
      <c r="AK2" s="1"/>
    </row>
    <row r="3" s="2" customFormat="1" ht="17" customHeight="1" spans="1:37">
      <c r="A3" s="257" t="s">
        <v>3</v>
      </c>
      <c r="B3" s="257"/>
      <c r="F3" s="18"/>
      <c r="G3" s="18"/>
      <c r="H3" s="18"/>
      <c r="I3" s="18"/>
      <c r="J3" s="20"/>
      <c r="K3" s="20"/>
      <c r="L3" s="20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22"/>
      <c r="AF3" s="122"/>
      <c r="AG3" s="122"/>
      <c r="AH3" s="122"/>
      <c r="AI3" s="122"/>
      <c r="AJ3" s="124"/>
      <c r="AK3" s="1"/>
    </row>
    <row r="4" s="3" customFormat="1" ht="48" customHeight="1" spans="1:36">
      <c r="A4" s="24" t="s">
        <v>4</v>
      </c>
      <c r="B4" s="24" t="s">
        <v>5</v>
      </c>
      <c r="F4" s="21" t="s">
        <v>6</v>
      </c>
      <c r="G4" s="21" t="s">
        <v>7</v>
      </c>
      <c r="H4" s="21" t="s">
        <v>8</v>
      </c>
      <c r="I4" s="22" t="s">
        <v>9</v>
      </c>
      <c r="J4" s="24" t="s">
        <v>10</v>
      </c>
      <c r="K4" s="24" t="s">
        <v>11</v>
      </c>
      <c r="L4" s="24" t="s">
        <v>12</v>
      </c>
      <c r="M4" s="24" t="s">
        <v>13</v>
      </c>
      <c r="N4" s="24" t="s">
        <v>14</v>
      </c>
      <c r="O4" s="24" t="s">
        <v>15</v>
      </c>
      <c r="P4" s="24" t="s">
        <v>16</v>
      </c>
      <c r="Q4" s="24" t="s">
        <v>17</v>
      </c>
      <c r="R4" s="24" t="s">
        <v>18</v>
      </c>
      <c r="S4" s="24" t="s">
        <v>19</v>
      </c>
      <c r="T4" s="24" t="s">
        <v>20</v>
      </c>
      <c r="U4" s="24" t="s">
        <v>21</v>
      </c>
      <c r="V4" s="24" t="s">
        <v>22</v>
      </c>
      <c r="W4" s="24" t="s">
        <v>23</v>
      </c>
      <c r="X4" s="24" t="s">
        <v>24</v>
      </c>
      <c r="Y4" s="24" t="s">
        <v>25</v>
      </c>
      <c r="Z4" s="24" t="s">
        <v>26</v>
      </c>
      <c r="AA4" s="24" t="s">
        <v>27</v>
      </c>
      <c r="AB4" s="24" t="s">
        <v>28</v>
      </c>
      <c r="AC4" s="24" t="s">
        <v>29</v>
      </c>
      <c r="AD4" s="24" t="s">
        <v>30</v>
      </c>
      <c r="AE4" s="24" t="s">
        <v>31</v>
      </c>
      <c r="AF4" s="24" t="s">
        <v>32</v>
      </c>
      <c r="AG4" s="24" t="s">
        <v>33</v>
      </c>
      <c r="AH4" s="24" t="s">
        <v>34</v>
      </c>
      <c r="AI4" s="24" t="s">
        <v>35</v>
      </c>
      <c r="AJ4" s="125" t="s">
        <v>36</v>
      </c>
    </row>
    <row r="5" s="1" customFormat="1" customHeight="1" spans="1:36">
      <c r="A5" s="1" t="e">
        <f>#REF!+#REF!+#REF!+#REF!</f>
        <v>#REF!</v>
      </c>
      <c r="B5" s="1" t="e">
        <f>#REF!+#REF!+#REF!+#REF!</f>
        <v>#REF!</v>
      </c>
      <c r="D5" s="1" t="e">
        <f>#REF!-#REF!+#REF!-#REF!+#REF!-#REF!+#REF!-#REF!+#REF!</f>
        <v>#REF!</v>
      </c>
      <c r="F5" s="25">
        <v>1</v>
      </c>
      <c r="G5" s="25" t="s">
        <v>37</v>
      </c>
      <c r="H5" s="26" t="s">
        <v>38</v>
      </c>
      <c r="I5" s="27"/>
      <c r="J5" s="27"/>
      <c r="K5" s="27">
        <v>300</v>
      </c>
      <c r="L5" s="27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>
        <v>7.07</v>
      </c>
      <c r="AG5" s="29"/>
      <c r="AH5" s="29">
        <f>AF5</f>
        <v>7.07</v>
      </c>
      <c r="AI5" s="29">
        <f>AG5+AE5+AC5+AA5+Y5+W5+U5+S5+Q5+O5+M5+K5</f>
        <v>300</v>
      </c>
      <c r="AJ5" s="126">
        <f t="shared" ref="AJ5:AJ68" si="0">K5+M5+O5+Q5+S5+U5+W5+Y5+AA5+AC5+AE5+AG5-J5-L5-N5-P5-R5-T5-V5-X5-Z5-AB5-AD5-AF5</f>
        <v>292.93</v>
      </c>
    </row>
    <row r="6" s="1" customFormat="1" customHeight="1" spans="1:36">
      <c r="A6" s="1" t="e">
        <f>#REF!+#REF!+#REF!+#REF!</f>
        <v>#REF!</v>
      </c>
      <c r="B6" s="1" t="e">
        <f>#REF!+#REF!+#REF!+#REF!</f>
        <v>#REF!</v>
      </c>
      <c r="D6" s="1" t="e">
        <f>#REF!-#REF!+#REF!-#REF!+#REF!-#REF!+#REF!-#REF!+#REF!</f>
        <v>#REF!</v>
      </c>
      <c r="F6" s="25">
        <v>2</v>
      </c>
      <c r="G6" s="25" t="s">
        <v>39</v>
      </c>
      <c r="H6" s="26" t="s">
        <v>40</v>
      </c>
      <c r="I6" s="27"/>
      <c r="J6" s="27"/>
      <c r="K6" s="27">
        <v>300</v>
      </c>
      <c r="L6" s="27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>
        <v>38.09</v>
      </c>
      <c r="AG6" s="29"/>
      <c r="AH6" s="29">
        <f t="shared" ref="AH6:AH37" si="1">AF6</f>
        <v>38.09</v>
      </c>
      <c r="AI6" s="29">
        <f t="shared" ref="AI6:AI37" si="2">AG6+AE6+AC6+AA6+Y6+W6+U6+S6+Q6+O6+M6+K6</f>
        <v>300</v>
      </c>
      <c r="AJ6" s="126">
        <f t="shared" si="0"/>
        <v>261.91</v>
      </c>
    </row>
    <row r="7" s="1" customFormat="1" customHeight="1" spans="1:36">
      <c r="A7" s="1" t="e">
        <f>#REF!+#REF!+#REF!+#REF!</f>
        <v>#REF!</v>
      </c>
      <c r="B7" s="1" t="e">
        <f>#REF!+#REF!+#REF!+#REF!</f>
        <v>#REF!</v>
      </c>
      <c r="D7" s="1" t="e">
        <f>#REF!-#REF!+#REF!-#REF!+#REF!-#REF!+#REF!-#REF!+#REF!</f>
        <v>#REF!</v>
      </c>
      <c r="F7" s="25">
        <v>3</v>
      </c>
      <c r="G7" s="25" t="s">
        <v>41</v>
      </c>
      <c r="H7" s="26" t="s">
        <v>42</v>
      </c>
      <c r="I7" s="27"/>
      <c r="J7" s="27"/>
      <c r="K7" s="27"/>
      <c r="L7" s="27"/>
      <c r="M7" s="29"/>
      <c r="N7" s="29"/>
      <c r="O7" s="29">
        <v>300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>
        <v>24.49</v>
      </c>
      <c r="AG7" s="29"/>
      <c r="AH7" s="29">
        <f t="shared" si="1"/>
        <v>24.49</v>
      </c>
      <c r="AI7" s="29">
        <f t="shared" si="2"/>
        <v>300</v>
      </c>
      <c r="AJ7" s="126">
        <f t="shared" si="0"/>
        <v>275.51</v>
      </c>
    </row>
    <row r="8" s="1" customFormat="1" customHeight="1" spans="1:36">
      <c r="A8" s="1" t="e">
        <f>#REF!+#REF!+#REF!+#REF!</f>
        <v>#REF!</v>
      </c>
      <c r="B8" s="1" t="e">
        <f>#REF!+#REF!+#REF!+#REF!</f>
        <v>#REF!</v>
      </c>
      <c r="D8" s="1" t="e">
        <f>#REF!-#REF!+#REF!-#REF!+#REF!-#REF!+#REF!-#REF!+#REF!</f>
        <v>#REF!</v>
      </c>
      <c r="F8" s="25">
        <v>4</v>
      </c>
      <c r="G8" s="25" t="s">
        <v>43</v>
      </c>
      <c r="H8" s="26" t="s">
        <v>44</v>
      </c>
      <c r="I8" s="27"/>
      <c r="J8" s="27"/>
      <c r="K8" s="27">
        <v>300</v>
      </c>
      <c r="L8" s="27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>
        <v>23.94</v>
      </c>
      <c r="AG8" s="29"/>
      <c r="AH8" s="29">
        <f t="shared" si="1"/>
        <v>23.94</v>
      </c>
      <c r="AI8" s="29">
        <f t="shared" si="2"/>
        <v>300</v>
      </c>
      <c r="AJ8" s="126">
        <f t="shared" si="0"/>
        <v>276.06</v>
      </c>
    </row>
    <row r="9" s="1" customFormat="1" customHeight="1" spans="1:36">
      <c r="A9" s="1" t="e">
        <f>#REF!+#REF!+#REF!+#REF!</f>
        <v>#REF!</v>
      </c>
      <c r="B9" s="1" t="e">
        <f>#REF!+#REF!+#REF!+#REF!</f>
        <v>#REF!</v>
      </c>
      <c r="D9" s="1" t="e">
        <f>#REF!-#REF!+#REF!-#REF!+#REF!-#REF!+#REF!-#REF!+#REF!</f>
        <v>#REF!</v>
      </c>
      <c r="F9" s="25">
        <v>5</v>
      </c>
      <c r="G9" s="25" t="s">
        <v>45</v>
      </c>
      <c r="H9" s="26" t="s">
        <v>46</v>
      </c>
      <c r="I9" s="27"/>
      <c r="J9" s="27"/>
      <c r="K9" s="27"/>
      <c r="L9" s="27"/>
      <c r="M9" s="29"/>
      <c r="N9" s="29"/>
      <c r="O9" s="29">
        <v>300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>
        <v>15.78</v>
      </c>
      <c r="AG9" s="29"/>
      <c r="AH9" s="29">
        <f t="shared" si="1"/>
        <v>15.78</v>
      </c>
      <c r="AI9" s="29">
        <f t="shared" si="2"/>
        <v>300</v>
      </c>
      <c r="AJ9" s="126">
        <f t="shared" si="0"/>
        <v>284.22</v>
      </c>
    </row>
    <row r="10" s="1" customFormat="1" customHeight="1" spans="1:36">
      <c r="A10" s="1" t="e">
        <f>#REF!+#REF!+#REF!+#REF!</f>
        <v>#REF!</v>
      </c>
      <c r="B10" s="1" t="e">
        <f>#REF!+#REF!+#REF!+#REF!</f>
        <v>#REF!</v>
      </c>
      <c r="D10" s="1" t="e">
        <f>#REF!-#REF!+#REF!-#REF!+#REF!-#REF!+#REF!-#REF!+#REF!</f>
        <v>#REF!</v>
      </c>
      <c r="F10" s="25">
        <v>6</v>
      </c>
      <c r="G10" s="25" t="s">
        <v>47</v>
      </c>
      <c r="H10" s="26" t="s">
        <v>48</v>
      </c>
      <c r="I10" s="27"/>
      <c r="J10" s="27"/>
      <c r="K10" s="27">
        <v>300</v>
      </c>
      <c r="L10" s="27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>
        <v>59.31</v>
      </c>
      <c r="AG10" s="29"/>
      <c r="AH10" s="29">
        <f t="shared" si="1"/>
        <v>59.31</v>
      </c>
      <c r="AI10" s="29">
        <f t="shared" si="2"/>
        <v>300</v>
      </c>
      <c r="AJ10" s="126">
        <f t="shared" si="0"/>
        <v>240.69</v>
      </c>
    </row>
    <row r="11" s="1" customFormat="1" customHeight="1" spans="1:36">
      <c r="A11" s="1" t="e">
        <f>#REF!+#REF!+#REF!+#REF!</f>
        <v>#REF!</v>
      </c>
      <c r="B11" s="1" t="e">
        <f>#REF!+#REF!+#REF!+#REF!</f>
        <v>#REF!</v>
      </c>
      <c r="D11" s="1" t="e">
        <f>#REF!-#REF!+#REF!-#REF!+#REF!-#REF!+#REF!-#REF!+#REF!</f>
        <v>#REF!</v>
      </c>
      <c r="F11" s="25">
        <v>7</v>
      </c>
      <c r="G11" s="25" t="s">
        <v>49</v>
      </c>
      <c r="H11" s="26" t="s">
        <v>50</v>
      </c>
      <c r="I11" s="27"/>
      <c r="J11" s="27"/>
      <c r="K11" s="27">
        <v>300</v>
      </c>
      <c r="L11" s="27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>
        <v>57.68</v>
      </c>
      <c r="AG11" s="29"/>
      <c r="AH11" s="29">
        <f t="shared" si="1"/>
        <v>57.68</v>
      </c>
      <c r="AI11" s="29">
        <f t="shared" si="2"/>
        <v>300</v>
      </c>
      <c r="AJ11" s="126">
        <f t="shared" si="0"/>
        <v>242.32</v>
      </c>
    </row>
    <row r="12" s="1" customFormat="1" customHeight="1" spans="1:36">
      <c r="A12" s="1" t="e">
        <f>#REF!+#REF!+#REF!+#REF!</f>
        <v>#REF!</v>
      </c>
      <c r="B12" s="1" t="e">
        <f>#REF!+#REF!+#REF!+#REF!</f>
        <v>#REF!</v>
      </c>
      <c r="D12" s="1" t="e">
        <f>#REF!-#REF!+#REF!-#REF!+#REF!-#REF!+#REF!-#REF!+#REF!</f>
        <v>#REF!</v>
      </c>
      <c r="F12" s="25">
        <v>8</v>
      </c>
      <c r="G12" s="25" t="s">
        <v>51</v>
      </c>
      <c r="H12" s="26" t="s">
        <v>52</v>
      </c>
      <c r="I12" s="27"/>
      <c r="J12" s="27"/>
      <c r="K12" s="27">
        <v>300</v>
      </c>
      <c r="L12" s="27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>
        <v>307</v>
      </c>
      <c r="AF12" s="29">
        <v>831.93</v>
      </c>
      <c r="AG12" s="29"/>
      <c r="AH12" s="29">
        <f t="shared" si="1"/>
        <v>831.93</v>
      </c>
      <c r="AI12" s="29">
        <f t="shared" si="2"/>
        <v>607</v>
      </c>
      <c r="AJ12" s="126">
        <f t="shared" si="0"/>
        <v>-224.93</v>
      </c>
    </row>
    <row r="13" s="1" customFormat="1" customHeight="1" spans="1:36">
      <c r="A13" s="1" t="e">
        <f>#REF!+#REF!+#REF!+#REF!</f>
        <v>#REF!</v>
      </c>
      <c r="B13" s="1" t="e">
        <f>#REF!+#REF!+#REF!+#REF!</f>
        <v>#REF!</v>
      </c>
      <c r="D13" s="1" t="e">
        <f>#REF!-#REF!+#REF!-#REF!+#REF!-#REF!+#REF!-#REF!+#REF!</f>
        <v>#REF!</v>
      </c>
      <c r="F13" s="25">
        <v>9</v>
      </c>
      <c r="G13" s="25" t="s">
        <v>53</v>
      </c>
      <c r="H13" s="26" t="s">
        <v>54</v>
      </c>
      <c r="I13" s="27"/>
      <c r="J13" s="27"/>
      <c r="K13" s="27"/>
      <c r="L13" s="27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>
        <v>146.36</v>
      </c>
      <c r="AG13" s="29"/>
      <c r="AH13" s="29">
        <f t="shared" si="1"/>
        <v>146.36</v>
      </c>
      <c r="AI13" s="29">
        <f t="shared" si="2"/>
        <v>0</v>
      </c>
      <c r="AJ13" s="126">
        <f t="shared" si="0"/>
        <v>-146.36</v>
      </c>
    </row>
    <row r="14" s="1" customFormat="1" customHeight="1" spans="1:36">
      <c r="A14" s="1" t="e">
        <f>#REF!+#REF!+#REF!+#REF!</f>
        <v>#REF!</v>
      </c>
      <c r="B14" s="1" t="e">
        <f>#REF!+#REF!+#REF!+#REF!</f>
        <v>#REF!</v>
      </c>
      <c r="D14" s="1" t="e">
        <f>#REF!-#REF!+#REF!-#REF!+#REF!-#REF!+#REF!-#REF!+#REF!</f>
        <v>#REF!</v>
      </c>
      <c r="F14" s="25">
        <v>10</v>
      </c>
      <c r="G14" s="25" t="s">
        <v>55</v>
      </c>
      <c r="H14" s="26" t="s">
        <v>56</v>
      </c>
      <c r="I14" s="27"/>
      <c r="J14" s="27"/>
      <c r="K14" s="27">
        <v>300</v>
      </c>
      <c r="L14" s="27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>
        <f t="shared" si="1"/>
        <v>0</v>
      </c>
      <c r="AI14" s="29">
        <f t="shared" si="2"/>
        <v>300</v>
      </c>
      <c r="AJ14" s="126">
        <f t="shared" si="0"/>
        <v>300</v>
      </c>
    </row>
    <row r="15" s="1" customFormat="1" customHeight="1" spans="1:36">
      <c r="A15" s="1" t="e">
        <f>#REF!+#REF!+#REF!+#REF!</f>
        <v>#REF!</v>
      </c>
      <c r="B15" s="1" t="e">
        <f>#REF!+#REF!+#REF!+#REF!</f>
        <v>#REF!</v>
      </c>
      <c r="D15" s="1" t="e">
        <f>#REF!-#REF!+#REF!-#REF!+#REF!-#REF!+#REF!-#REF!+#REF!</f>
        <v>#REF!</v>
      </c>
      <c r="F15" s="25">
        <v>11</v>
      </c>
      <c r="G15" s="25" t="s">
        <v>57</v>
      </c>
      <c r="H15" s="26" t="s">
        <v>58</v>
      </c>
      <c r="I15" s="27"/>
      <c r="J15" s="27"/>
      <c r="K15" s="27">
        <v>300</v>
      </c>
      <c r="L15" s="27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>
        <f t="shared" si="1"/>
        <v>0</v>
      </c>
      <c r="AI15" s="29">
        <f t="shared" si="2"/>
        <v>300</v>
      </c>
      <c r="AJ15" s="126">
        <f t="shared" si="0"/>
        <v>300</v>
      </c>
    </row>
    <row r="16" s="1" customFormat="1" customHeight="1" spans="1:36">
      <c r="A16" s="1" t="e">
        <f>#REF!+#REF!+#REF!+#REF!</f>
        <v>#REF!</v>
      </c>
      <c r="B16" s="1" t="e">
        <f>#REF!+#REF!+#REF!+#REF!</f>
        <v>#REF!</v>
      </c>
      <c r="D16" s="1" t="e">
        <f>#REF!-#REF!+#REF!-#REF!+#REF!-#REF!+#REF!-#REF!+#REF!</f>
        <v>#REF!</v>
      </c>
      <c r="F16" s="25">
        <v>12</v>
      </c>
      <c r="G16" s="25" t="s">
        <v>59</v>
      </c>
      <c r="H16" s="26" t="s">
        <v>60</v>
      </c>
      <c r="I16" s="27"/>
      <c r="J16" s="27"/>
      <c r="K16" s="27"/>
      <c r="L16" s="27"/>
      <c r="M16" s="29">
        <v>300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>
        <v>33.73</v>
      </c>
      <c r="AG16" s="29"/>
      <c r="AH16" s="29">
        <f t="shared" si="1"/>
        <v>33.73</v>
      </c>
      <c r="AI16" s="29">
        <f t="shared" si="2"/>
        <v>300</v>
      </c>
      <c r="AJ16" s="126">
        <f t="shared" si="0"/>
        <v>266.27</v>
      </c>
    </row>
    <row r="17" s="1" customFormat="1" customHeight="1" spans="1:36">
      <c r="A17" s="1" t="e">
        <f>#REF!+#REF!+#REF!+#REF!</f>
        <v>#REF!</v>
      </c>
      <c r="B17" s="1" t="e">
        <f>#REF!+#REF!+#REF!+#REF!</f>
        <v>#REF!</v>
      </c>
      <c r="D17" s="1" t="e">
        <f>#REF!-#REF!+#REF!-#REF!+#REF!-#REF!+#REF!-#REF!+#REF!</f>
        <v>#REF!</v>
      </c>
      <c r="F17" s="25">
        <v>13</v>
      </c>
      <c r="G17" s="25" t="s">
        <v>61</v>
      </c>
      <c r="H17" s="26" t="s">
        <v>62</v>
      </c>
      <c r="I17" s="27"/>
      <c r="J17" s="27"/>
      <c r="K17" s="27">
        <v>300</v>
      </c>
      <c r="L17" s="27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>
        <v>28.84</v>
      </c>
      <c r="AG17" s="29"/>
      <c r="AH17" s="29">
        <f t="shared" si="1"/>
        <v>28.84</v>
      </c>
      <c r="AI17" s="29">
        <f t="shared" si="2"/>
        <v>300</v>
      </c>
      <c r="AJ17" s="126">
        <f t="shared" si="0"/>
        <v>271.16</v>
      </c>
    </row>
    <row r="18" s="1" customFormat="1" customHeight="1" spans="1:36">
      <c r="A18" s="1" t="e">
        <f>#REF!+#REF!+#REF!+#REF!</f>
        <v>#REF!</v>
      </c>
      <c r="B18" s="1" t="e">
        <f>#REF!+#REF!+#REF!+#REF!</f>
        <v>#REF!</v>
      </c>
      <c r="D18" s="1" t="e">
        <f>#REF!-#REF!+#REF!-#REF!+#REF!-#REF!+#REF!-#REF!+#REF!</f>
        <v>#REF!</v>
      </c>
      <c r="F18" s="25">
        <v>14</v>
      </c>
      <c r="G18" s="25" t="s">
        <v>63</v>
      </c>
      <c r="H18" s="26" t="s">
        <v>64</v>
      </c>
      <c r="I18" s="27"/>
      <c r="J18" s="27"/>
      <c r="K18" s="27">
        <v>300</v>
      </c>
      <c r="L18" s="27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>
        <f t="shared" si="1"/>
        <v>0</v>
      </c>
      <c r="AI18" s="29">
        <f t="shared" si="2"/>
        <v>300</v>
      </c>
      <c r="AJ18" s="126">
        <f t="shared" si="0"/>
        <v>300</v>
      </c>
    </row>
    <row r="19" s="1" customFormat="1" customHeight="1" spans="1:36">
      <c r="A19" s="1" t="e">
        <f>#REF!+#REF!+#REF!+#REF!</f>
        <v>#REF!</v>
      </c>
      <c r="B19" s="1" t="e">
        <f>#REF!+#REF!+#REF!+#REF!</f>
        <v>#REF!</v>
      </c>
      <c r="D19" s="1" t="e">
        <f>#REF!-#REF!+#REF!-#REF!+#REF!-#REF!+#REF!-#REF!+#REF!</f>
        <v>#REF!</v>
      </c>
      <c r="F19" s="25">
        <v>15</v>
      </c>
      <c r="G19" s="25" t="s">
        <v>65</v>
      </c>
      <c r="H19" s="26" t="s">
        <v>66</v>
      </c>
      <c r="I19" s="27"/>
      <c r="J19" s="27"/>
      <c r="K19" s="27">
        <v>300</v>
      </c>
      <c r="L19" s="27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>
        <f t="shared" si="1"/>
        <v>0</v>
      </c>
      <c r="AI19" s="29">
        <f t="shared" si="2"/>
        <v>300</v>
      </c>
      <c r="AJ19" s="126">
        <f t="shared" si="0"/>
        <v>300</v>
      </c>
    </row>
    <row r="20" s="1" customFormat="1" customHeight="1" spans="1:36">
      <c r="A20" s="1" t="e">
        <f>#REF!+#REF!+#REF!+#REF!</f>
        <v>#REF!</v>
      </c>
      <c r="B20" s="1" t="e">
        <f>#REF!+#REF!+#REF!+#REF!</f>
        <v>#REF!</v>
      </c>
      <c r="D20" s="1" t="e">
        <f>#REF!-#REF!+#REF!-#REF!+#REF!-#REF!+#REF!-#REF!+#REF!</f>
        <v>#REF!</v>
      </c>
      <c r="F20" s="25">
        <v>16</v>
      </c>
      <c r="G20" s="25" t="s">
        <v>67</v>
      </c>
      <c r="H20" s="26" t="s">
        <v>68</v>
      </c>
      <c r="I20" s="27"/>
      <c r="J20" s="27"/>
      <c r="K20" s="27">
        <v>300</v>
      </c>
      <c r="L20" s="27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>
        <v>122.42</v>
      </c>
      <c r="AG20" s="29"/>
      <c r="AH20" s="29">
        <f t="shared" si="1"/>
        <v>122.42</v>
      </c>
      <c r="AI20" s="29">
        <f t="shared" si="2"/>
        <v>300</v>
      </c>
      <c r="AJ20" s="126">
        <f t="shared" si="0"/>
        <v>177.58</v>
      </c>
    </row>
    <row r="21" s="1" customFormat="1" customHeight="1" spans="1:36">
      <c r="A21" s="1" t="e">
        <f>#REF!+#REF!+#REF!+#REF!</f>
        <v>#REF!</v>
      </c>
      <c r="B21" s="1" t="e">
        <f>#REF!+#REF!+#REF!+#REF!</f>
        <v>#REF!</v>
      </c>
      <c r="D21" s="1" t="e">
        <f>#REF!-#REF!+#REF!-#REF!+#REF!-#REF!+#REF!-#REF!+#REF!</f>
        <v>#REF!</v>
      </c>
      <c r="F21" s="25">
        <v>17</v>
      </c>
      <c r="G21" s="25" t="s">
        <v>69</v>
      </c>
      <c r="H21" s="26" t="s">
        <v>70</v>
      </c>
      <c r="I21" s="27"/>
      <c r="J21" s="27"/>
      <c r="K21" s="27">
        <v>300</v>
      </c>
      <c r="L21" s="27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>
        <v>1515.86</v>
      </c>
      <c r="AG21" s="29">
        <v>1500</v>
      </c>
      <c r="AH21" s="29">
        <f t="shared" si="1"/>
        <v>1515.86</v>
      </c>
      <c r="AI21" s="29">
        <f t="shared" si="2"/>
        <v>1800</v>
      </c>
      <c r="AJ21" s="126">
        <f t="shared" si="0"/>
        <v>284.14</v>
      </c>
    </row>
    <row r="22" s="1" customFormat="1" customHeight="1" spans="1:36">
      <c r="A22" s="1" t="e">
        <f>#REF!+#REF!+#REF!+#REF!</f>
        <v>#REF!</v>
      </c>
      <c r="B22" s="1" t="e">
        <f>#REF!+#REF!+#REF!+#REF!</f>
        <v>#REF!</v>
      </c>
      <c r="D22" s="1" t="e">
        <f>#REF!-#REF!+#REF!-#REF!+#REF!-#REF!+#REF!-#REF!+#REF!</f>
        <v>#REF!</v>
      </c>
      <c r="F22" s="25">
        <v>18</v>
      </c>
      <c r="G22" s="25" t="s">
        <v>71</v>
      </c>
      <c r="H22" s="26" t="s">
        <v>72</v>
      </c>
      <c r="I22" s="27"/>
      <c r="J22" s="27"/>
      <c r="K22" s="27">
        <v>300</v>
      </c>
      <c r="L22" s="27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>
        <v>38.63</v>
      </c>
      <c r="AG22" s="29"/>
      <c r="AH22" s="29">
        <f t="shared" si="1"/>
        <v>38.63</v>
      </c>
      <c r="AI22" s="29">
        <f t="shared" si="2"/>
        <v>300</v>
      </c>
      <c r="AJ22" s="126">
        <f t="shared" si="0"/>
        <v>261.37</v>
      </c>
    </row>
    <row r="23" s="1" customFormat="1" customHeight="1" spans="1:36">
      <c r="A23" s="1" t="e">
        <f>#REF!+#REF!+#REF!+#REF!</f>
        <v>#REF!</v>
      </c>
      <c r="B23" s="1" t="e">
        <f>#REF!+#REF!+#REF!+#REF!</f>
        <v>#REF!</v>
      </c>
      <c r="D23" s="1" t="e">
        <f>#REF!-#REF!+#REF!-#REF!+#REF!-#REF!+#REF!-#REF!+#REF!</f>
        <v>#REF!</v>
      </c>
      <c r="F23" s="25">
        <v>19</v>
      </c>
      <c r="G23" s="25" t="s">
        <v>73</v>
      </c>
      <c r="H23" s="26" t="s">
        <v>74</v>
      </c>
      <c r="I23" s="27"/>
      <c r="J23" s="27"/>
      <c r="K23" s="27">
        <v>300</v>
      </c>
      <c r="L23" s="27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>
        <v>25.03</v>
      </c>
      <c r="AG23" s="29"/>
      <c r="AH23" s="29">
        <f t="shared" si="1"/>
        <v>25.03</v>
      </c>
      <c r="AI23" s="29">
        <f t="shared" si="2"/>
        <v>300</v>
      </c>
      <c r="AJ23" s="126">
        <f t="shared" si="0"/>
        <v>274.97</v>
      </c>
    </row>
    <row r="24" s="1" customFormat="1" customHeight="1" spans="1:36">
      <c r="A24" s="1" t="e">
        <f>#REF!+#REF!+#REF!+#REF!</f>
        <v>#REF!</v>
      </c>
      <c r="B24" s="1" t="e">
        <f>#REF!+#REF!+#REF!+#REF!</f>
        <v>#REF!</v>
      </c>
      <c r="D24" s="1" t="e">
        <f>#REF!-#REF!+#REF!-#REF!+#REF!-#REF!+#REF!-#REF!+#REF!</f>
        <v>#REF!</v>
      </c>
      <c r="F24" s="25">
        <v>20</v>
      </c>
      <c r="G24" s="25" t="s">
        <v>75</v>
      </c>
      <c r="H24" s="26" t="s">
        <v>76</v>
      </c>
      <c r="I24" s="27"/>
      <c r="J24" s="27"/>
      <c r="K24" s="27">
        <v>300</v>
      </c>
      <c r="L24" s="27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>
        <v>628.44</v>
      </c>
      <c r="AG24" s="29"/>
      <c r="AH24" s="29">
        <f t="shared" si="1"/>
        <v>628.44</v>
      </c>
      <c r="AI24" s="29">
        <f t="shared" si="2"/>
        <v>300</v>
      </c>
      <c r="AJ24" s="126">
        <f t="shared" si="0"/>
        <v>-328.44</v>
      </c>
    </row>
    <row r="25" s="1" customFormat="1" customHeight="1" spans="1:36">
      <c r="A25" s="1" t="e">
        <f>#REF!+#REF!+#REF!+#REF!</f>
        <v>#REF!</v>
      </c>
      <c r="B25" s="1" t="e">
        <f>#REF!+#REF!+#REF!+#REF!</f>
        <v>#REF!</v>
      </c>
      <c r="D25" s="1" t="e">
        <f>#REF!-#REF!+#REF!-#REF!+#REF!-#REF!+#REF!-#REF!+#REF!</f>
        <v>#REF!</v>
      </c>
      <c r="F25" s="25">
        <v>21</v>
      </c>
      <c r="G25" s="25" t="s">
        <v>77</v>
      </c>
      <c r="H25" s="26" t="s">
        <v>78</v>
      </c>
      <c r="I25" s="27"/>
      <c r="J25" s="27"/>
      <c r="K25" s="27">
        <v>300</v>
      </c>
      <c r="L25" s="27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>
        <v>7.62</v>
      </c>
      <c r="AG25" s="29"/>
      <c r="AH25" s="29">
        <f t="shared" si="1"/>
        <v>7.62</v>
      </c>
      <c r="AI25" s="29">
        <f t="shared" si="2"/>
        <v>300</v>
      </c>
      <c r="AJ25" s="126">
        <f t="shared" si="0"/>
        <v>292.38</v>
      </c>
    </row>
    <row r="26" s="1" customFormat="1" customHeight="1" spans="1:36">
      <c r="A26" s="1" t="e">
        <f>#REF!+#REF!+#REF!+#REF!</f>
        <v>#REF!</v>
      </c>
      <c r="B26" s="1" t="e">
        <f>#REF!+#REF!+#REF!+#REF!</f>
        <v>#REF!</v>
      </c>
      <c r="D26" s="1" t="e">
        <f>#REF!-#REF!+#REF!-#REF!+#REF!-#REF!+#REF!-#REF!+#REF!</f>
        <v>#REF!</v>
      </c>
      <c r="F26" s="25">
        <v>22</v>
      </c>
      <c r="G26" s="25" t="s">
        <v>79</v>
      </c>
      <c r="H26" s="26" t="s">
        <v>80</v>
      </c>
      <c r="I26" s="27"/>
      <c r="J26" s="27"/>
      <c r="K26" s="27">
        <v>300</v>
      </c>
      <c r="L26" s="27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>
        <v>29.38</v>
      </c>
      <c r="AG26" s="29"/>
      <c r="AH26" s="29">
        <f t="shared" si="1"/>
        <v>29.38</v>
      </c>
      <c r="AI26" s="29">
        <f t="shared" si="2"/>
        <v>300</v>
      </c>
      <c r="AJ26" s="126">
        <f t="shared" si="0"/>
        <v>270.62</v>
      </c>
    </row>
    <row r="27" s="1" customFormat="1" customHeight="1" spans="1:36">
      <c r="A27" s="1" t="e">
        <f>#REF!+#REF!+#REF!+#REF!</f>
        <v>#REF!</v>
      </c>
      <c r="B27" s="1" t="e">
        <f>#REF!+#REF!+#REF!+#REF!</f>
        <v>#REF!</v>
      </c>
      <c r="D27" s="1" t="e">
        <f>#REF!-#REF!+#REF!-#REF!+#REF!-#REF!+#REF!-#REF!+#REF!</f>
        <v>#REF!</v>
      </c>
      <c r="F27" s="25">
        <v>23</v>
      </c>
      <c r="G27" s="25" t="s">
        <v>81</v>
      </c>
      <c r="H27" s="26" t="s">
        <v>82</v>
      </c>
      <c r="I27" s="27"/>
      <c r="J27" s="27"/>
      <c r="K27" s="27">
        <v>300</v>
      </c>
      <c r="L27" s="27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>
        <v>38.09</v>
      </c>
      <c r="AG27" s="29"/>
      <c r="AH27" s="29">
        <f t="shared" si="1"/>
        <v>38.09</v>
      </c>
      <c r="AI27" s="29">
        <f t="shared" si="2"/>
        <v>300</v>
      </c>
      <c r="AJ27" s="126">
        <f t="shared" si="0"/>
        <v>261.91</v>
      </c>
    </row>
    <row r="28" s="1" customFormat="1" customHeight="1" spans="1:36">
      <c r="A28" s="1" t="e">
        <f>#REF!+#REF!+#REF!+#REF!</f>
        <v>#REF!</v>
      </c>
      <c r="B28" s="1" t="e">
        <f>#REF!+#REF!+#REF!+#REF!</f>
        <v>#REF!</v>
      </c>
      <c r="D28" s="1" t="e">
        <f>#REF!-#REF!+#REF!-#REF!+#REF!-#REF!+#REF!-#REF!+#REF!</f>
        <v>#REF!</v>
      </c>
      <c r="F28" s="25">
        <v>24</v>
      </c>
      <c r="G28" s="25" t="s">
        <v>83</v>
      </c>
      <c r="H28" s="26" t="s">
        <v>84</v>
      </c>
      <c r="I28" s="27"/>
      <c r="J28" s="27"/>
      <c r="K28" s="27">
        <v>300</v>
      </c>
      <c r="L28" s="27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>
        <v>21.76</v>
      </c>
      <c r="AG28" s="29"/>
      <c r="AH28" s="29">
        <f t="shared" si="1"/>
        <v>21.76</v>
      </c>
      <c r="AI28" s="29">
        <f t="shared" si="2"/>
        <v>300</v>
      </c>
      <c r="AJ28" s="126">
        <f t="shared" si="0"/>
        <v>278.24</v>
      </c>
    </row>
    <row r="29" s="1" customFormat="1" customHeight="1" spans="1:36">
      <c r="A29" s="1" t="e">
        <f>#REF!+#REF!+#REF!+#REF!</f>
        <v>#REF!</v>
      </c>
      <c r="B29" s="1" t="e">
        <f>#REF!+#REF!+#REF!+#REF!</f>
        <v>#REF!</v>
      </c>
      <c r="D29" s="1" t="e">
        <f>#REF!-#REF!+#REF!-#REF!+#REF!-#REF!+#REF!-#REF!+#REF!</f>
        <v>#REF!</v>
      </c>
      <c r="F29" s="25">
        <v>25</v>
      </c>
      <c r="G29" s="25" t="s">
        <v>85</v>
      </c>
      <c r="H29" s="26" t="s">
        <v>86</v>
      </c>
      <c r="I29" s="27"/>
      <c r="J29" s="27"/>
      <c r="K29" s="27">
        <v>300</v>
      </c>
      <c r="L29" s="27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>
        <v>29.93</v>
      </c>
      <c r="AG29" s="29"/>
      <c r="AH29" s="29">
        <f t="shared" si="1"/>
        <v>29.93</v>
      </c>
      <c r="AI29" s="29">
        <f t="shared" si="2"/>
        <v>300</v>
      </c>
      <c r="AJ29" s="126">
        <f t="shared" si="0"/>
        <v>270.07</v>
      </c>
    </row>
    <row r="30" s="1" customFormat="1" customHeight="1" spans="1:36">
      <c r="A30" s="1" t="e">
        <f>#REF!+#REF!+#REF!+#REF!</f>
        <v>#REF!</v>
      </c>
      <c r="B30" s="1" t="e">
        <f>#REF!+#REF!+#REF!+#REF!</f>
        <v>#REF!</v>
      </c>
      <c r="D30" s="1" t="e">
        <f>#REF!-#REF!+#REF!-#REF!+#REF!-#REF!+#REF!-#REF!+#REF!</f>
        <v>#REF!</v>
      </c>
      <c r="F30" s="25">
        <v>26</v>
      </c>
      <c r="G30" s="25" t="s">
        <v>87</v>
      </c>
      <c r="H30" s="26" t="s">
        <v>88</v>
      </c>
      <c r="I30" s="27"/>
      <c r="J30" s="27"/>
      <c r="K30" s="27">
        <v>300</v>
      </c>
      <c r="L30" s="27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>
        <v>54.41</v>
      </c>
      <c r="AG30" s="29"/>
      <c r="AH30" s="29">
        <f t="shared" si="1"/>
        <v>54.41</v>
      </c>
      <c r="AI30" s="29">
        <f t="shared" si="2"/>
        <v>300</v>
      </c>
      <c r="AJ30" s="126">
        <f t="shared" si="0"/>
        <v>245.59</v>
      </c>
    </row>
    <row r="31" s="1" customFormat="1" customHeight="1" spans="1:36">
      <c r="A31" s="1" t="e">
        <f>#REF!+#REF!+#REF!+#REF!</f>
        <v>#REF!</v>
      </c>
      <c r="B31" s="1" t="e">
        <f>#REF!+#REF!+#REF!+#REF!</f>
        <v>#REF!</v>
      </c>
      <c r="D31" s="1" t="e">
        <f>#REF!-#REF!+#REF!-#REF!+#REF!-#REF!+#REF!-#REF!+#REF!</f>
        <v>#REF!</v>
      </c>
      <c r="F31" s="25">
        <v>27</v>
      </c>
      <c r="G31" s="25" t="s">
        <v>89</v>
      </c>
      <c r="H31" s="26" t="s">
        <v>90</v>
      </c>
      <c r="I31" s="27"/>
      <c r="J31" s="27"/>
      <c r="K31" s="27">
        <v>300</v>
      </c>
      <c r="L31" s="27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>
        <v>777.52</v>
      </c>
      <c r="AG31" s="29"/>
      <c r="AH31" s="29">
        <f t="shared" si="1"/>
        <v>777.52</v>
      </c>
      <c r="AI31" s="29">
        <f t="shared" si="2"/>
        <v>300</v>
      </c>
      <c r="AJ31" s="126">
        <f t="shared" si="0"/>
        <v>-477.52</v>
      </c>
    </row>
    <row r="32" s="1" customFormat="1" customHeight="1" spans="1:36">
      <c r="A32" s="1" t="e">
        <f>#REF!+#REF!+#REF!+#REF!</f>
        <v>#REF!</v>
      </c>
      <c r="B32" s="1" t="e">
        <f>#REF!+#REF!+#REF!+#REF!</f>
        <v>#REF!</v>
      </c>
      <c r="D32" s="1" t="e">
        <f>#REF!-#REF!+#REF!-#REF!+#REF!-#REF!+#REF!-#REF!+#REF!</f>
        <v>#REF!</v>
      </c>
      <c r="F32" s="25">
        <v>28</v>
      </c>
      <c r="G32" s="25" t="s">
        <v>91</v>
      </c>
      <c r="H32" s="26" t="s">
        <v>92</v>
      </c>
      <c r="I32" s="27"/>
      <c r="J32" s="27"/>
      <c r="K32" s="27">
        <v>300</v>
      </c>
      <c r="L32" s="27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>
        <v>10.88</v>
      </c>
      <c r="AG32" s="29"/>
      <c r="AH32" s="29">
        <f t="shared" si="1"/>
        <v>10.88</v>
      </c>
      <c r="AI32" s="29">
        <f t="shared" si="2"/>
        <v>300</v>
      </c>
      <c r="AJ32" s="126">
        <f t="shared" si="0"/>
        <v>289.12</v>
      </c>
    </row>
    <row r="33" s="11" customFormat="1" customHeight="1" spans="1:36">
      <c r="A33" s="11" t="e">
        <f>#REF!+#REF!+#REF!+#REF!</f>
        <v>#REF!</v>
      </c>
      <c r="B33" s="11" t="e">
        <f>#REF!+#REF!+#REF!+#REF!</f>
        <v>#REF!</v>
      </c>
      <c r="D33" s="11" t="e">
        <f>#REF!-#REF!+#REF!-#REF!+#REF!-#REF!+#REF!-#REF!+#REF!</f>
        <v>#REF!</v>
      </c>
      <c r="F33" s="25">
        <v>29</v>
      </c>
      <c r="G33" s="242" t="s">
        <v>93</v>
      </c>
      <c r="H33" s="243" t="s">
        <v>94</v>
      </c>
      <c r="I33" s="225"/>
      <c r="J33" s="225"/>
      <c r="K33" s="225">
        <v>300</v>
      </c>
      <c r="L33" s="22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>
        <v>55.5</v>
      </c>
      <c r="AG33" s="245"/>
      <c r="AH33" s="245">
        <f t="shared" si="1"/>
        <v>55.5</v>
      </c>
      <c r="AI33" s="29">
        <f t="shared" si="2"/>
        <v>300</v>
      </c>
      <c r="AJ33" s="112">
        <f t="shared" si="0"/>
        <v>244.5</v>
      </c>
    </row>
    <row r="34" s="1" customFormat="1" customHeight="1" spans="1:36">
      <c r="A34" s="1" t="e">
        <f>#REF!+#REF!+#REF!+#REF!</f>
        <v>#REF!</v>
      </c>
      <c r="B34" s="1" t="e">
        <f>#REF!+#REF!+#REF!+#REF!</f>
        <v>#REF!</v>
      </c>
      <c r="D34" s="1" t="e">
        <f>#REF!-#REF!+#REF!-#REF!+#REF!-#REF!+#REF!-#REF!+#REF!</f>
        <v>#REF!</v>
      </c>
      <c r="F34" s="25">
        <v>30</v>
      </c>
      <c r="G34" s="25" t="s">
        <v>95</v>
      </c>
      <c r="H34" s="26" t="s">
        <v>96</v>
      </c>
      <c r="I34" s="27"/>
      <c r="J34" s="27"/>
      <c r="K34" s="27">
        <v>300</v>
      </c>
      <c r="L34" s="27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>
        <f t="shared" si="1"/>
        <v>0</v>
      </c>
      <c r="AI34" s="29">
        <f t="shared" si="2"/>
        <v>300</v>
      </c>
      <c r="AJ34" s="126">
        <f t="shared" si="0"/>
        <v>300</v>
      </c>
    </row>
    <row r="35" s="1" customFormat="1" customHeight="1" spans="1:36">
      <c r="A35" s="1" t="e">
        <f>#REF!+#REF!+#REF!+#REF!</f>
        <v>#REF!</v>
      </c>
      <c r="B35" s="1" t="e">
        <f>#REF!+#REF!+#REF!+#REF!</f>
        <v>#REF!</v>
      </c>
      <c r="D35" s="1" t="e">
        <f>#REF!-#REF!+#REF!-#REF!+#REF!-#REF!+#REF!-#REF!+#REF!</f>
        <v>#REF!</v>
      </c>
      <c r="F35" s="25">
        <v>31</v>
      </c>
      <c r="G35" s="25" t="s">
        <v>97</v>
      </c>
      <c r="H35" s="26" t="s">
        <v>98</v>
      </c>
      <c r="I35" s="27"/>
      <c r="J35" s="27"/>
      <c r="K35" s="27">
        <v>300</v>
      </c>
      <c r="L35" s="27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>
        <f t="shared" si="1"/>
        <v>0</v>
      </c>
      <c r="AI35" s="29">
        <f t="shared" si="2"/>
        <v>300</v>
      </c>
      <c r="AJ35" s="126">
        <f t="shared" si="0"/>
        <v>300</v>
      </c>
    </row>
    <row r="36" s="1" customFormat="1" customHeight="1" spans="1:36">
      <c r="A36" s="1" t="e">
        <f>#REF!+#REF!+#REF!+#REF!</f>
        <v>#REF!</v>
      </c>
      <c r="B36" s="1" t="e">
        <f>#REF!+#REF!+#REF!+#REF!</f>
        <v>#REF!</v>
      </c>
      <c r="D36" s="1" t="e">
        <f>#REF!-#REF!+#REF!-#REF!+#REF!-#REF!+#REF!-#REF!+#REF!</f>
        <v>#REF!</v>
      </c>
      <c r="F36" s="25">
        <v>32</v>
      </c>
      <c r="G36" s="25" t="s">
        <v>99</v>
      </c>
      <c r="H36" s="26" t="s">
        <v>100</v>
      </c>
      <c r="I36" s="27"/>
      <c r="J36" s="27"/>
      <c r="K36" s="27">
        <v>300</v>
      </c>
      <c r="L36" s="27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>
        <f t="shared" si="1"/>
        <v>0</v>
      </c>
      <c r="AI36" s="29">
        <f t="shared" si="2"/>
        <v>300</v>
      </c>
      <c r="AJ36" s="126">
        <f t="shared" si="0"/>
        <v>300</v>
      </c>
    </row>
    <row r="37" s="1" customFormat="1" customHeight="1" spans="1:36">
      <c r="A37" s="1" t="e">
        <f>#REF!+#REF!+#REF!+#REF!</f>
        <v>#REF!</v>
      </c>
      <c r="B37" s="1" t="e">
        <f>#REF!+#REF!+#REF!+#REF!</f>
        <v>#REF!</v>
      </c>
      <c r="D37" s="1" t="e">
        <f>#REF!-#REF!+#REF!-#REF!+#REF!-#REF!+#REF!-#REF!+#REF!</f>
        <v>#REF!</v>
      </c>
      <c r="F37" s="25">
        <v>33</v>
      </c>
      <c r="G37" s="25" t="s">
        <v>101</v>
      </c>
      <c r="H37" s="26" t="s">
        <v>102</v>
      </c>
      <c r="I37" s="27"/>
      <c r="J37" s="27"/>
      <c r="K37" s="27"/>
      <c r="L37" s="27"/>
      <c r="M37" s="29"/>
      <c r="N37" s="29"/>
      <c r="O37" s="29">
        <v>300</v>
      </c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>
        <f t="shared" si="1"/>
        <v>0</v>
      </c>
      <c r="AI37" s="29">
        <f t="shared" si="2"/>
        <v>300</v>
      </c>
      <c r="AJ37" s="126">
        <f t="shared" si="0"/>
        <v>300</v>
      </c>
    </row>
    <row r="38" s="1" customFormat="1" customHeight="1" spans="1:36">
      <c r="A38" s="1" t="e">
        <f>#REF!+#REF!+#REF!+#REF!</f>
        <v>#REF!</v>
      </c>
      <c r="B38" s="1" t="e">
        <f>#REF!+#REF!+#REF!+#REF!</f>
        <v>#REF!</v>
      </c>
      <c r="D38" s="1" t="e">
        <f>#REF!-#REF!+#REF!-#REF!+#REF!-#REF!+#REF!-#REF!+#REF!</f>
        <v>#REF!</v>
      </c>
      <c r="F38" s="25">
        <v>34</v>
      </c>
      <c r="G38" s="25" t="s">
        <v>103</v>
      </c>
      <c r="H38" s="26" t="s">
        <v>104</v>
      </c>
      <c r="I38" s="27"/>
      <c r="J38" s="27"/>
      <c r="K38" s="27">
        <v>300</v>
      </c>
      <c r="L38" s="27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>
        <v>313.4</v>
      </c>
      <c r="AG38" s="29"/>
      <c r="AH38" s="29">
        <f t="shared" ref="AH38:AH69" si="3">AF38</f>
        <v>313.4</v>
      </c>
      <c r="AI38" s="29">
        <f t="shared" ref="AI38:AI69" si="4">AG38+AE38+AC38+AA38+Y38+W38+U38+S38+Q38+O38+M38+K38</f>
        <v>300</v>
      </c>
      <c r="AJ38" s="126">
        <f t="shared" si="0"/>
        <v>-13.4</v>
      </c>
    </row>
    <row r="39" s="1" customFormat="1" customHeight="1" spans="1:36">
      <c r="A39" s="1" t="e">
        <f>#REF!+#REF!+#REF!+#REF!</f>
        <v>#REF!</v>
      </c>
      <c r="B39" s="1" t="e">
        <f>#REF!+#REF!+#REF!+#REF!</f>
        <v>#REF!</v>
      </c>
      <c r="D39" s="1" t="e">
        <f>#REF!-#REF!+#REF!-#REF!+#REF!-#REF!+#REF!-#REF!+#REF!</f>
        <v>#REF!</v>
      </c>
      <c r="F39" s="25">
        <v>35</v>
      </c>
      <c r="G39" s="25" t="s">
        <v>105</v>
      </c>
      <c r="H39" s="26" t="s">
        <v>106</v>
      </c>
      <c r="I39" s="27"/>
      <c r="J39" s="27"/>
      <c r="K39" s="27">
        <v>300</v>
      </c>
      <c r="L39" s="27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>
        <v>584.91</v>
      </c>
      <c r="AG39" s="29"/>
      <c r="AH39" s="29">
        <f t="shared" si="3"/>
        <v>584.91</v>
      </c>
      <c r="AI39" s="29">
        <f t="shared" si="4"/>
        <v>300</v>
      </c>
      <c r="AJ39" s="126">
        <f t="shared" si="0"/>
        <v>-284.91</v>
      </c>
    </row>
    <row r="40" s="1" customFormat="1" customHeight="1" spans="1:36">
      <c r="A40" s="1" t="e">
        <f>#REF!+#REF!+#REF!+#REF!</f>
        <v>#REF!</v>
      </c>
      <c r="B40" s="1" t="e">
        <f>#REF!+#REF!+#REF!+#REF!</f>
        <v>#REF!</v>
      </c>
      <c r="D40" s="1" t="e">
        <f>#REF!-#REF!+#REF!-#REF!+#REF!-#REF!+#REF!-#REF!+#REF!</f>
        <v>#REF!</v>
      </c>
      <c r="F40" s="25">
        <v>36</v>
      </c>
      <c r="G40" s="25" t="s">
        <v>107</v>
      </c>
      <c r="H40" s="26" t="s">
        <v>108</v>
      </c>
      <c r="I40" s="27"/>
      <c r="J40" s="27"/>
      <c r="K40" s="27">
        <v>300</v>
      </c>
      <c r="L40" s="27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>
        <v>10.34</v>
      </c>
      <c r="AG40" s="29"/>
      <c r="AH40" s="29">
        <f t="shared" si="3"/>
        <v>10.34</v>
      </c>
      <c r="AI40" s="29">
        <f t="shared" si="4"/>
        <v>300</v>
      </c>
      <c r="AJ40" s="126">
        <f t="shared" si="0"/>
        <v>289.66</v>
      </c>
    </row>
    <row r="41" s="1" customFormat="1" customHeight="1" spans="1:36">
      <c r="A41" s="1" t="e">
        <f>#REF!+#REF!+#REF!+#REF!</f>
        <v>#REF!</v>
      </c>
      <c r="B41" s="1" t="e">
        <f>#REF!+#REF!+#REF!+#REF!</f>
        <v>#REF!</v>
      </c>
      <c r="D41" s="1" t="e">
        <f>#REF!-#REF!+#REF!-#REF!+#REF!-#REF!+#REF!-#REF!+#REF!</f>
        <v>#REF!</v>
      </c>
      <c r="F41" s="25">
        <v>37</v>
      </c>
      <c r="G41" s="25" t="s">
        <v>109</v>
      </c>
      <c r="H41" s="26" t="s">
        <v>110</v>
      </c>
      <c r="I41" s="27"/>
      <c r="J41" s="27"/>
      <c r="K41" s="27"/>
      <c r="L41" s="27"/>
      <c r="M41" s="29">
        <v>300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>
        <v>425.48</v>
      </c>
      <c r="AG41" s="29"/>
      <c r="AH41" s="29">
        <f t="shared" si="3"/>
        <v>425.48</v>
      </c>
      <c r="AI41" s="29">
        <f t="shared" si="4"/>
        <v>300</v>
      </c>
      <c r="AJ41" s="126">
        <f t="shared" si="0"/>
        <v>-125.48</v>
      </c>
    </row>
    <row r="42" s="1" customFormat="1" customHeight="1" spans="1:36">
      <c r="A42" s="1" t="e">
        <f>#REF!+#REF!+#REF!+#REF!</f>
        <v>#REF!</v>
      </c>
      <c r="B42" s="1" t="e">
        <f>#REF!+#REF!+#REF!+#REF!</f>
        <v>#REF!</v>
      </c>
      <c r="D42" s="1" t="e">
        <f>#REF!-#REF!+#REF!-#REF!+#REF!-#REF!+#REF!-#REF!+#REF!</f>
        <v>#REF!</v>
      </c>
      <c r="F42" s="25">
        <v>38</v>
      </c>
      <c r="G42" s="25" t="s">
        <v>111</v>
      </c>
      <c r="H42" s="26" t="s">
        <v>112</v>
      </c>
      <c r="I42" s="27"/>
      <c r="J42" s="27"/>
      <c r="K42" s="27">
        <v>300</v>
      </c>
      <c r="L42" s="27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>
        <v>95.22</v>
      </c>
      <c r="AG42" s="29"/>
      <c r="AH42" s="29">
        <f t="shared" si="3"/>
        <v>95.22</v>
      </c>
      <c r="AI42" s="29">
        <f t="shared" si="4"/>
        <v>300</v>
      </c>
      <c r="AJ42" s="126">
        <f t="shared" si="0"/>
        <v>204.78</v>
      </c>
    </row>
    <row r="43" s="1" customFormat="1" customHeight="1" spans="1:36">
      <c r="A43" s="1" t="e">
        <f>#REF!+#REF!+#REF!+#REF!</f>
        <v>#REF!</v>
      </c>
      <c r="B43" s="1" t="e">
        <f>#REF!+#REF!+#REF!+#REF!</f>
        <v>#REF!</v>
      </c>
      <c r="D43" s="1" t="e">
        <f>#REF!-#REF!+#REF!-#REF!+#REF!-#REF!+#REF!-#REF!+#REF!</f>
        <v>#REF!</v>
      </c>
      <c r="F43" s="25">
        <v>39</v>
      </c>
      <c r="G43" s="25" t="s">
        <v>113</v>
      </c>
      <c r="H43" s="26" t="s">
        <v>114</v>
      </c>
      <c r="I43" s="27"/>
      <c r="J43" s="27"/>
      <c r="K43" s="27">
        <v>300</v>
      </c>
      <c r="L43" s="27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>
        <f t="shared" si="3"/>
        <v>0</v>
      </c>
      <c r="AI43" s="29">
        <f t="shared" si="4"/>
        <v>300</v>
      </c>
      <c r="AJ43" s="126">
        <f t="shared" si="0"/>
        <v>300</v>
      </c>
    </row>
    <row r="44" s="1" customFormat="1" customHeight="1" spans="1:36">
      <c r="A44" s="1" t="e">
        <f>#REF!+#REF!+#REF!+#REF!</f>
        <v>#REF!</v>
      </c>
      <c r="B44" s="1" t="e">
        <f>#REF!+#REF!+#REF!+#REF!</f>
        <v>#REF!</v>
      </c>
      <c r="D44" s="1" t="e">
        <f>#REF!-#REF!+#REF!-#REF!+#REF!-#REF!+#REF!-#REF!+#REF!</f>
        <v>#REF!</v>
      </c>
      <c r="F44" s="25">
        <v>40</v>
      </c>
      <c r="G44" s="25" t="s">
        <v>115</v>
      </c>
      <c r="H44" s="26" t="s">
        <v>116</v>
      </c>
      <c r="I44" s="27"/>
      <c r="J44" s="27"/>
      <c r="K44" s="27">
        <v>300</v>
      </c>
      <c r="L44" s="27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>
        <v>23.94</v>
      </c>
      <c r="AG44" s="29"/>
      <c r="AH44" s="29">
        <f t="shared" si="3"/>
        <v>23.94</v>
      </c>
      <c r="AI44" s="29">
        <f t="shared" si="4"/>
        <v>300</v>
      </c>
      <c r="AJ44" s="126">
        <f t="shared" si="0"/>
        <v>276.06</v>
      </c>
    </row>
    <row r="45" s="1" customFormat="1" customHeight="1" spans="1:36">
      <c r="A45" s="1" t="e">
        <f>#REF!+#REF!+#REF!+#REF!</f>
        <v>#REF!</v>
      </c>
      <c r="B45" s="1" t="e">
        <f>#REF!+#REF!+#REF!+#REF!</f>
        <v>#REF!</v>
      </c>
      <c r="D45" s="1" t="e">
        <f>#REF!-#REF!+#REF!-#REF!+#REF!-#REF!+#REF!-#REF!+#REF!</f>
        <v>#REF!</v>
      </c>
      <c r="F45" s="25">
        <v>41</v>
      </c>
      <c r="G45" s="25" t="s">
        <v>117</v>
      </c>
      <c r="H45" s="26" t="s">
        <v>118</v>
      </c>
      <c r="I45" s="27"/>
      <c r="J45" s="27"/>
      <c r="K45" s="27"/>
      <c r="L45" s="27"/>
      <c r="M45" s="29">
        <v>300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>
        <v>38.63</v>
      </c>
      <c r="AG45" s="29"/>
      <c r="AH45" s="29">
        <f t="shared" si="3"/>
        <v>38.63</v>
      </c>
      <c r="AI45" s="29">
        <f t="shared" si="4"/>
        <v>300</v>
      </c>
      <c r="AJ45" s="126">
        <f t="shared" si="0"/>
        <v>261.37</v>
      </c>
    </row>
    <row r="46" s="1" customFormat="1" customHeight="1" spans="1:36">
      <c r="A46" s="1" t="e">
        <f>#REF!+#REF!+#REF!+#REF!</f>
        <v>#REF!</v>
      </c>
      <c r="B46" s="1" t="e">
        <f>#REF!+#REF!+#REF!+#REF!</f>
        <v>#REF!</v>
      </c>
      <c r="D46" s="1" t="e">
        <f>#REF!-#REF!+#REF!-#REF!+#REF!-#REF!+#REF!-#REF!+#REF!</f>
        <v>#REF!</v>
      </c>
      <c r="F46" s="25">
        <v>42</v>
      </c>
      <c r="G46" s="25" t="s">
        <v>119</v>
      </c>
      <c r="H46" s="26" t="s">
        <v>120</v>
      </c>
      <c r="I46" s="27"/>
      <c r="J46" s="27"/>
      <c r="K46" s="27">
        <v>300</v>
      </c>
      <c r="L46" s="27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>
        <f t="shared" si="3"/>
        <v>0</v>
      </c>
      <c r="AI46" s="29">
        <f t="shared" si="4"/>
        <v>300</v>
      </c>
      <c r="AJ46" s="126">
        <f t="shared" si="0"/>
        <v>300</v>
      </c>
    </row>
    <row r="47" s="1" customFormat="1" customHeight="1" spans="1:36">
      <c r="A47" s="1" t="e">
        <f>#REF!+#REF!+#REF!+#REF!</f>
        <v>#REF!</v>
      </c>
      <c r="B47" s="1" t="e">
        <f>#REF!+#REF!+#REF!+#REF!</f>
        <v>#REF!</v>
      </c>
      <c r="D47" s="1" t="e">
        <f>#REF!-#REF!+#REF!-#REF!+#REF!-#REF!+#REF!-#REF!+#REF!</f>
        <v>#REF!</v>
      </c>
      <c r="F47" s="25">
        <v>43</v>
      </c>
      <c r="G47" s="25" t="s">
        <v>121</v>
      </c>
      <c r="H47" s="26" t="s">
        <v>122</v>
      </c>
      <c r="I47" s="27"/>
      <c r="J47" s="27"/>
      <c r="K47" s="27">
        <v>300</v>
      </c>
      <c r="L47" s="27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>
        <v>512.54</v>
      </c>
      <c r="AG47" s="29"/>
      <c r="AH47" s="29">
        <f t="shared" si="3"/>
        <v>512.54</v>
      </c>
      <c r="AI47" s="29">
        <f t="shared" si="4"/>
        <v>300</v>
      </c>
      <c r="AJ47" s="126">
        <f t="shared" si="0"/>
        <v>-212.54</v>
      </c>
    </row>
    <row r="48" s="1" customFormat="1" customHeight="1" spans="1:36">
      <c r="A48" s="1" t="e">
        <f>#REF!+#REF!+#REF!+#REF!</f>
        <v>#REF!</v>
      </c>
      <c r="B48" s="1" t="e">
        <f>#REF!+#REF!+#REF!+#REF!</f>
        <v>#REF!</v>
      </c>
      <c r="D48" s="1" t="e">
        <f>#REF!-#REF!+#REF!-#REF!+#REF!-#REF!+#REF!-#REF!+#REF!</f>
        <v>#REF!</v>
      </c>
      <c r="F48" s="25">
        <v>44</v>
      </c>
      <c r="G48" s="25" t="s">
        <v>123</v>
      </c>
      <c r="H48" s="26" t="s">
        <v>124</v>
      </c>
      <c r="I48" s="27"/>
      <c r="J48" s="27"/>
      <c r="K48" s="27"/>
      <c r="L48" s="27"/>
      <c r="M48" s="29"/>
      <c r="N48" s="29"/>
      <c r="O48" s="29">
        <v>300</v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>
        <v>246.48</v>
      </c>
      <c r="AG48" s="29"/>
      <c r="AH48" s="29">
        <f t="shared" si="3"/>
        <v>246.48</v>
      </c>
      <c r="AI48" s="29">
        <f t="shared" si="4"/>
        <v>300</v>
      </c>
      <c r="AJ48" s="126">
        <f t="shared" si="0"/>
        <v>53.52</v>
      </c>
    </row>
    <row r="49" s="1" customFormat="1" customHeight="1" spans="1:36">
      <c r="A49" s="1" t="e">
        <f>#REF!+#REF!+#REF!+#REF!</f>
        <v>#REF!</v>
      </c>
      <c r="B49" s="1" t="e">
        <f>#REF!+#REF!+#REF!+#REF!</f>
        <v>#REF!</v>
      </c>
      <c r="D49" s="1" t="e">
        <f>#REF!-#REF!+#REF!-#REF!+#REF!-#REF!+#REF!-#REF!+#REF!</f>
        <v>#REF!</v>
      </c>
      <c r="F49" s="25">
        <v>45</v>
      </c>
      <c r="G49" s="25" t="s">
        <v>125</v>
      </c>
      <c r="H49" s="26" t="s">
        <v>126</v>
      </c>
      <c r="I49" s="27"/>
      <c r="J49" s="27"/>
      <c r="K49" s="27">
        <v>300</v>
      </c>
      <c r="L49" s="27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>
        <v>207.85</v>
      </c>
      <c r="AG49" s="29"/>
      <c r="AH49" s="29">
        <f t="shared" si="3"/>
        <v>207.85</v>
      </c>
      <c r="AI49" s="29">
        <f t="shared" si="4"/>
        <v>300</v>
      </c>
      <c r="AJ49" s="126">
        <f t="shared" si="0"/>
        <v>92.15</v>
      </c>
    </row>
    <row r="50" s="1" customFormat="1" customHeight="1" spans="1:36">
      <c r="A50" s="1" t="e">
        <f>#REF!+#REF!+#REF!+#REF!</f>
        <v>#REF!</v>
      </c>
      <c r="B50" s="1" t="e">
        <f>#REF!+#REF!+#REF!+#REF!</f>
        <v>#REF!</v>
      </c>
      <c r="D50" s="1" t="e">
        <f>#REF!-#REF!+#REF!-#REF!+#REF!-#REF!+#REF!-#REF!+#REF!</f>
        <v>#REF!</v>
      </c>
      <c r="F50" s="25">
        <v>46</v>
      </c>
      <c r="G50" s="25" t="s">
        <v>127</v>
      </c>
      <c r="H50" s="26" t="s">
        <v>128</v>
      </c>
      <c r="I50" s="27"/>
      <c r="J50" s="27"/>
      <c r="K50" s="27">
        <v>300</v>
      </c>
      <c r="L50" s="27"/>
      <c r="M50" s="29"/>
      <c r="N50" s="29"/>
      <c r="O50" s="29"/>
      <c r="P50" s="29"/>
      <c r="Q50" s="29">
        <v>2000</v>
      </c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>
        <v>1076.23</v>
      </c>
      <c r="AG50" s="29"/>
      <c r="AH50" s="29">
        <f t="shared" si="3"/>
        <v>1076.23</v>
      </c>
      <c r="AI50" s="29">
        <f t="shared" si="4"/>
        <v>2300</v>
      </c>
      <c r="AJ50" s="126">
        <f t="shared" si="0"/>
        <v>1223.77</v>
      </c>
    </row>
    <row r="51" s="1" customFormat="1" customHeight="1" spans="1:36">
      <c r="A51" s="1" t="e">
        <f>#REF!+#REF!+#REF!+#REF!</f>
        <v>#REF!</v>
      </c>
      <c r="B51" s="1" t="e">
        <f>#REF!+#REF!+#REF!+#REF!</f>
        <v>#REF!</v>
      </c>
      <c r="D51" s="1" t="e">
        <f>#REF!-#REF!+#REF!-#REF!+#REF!-#REF!+#REF!-#REF!+#REF!</f>
        <v>#REF!</v>
      </c>
      <c r="F51" s="25">
        <v>47</v>
      </c>
      <c r="G51" s="25" t="s">
        <v>129</v>
      </c>
      <c r="H51" s="26" t="s">
        <v>130</v>
      </c>
      <c r="I51" s="27"/>
      <c r="J51" s="27"/>
      <c r="K51" s="27">
        <v>300</v>
      </c>
      <c r="L51" s="27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>
        <v>188.56</v>
      </c>
      <c r="AG51" s="29"/>
      <c r="AH51" s="29">
        <f t="shared" si="3"/>
        <v>188.56</v>
      </c>
      <c r="AI51" s="29">
        <f t="shared" si="4"/>
        <v>300</v>
      </c>
      <c r="AJ51" s="126">
        <f t="shared" si="0"/>
        <v>111.44</v>
      </c>
    </row>
    <row r="52" s="1" customFormat="1" customHeight="1" spans="1:36">
      <c r="A52" s="1" t="e">
        <f>#REF!+#REF!+#REF!+#REF!</f>
        <v>#REF!</v>
      </c>
      <c r="B52" s="1" t="e">
        <f>#REF!+#REF!+#REF!+#REF!</f>
        <v>#REF!</v>
      </c>
      <c r="D52" s="1" t="e">
        <f>#REF!-#REF!+#REF!-#REF!+#REF!-#REF!+#REF!-#REF!+#REF!</f>
        <v>#REF!</v>
      </c>
      <c r="F52" s="25">
        <v>48</v>
      </c>
      <c r="G52" s="25" t="s">
        <v>131</v>
      </c>
      <c r="H52" s="26" t="s">
        <v>132</v>
      </c>
      <c r="I52" s="27"/>
      <c r="J52" s="27"/>
      <c r="K52" s="27">
        <v>300</v>
      </c>
      <c r="L52" s="27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>
        <v>1027.26</v>
      </c>
      <c r="AG52" s="29"/>
      <c r="AH52" s="29">
        <f t="shared" si="3"/>
        <v>1027.26</v>
      </c>
      <c r="AI52" s="29">
        <f t="shared" si="4"/>
        <v>300</v>
      </c>
      <c r="AJ52" s="126">
        <f t="shared" si="0"/>
        <v>-727.26</v>
      </c>
    </row>
    <row r="53" s="1" customFormat="1" customHeight="1" spans="1:36">
      <c r="A53" s="1" t="e">
        <f>#REF!+#REF!+#REF!+#REF!</f>
        <v>#REF!</v>
      </c>
      <c r="B53" s="1" t="e">
        <f>#REF!+#REF!+#REF!+#REF!</f>
        <v>#REF!</v>
      </c>
      <c r="D53" s="1" t="e">
        <f>#REF!-#REF!+#REF!-#REF!+#REF!-#REF!+#REF!-#REF!+#REF!</f>
        <v>#REF!</v>
      </c>
      <c r="F53" s="25">
        <v>49</v>
      </c>
      <c r="G53" s="25" t="s">
        <v>133</v>
      </c>
      <c r="H53" s="26" t="s">
        <v>134</v>
      </c>
      <c r="I53" s="27"/>
      <c r="J53" s="27"/>
      <c r="K53" s="27"/>
      <c r="L53" s="27"/>
      <c r="M53" s="29">
        <v>300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>
        <v>230.15</v>
      </c>
      <c r="AG53" s="29"/>
      <c r="AH53" s="29">
        <f t="shared" si="3"/>
        <v>230.15</v>
      </c>
      <c r="AI53" s="29">
        <f t="shared" si="4"/>
        <v>300</v>
      </c>
      <c r="AJ53" s="126">
        <f t="shared" si="0"/>
        <v>69.85</v>
      </c>
    </row>
    <row r="54" s="1" customFormat="1" customHeight="1" spans="1:36">
      <c r="A54" s="1" t="e">
        <f>#REF!+#REF!+#REF!+#REF!</f>
        <v>#REF!</v>
      </c>
      <c r="B54" s="1" t="e">
        <f>#REF!+#REF!+#REF!+#REF!</f>
        <v>#REF!</v>
      </c>
      <c r="D54" s="1" t="e">
        <f>#REF!-#REF!+#REF!-#REF!+#REF!-#REF!+#REF!-#REF!+#REF!</f>
        <v>#REF!</v>
      </c>
      <c r="F54" s="25">
        <v>50</v>
      </c>
      <c r="G54" s="25" t="s">
        <v>135</v>
      </c>
      <c r="H54" s="26" t="s">
        <v>136</v>
      </c>
      <c r="I54" s="27"/>
      <c r="J54" s="27"/>
      <c r="K54" s="27"/>
      <c r="L54" s="27"/>
      <c r="M54" s="29">
        <v>300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>
        <v>137.66</v>
      </c>
      <c r="AG54" s="29"/>
      <c r="AH54" s="29">
        <f t="shared" si="3"/>
        <v>137.66</v>
      </c>
      <c r="AI54" s="29">
        <f t="shared" si="4"/>
        <v>300</v>
      </c>
      <c r="AJ54" s="126">
        <f t="shared" si="0"/>
        <v>162.34</v>
      </c>
    </row>
    <row r="55" s="1" customFormat="1" customHeight="1" spans="1:36">
      <c r="A55" s="1" t="e">
        <f>#REF!+#REF!+#REF!+#REF!</f>
        <v>#REF!</v>
      </c>
      <c r="B55" s="1" t="e">
        <f>#REF!+#REF!+#REF!+#REF!</f>
        <v>#REF!</v>
      </c>
      <c r="D55" s="1" t="e">
        <f>#REF!-#REF!+#REF!-#REF!+#REF!-#REF!+#REF!-#REF!+#REF!</f>
        <v>#REF!</v>
      </c>
      <c r="F55" s="25">
        <v>51</v>
      </c>
      <c r="G55" s="25" t="s">
        <v>137</v>
      </c>
      <c r="H55" s="26" t="s">
        <v>138</v>
      </c>
      <c r="I55" s="27"/>
      <c r="J55" s="27"/>
      <c r="K55" s="27">
        <v>300</v>
      </c>
      <c r="L55" s="27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>
        <v>107.19</v>
      </c>
      <c r="AG55" s="29"/>
      <c r="AH55" s="29">
        <f t="shared" si="3"/>
        <v>107.19</v>
      </c>
      <c r="AI55" s="29">
        <f t="shared" si="4"/>
        <v>300</v>
      </c>
      <c r="AJ55" s="126">
        <f t="shared" si="0"/>
        <v>192.81</v>
      </c>
    </row>
    <row r="56" s="1" customFormat="1" customHeight="1" spans="1:36">
      <c r="A56" s="1" t="e">
        <f>#REF!+#REF!+#REF!+#REF!</f>
        <v>#REF!</v>
      </c>
      <c r="B56" s="1" t="e">
        <f>#REF!+#REF!+#REF!+#REF!</f>
        <v>#REF!</v>
      </c>
      <c r="D56" s="1" t="e">
        <f>#REF!-#REF!+#REF!-#REF!+#REF!-#REF!+#REF!-#REF!+#REF!</f>
        <v>#REF!</v>
      </c>
      <c r="F56" s="25">
        <v>52</v>
      </c>
      <c r="G56" s="25" t="s">
        <v>139</v>
      </c>
      <c r="H56" s="26" t="s">
        <v>140</v>
      </c>
      <c r="I56" s="27"/>
      <c r="J56" s="27"/>
      <c r="K56" s="27">
        <v>300</v>
      </c>
      <c r="L56" s="27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>
        <v>687.2</v>
      </c>
      <c r="AG56" s="29">
        <v>800</v>
      </c>
      <c r="AH56" s="29">
        <f t="shared" si="3"/>
        <v>687.2</v>
      </c>
      <c r="AI56" s="29">
        <f t="shared" si="4"/>
        <v>1100</v>
      </c>
      <c r="AJ56" s="126">
        <f t="shared" si="0"/>
        <v>412.8</v>
      </c>
    </row>
    <row r="57" s="1" customFormat="1" customHeight="1" spans="1:36">
      <c r="A57" s="1" t="e">
        <f>#REF!+#REF!+#REF!+#REF!</f>
        <v>#REF!</v>
      </c>
      <c r="B57" s="1" t="e">
        <f>#REF!+#REF!+#REF!+#REF!</f>
        <v>#REF!</v>
      </c>
      <c r="D57" s="1" t="e">
        <f>#REF!-#REF!+#REF!-#REF!+#REF!-#REF!+#REF!-#REF!+#REF!</f>
        <v>#REF!</v>
      </c>
      <c r="F57" s="25">
        <v>53</v>
      </c>
      <c r="G57" s="25" t="s">
        <v>141</v>
      </c>
      <c r="H57" s="26" t="s">
        <v>142</v>
      </c>
      <c r="I57" s="27"/>
      <c r="J57" s="27"/>
      <c r="K57" s="27">
        <v>300</v>
      </c>
      <c r="L57" s="27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>
        <v>26.11</v>
      </c>
      <c r="AG57" s="29"/>
      <c r="AH57" s="29">
        <f t="shared" si="3"/>
        <v>26.11</v>
      </c>
      <c r="AI57" s="29">
        <f t="shared" si="4"/>
        <v>300</v>
      </c>
      <c r="AJ57" s="126">
        <f t="shared" si="0"/>
        <v>273.89</v>
      </c>
    </row>
    <row r="58" s="1" customFormat="1" customHeight="1" spans="1:36">
      <c r="A58" s="1" t="e">
        <f>#REF!+#REF!+#REF!+#REF!</f>
        <v>#REF!</v>
      </c>
      <c r="B58" s="1" t="e">
        <f>#REF!+#REF!+#REF!+#REF!</f>
        <v>#REF!</v>
      </c>
      <c r="D58" s="1" t="e">
        <f>#REF!-#REF!+#REF!-#REF!+#REF!-#REF!+#REF!-#REF!+#REF!</f>
        <v>#REF!</v>
      </c>
      <c r="F58" s="25">
        <v>54</v>
      </c>
      <c r="G58" s="25" t="s">
        <v>143</v>
      </c>
      <c r="H58" s="26" t="s">
        <v>144</v>
      </c>
      <c r="I58" s="27"/>
      <c r="J58" s="27"/>
      <c r="K58" s="27">
        <v>300</v>
      </c>
      <c r="L58" s="27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>
        <v>514.72</v>
      </c>
      <c r="AG58" s="29"/>
      <c r="AH58" s="29">
        <f t="shared" si="3"/>
        <v>514.72</v>
      </c>
      <c r="AI58" s="29">
        <f t="shared" si="4"/>
        <v>300</v>
      </c>
      <c r="AJ58" s="126">
        <f t="shared" si="0"/>
        <v>-214.72</v>
      </c>
    </row>
    <row r="59" s="1" customFormat="1" customHeight="1" spans="1:36">
      <c r="A59" s="1" t="e">
        <f>#REF!+#REF!+#REF!+#REF!</f>
        <v>#REF!</v>
      </c>
      <c r="B59" s="1" t="e">
        <f>#REF!+#REF!+#REF!+#REF!</f>
        <v>#REF!</v>
      </c>
      <c r="D59" s="1" t="e">
        <f>#REF!-#REF!+#REF!-#REF!+#REF!-#REF!+#REF!-#REF!+#REF!</f>
        <v>#REF!</v>
      </c>
      <c r="F59" s="25">
        <v>55</v>
      </c>
      <c r="G59" s="25" t="s">
        <v>145</v>
      </c>
      <c r="H59" s="26" t="s">
        <v>146</v>
      </c>
      <c r="I59" s="27"/>
      <c r="J59" s="27"/>
      <c r="K59" s="27">
        <v>300</v>
      </c>
      <c r="L59" s="27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>
        <v>572.93</v>
      </c>
      <c r="AG59" s="29"/>
      <c r="AH59" s="29">
        <f t="shared" si="3"/>
        <v>572.93</v>
      </c>
      <c r="AI59" s="29">
        <f t="shared" si="4"/>
        <v>300</v>
      </c>
      <c r="AJ59" s="126">
        <f t="shared" si="0"/>
        <v>-272.93</v>
      </c>
    </row>
    <row r="60" s="1" customFormat="1" customHeight="1" spans="1:36">
      <c r="A60" s="1" t="e">
        <f>#REF!+#REF!+#REF!+#REF!</f>
        <v>#REF!</v>
      </c>
      <c r="B60" s="1" t="e">
        <f>#REF!+#REF!+#REF!+#REF!</f>
        <v>#REF!</v>
      </c>
      <c r="D60" s="1" t="e">
        <f>#REF!-#REF!+#REF!-#REF!+#REF!-#REF!+#REF!-#REF!+#REF!</f>
        <v>#REF!</v>
      </c>
      <c r="F60" s="25">
        <v>56</v>
      </c>
      <c r="G60" s="25" t="s">
        <v>147</v>
      </c>
      <c r="H60" s="26" t="s">
        <v>148</v>
      </c>
      <c r="I60" s="27"/>
      <c r="J60" s="27"/>
      <c r="K60" s="27"/>
      <c r="L60" s="27"/>
      <c r="M60" s="29">
        <v>300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>
        <v>28.84</v>
      </c>
      <c r="AG60" s="29"/>
      <c r="AH60" s="29">
        <f t="shared" si="3"/>
        <v>28.84</v>
      </c>
      <c r="AI60" s="29">
        <f t="shared" si="4"/>
        <v>300</v>
      </c>
      <c r="AJ60" s="126">
        <f t="shared" si="0"/>
        <v>271.16</v>
      </c>
    </row>
    <row r="61" s="1" customFormat="1" customHeight="1" spans="1:36">
      <c r="A61" s="1" t="e">
        <f>#REF!+#REF!+#REF!+#REF!</f>
        <v>#REF!</v>
      </c>
      <c r="B61" s="1" t="e">
        <f>#REF!+#REF!+#REF!+#REF!</f>
        <v>#REF!</v>
      </c>
      <c r="D61" s="1" t="e">
        <f>#REF!-#REF!+#REF!-#REF!+#REF!-#REF!+#REF!-#REF!+#REF!</f>
        <v>#REF!</v>
      </c>
      <c r="F61" s="25">
        <v>57</v>
      </c>
      <c r="G61" s="25" t="s">
        <v>149</v>
      </c>
      <c r="H61" s="26" t="s">
        <v>150</v>
      </c>
      <c r="I61" s="27"/>
      <c r="J61" s="27"/>
      <c r="K61" s="27"/>
      <c r="L61" s="27"/>
      <c r="M61" s="29">
        <v>300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>
        <v>5.98</v>
      </c>
      <c r="AG61" s="29"/>
      <c r="AH61" s="29">
        <f t="shared" si="3"/>
        <v>5.98</v>
      </c>
      <c r="AI61" s="29">
        <f t="shared" si="4"/>
        <v>300</v>
      </c>
      <c r="AJ61" s="126">
        <f t="shared" si="0"/>
        <v>294.02</v>
      </c>
    </row>
    <row r="62" s="1" customFormat="1" customHeight="1" spans="1:36">
      <c r="A62" s="1" t="e">
        <f>#REF!+#REF!+#REF!+#REF!</f>
        <v>#REF!</v>
      </c>
      <c r="B62" s="1" t="e">
        <f>#REF!+#REF!+#REF!+#REF!</f>
        <v>#REF!</v>
      </c>
      <c r="D62" s="1" t="e">
        <f>#REF!-#REF!+#REF!-#REF!+#REF!-#REF!+#REF!-#REF!+#REF!</f>
        <v>#REF!</v>
      </c>
      <c r="F62" s="25">
        <v>58</v>
      </c>
      <c r="G62" s="25" t="s">
        <v>151</v>
      </c>
      <c r="H62" s="26" t="s">
        <v>152</v>
      </c>
      <c r="I62" s="27"/>
      <c r="J62" s="27"/>
      <c r="K62" s="27">
        <v>300</v>
      </c>
      <c r="L62" s="27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>
        <f t="shared" si="3"/>
        <v>0</v>
      </c>
      <c r="AI62" s="29">
        <f t="shared" si="4"/>
        <v>300</v>
      </c>
      <c r="AJ62" s="126">
        <f t="shared" si="0"/>
        <v>300</v>
      </c>
    </row>
    <row r="63" s="1" customFormat="1" customHeight="1" spans="1:36">
      <c r="A63" s="1" t="e">
        <f>#REF!+#REF!+#REF!+#REF!</f>
        <v>#REF!</v>
      </c>
      <c r="B63" s="1" t="e">
        <f>#REF!+#REF!+#REF!+#REF!</f>
        <v>#REF!</v>
      </c>
      <c r="D63" s="1" t="e">
        <f>#REF!-#REF!+#REF!-#REF!+#REF!-#REF!+#REF!-#REF!+#REF!</f>
        <v>#REF!</v>
      </c>
      <c r="F63" s="25">
        <v>59</v>
      </c>
      <c r="G63" s="25" t="s">
        <v>153</v>
      </c>
      <c r="H63" s="26" t="s">
        <v>154</v>
      </c>
      <c r="I63" s="27"/>
      <c r="J63" s="27"/>
      <c r="K63" s="27">
        <v>300</v>
      </c>
      <c r="L63" s="27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>
        <v>15.78</v>
      </c>
      <c r="AG63" s="29"/>
      <c r="AH63" s="29">
        <f t="shared" si="3"/>
        <v>15.78</v>
      </c>
      <c r="AI63" s="29">
        <f t="shared" si="4"/>
        <v>300</v>
      </c>
      <c r="AJ63" s="126">
        <f t="shared" si="0"/>
        <v>284.22</v>
      </c>
    </row>
    <row r="64" s="1" customFormat="1" customHeight="1" spans="1:36">
      <c r="A64" s="1" t="e">
        <f>#REF!+#REF!+#REF!+#REF!</f>
        <v>#REF!</v>
      </c>
      <c r="B64" s="1" t="e">
        <f>#REF!+#REF!+#REF!+#REF!</f>
        <v>#REF!</v>
      </c>
      <c r="D64" s="1" t="e">
        <f>#REF!-#REF!+#REF!-#REF!+#REF!-#REF!+#REF!-#REF!+#REF!</f>
        <v>#REF!</v>
      </c>
      <c r="F64" s="25">
        <v>60</v>
      </c>
      <c r="G64" s="25" t="s">
        <v>155</v>
      </c>
      <c r="H64" s="26" t="s">
        <v>156</v>
      </c>
      <c r="I64" s="27"/>
      <c r="J64" s="27"/>
      <c r="K64" s="27">
        <v>300</v>
      </c>
      <c r="L64" s="27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>
        <v>96.85</v>
      </c>
      <c r="AG64" s="29"/>
      <c r="AH64" s="29">
        <f t="shared" si="3"/>
        <v>96.85</v>
      </c>
      <c r="AI64" s="29">
        <f t="shared" si="4"/>
        <v>300</v>
      </c>
      <c r="AJ64" s="126">
        <f t="shared" si="0"/>
        <v>203.15</v>
      </c>
    </row>
    <row r="65" s="1" customFormat="1" customHeight="1" spans="1:36">
      <c r="A65" s="1" t="e">
        <f>#REF!+#REF!+#REF!+#REF!</f>
        <v>#REF!</v>
      </c>
      <c r="B65" s="1" t="e">
        <f>#REF!+#REF!+#REF!+#REF!</f>
        <v>#REF!</v>
      </c>
      <c r="D65" s="1" t="e">
        <f>#REF!-#REF!+#REF!-#REF!+#REF!-#REF!+#REF!-#REF!+#REF!</f>
        <v>#REF!</v>
      </c>
      <c r="F65" s="25">
        <v>61</v>
      </c>
      <c r="G65" s="25" t="s">
        <v>157</v>
      </c>
      <c r="H65" s="26" t="s">
        <v>158</v>
      </c>
      <c r="I65" s="27"/>
      <c r="J65" s="27"/>
      <c r="K65" s="27"/>
      <c r="L65" s="27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>
        <f t="shared" si="3"/>
        <v>0</v>
      </c>
      <c r="AI65" s="29">
        <f t="shared" si="4"/>
        <v>0</v>
      </c>
      <c r="AJ65" s="126">
        <f t="shared" si="0"/>
        <v>0</v>
      </c>
    </row>
    <row r="66" s="1" customFormat="1" customHeight="1" spans="1:36">
      <c r="A66" s="1" t="e">
        <f>#REF!+#REF!+#REF!+#REF!</f>
        <v>#REF!</v>
      </c>
      <c r="B66" s="1" t="e">
        <f>#REF!+#REF!+#REF!+#REF!</f>
        <v>#REF!</v>
      </c>
      <c r="D66" s="1" t="e">
        <f>#REF!-#REF!+#REF!-#REF!+#REF!-#REF!+#REF!-#REF!+#REF!</f>
        <v>#REF!</v>
      </c>
      <c r="F66" s="25">
        <v>62</v>
      </c>
      <c r="G66" s="25" t="s">
        <v>159</v>
      </c>
      <c r="H66" s="26" t="s">
        <v>160</v>
      </c>
      <c r="I66" s="27"/>
      <c r="J66" s="27"/>
      <c r="K66" s="27">
        <v>300</v>
      </c>
      <c r="L66" s="27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>
        <v>500</v>
      </c>
      <c r="AD66" s="29"/>
      <c r="AE66" s="29"/>
      <c r="AF66" s="29">
        <v>943.47</v>
      </c>
      <c r="AG66" s="29"/>
      <c r="AH66" s="29">
        <f t="shared" si="3"/>
        <v>943.47</v>
      </c>
      <c r="AI66" s="29">
        <f t="shared" si="4"/>
        <v>800</v>
      </c>
      <c r="AJ66" s="126">
        <f t="shared" si="0"/>
        <v>-143.47</v>
      </c>
    </row>
    <row r="67" s="1" customFormat="1" customHeight="1" spans="1:36">
      <c r="A67" s="1" t="e">
        <f>#REF!+#REF!+#REF!+#REF!</f>
        <v>#REF!</v>
      </c>
      <c r="B67" s="1" t="e">
        <f>#REF!+#REF!+#REF!+#REF!</f>
        <v>#REF!</v>
      </c>
      <c r="D67" s="1" t="e">
        <f>#REF!-#REF!+#REF!-#REF!+#REF!-#REF!+#REF!-#REF!+#REF!</f>
        <v>#REF!</v>
      </c>
      <c r="F67" s="25">
        <v>63</v>
      </c>
      <c r="G67" s="25" t="s">
        <v>161</v>
      </c>
      <c r="H67" s="26" t="s">
        <v>162</v>
      </c>
      <c r="I67" s="27"/>
      <c r="J67" s="27"/>
      <c r="K67" s="27"/>
      <c r="L67" s="27"/>
      <c r="M67" s="29"/>
      <c r="N67" s="29"/>
      <c r="O67" s="29">
        <v>300</v>
      </c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>
        <v>654.01</v>
      </c>
      <c r="AG67" s="29">
        <v>1000</v>
      </c>
      <c r="AH67" s="29">
        <f t="shared" si="3"/>
        <v>654.01</v>
      </c>
      <c r="AI67" s="29">
        <f t="shared" si="4"/>
        <v>1300</v>
      </c>
      <c r="AJ67" s="126">
        <f t="shared" si="0"/>
        <v>645.99</v>
      </c>
    </row>
    <row r="68" s="1" customFormat="1" customHeight="1" spans="1:36">
      <c r="A68" s="1" t="e">
        <f>#REF!+#REF!+#REF!+#REF!</f>
        <v>#REF!</v>
      </c>
      <c r="B68" s="1" t="e">
        <f>#REF!+#REF!+#REF!+#REF!</f>
        <v>#REF!</v>
      </c>
      <c r="D68" s="1" t="e">
        <f>#REF!-#REF!+#REF!-#REF!+#REF!-#REF!+#REF!-#REF!+#REF!</f>
        <v>#REF!</v>
      </c>
      <c r="F68" s="25">
        <v>64</v>
      </c>
      <c r="G68" s="25" t="s">
        <v>163</v>
      </c>
      <c r="H68" s="26" t="s">
        <v>164</v>
      </c>
      <c r="I68" s="27"/>
      <c r="J68" s="27"/>
      <c r="K68" s="27">
        <v>300</v>
      </c>
      <c r="L68" s="27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>
        <v>190.98</v>
      </c>
      <c r="AG68" s="29"/>
      <c r="AH68" s="29">
        <f t="shared" si="3"/>
        <v>190.98</v>
      </c>
      <c r="AI68" s="29">
        <f t="shared" si="4"/>
        <v>300</v>
      </c>
      <c r="AJ68" s="126">
        <f t="shared" si="0"/>
        <v>109.02</v>
      </c>
    </row>
    <row r="69" s="1" customFormat="1" customHeight="1" spans="1:36">
      <c r="A69" s="1" t="e">
        <f>#REF!+#REF!+#REF!+#REF!</f>
        <v>#REF!</v>
      </c>
      <c r="B69" s="1" t="e">
        <f>#REF!+#REF!+#REF!+#REF!</f>
        <v>#REF!</v>
      </c>
      <c r="D69" s="1" t="e">
        <f>#REF!-#REF!+#REF!-#REF!+#REF!-#REF!+#REF!-#REF!+#REF!</f>
        <v>#REF!</v>
      </c>
      <c r="F69" s="25">
        <v>65</v>
      </c>
      <c r="G69" s="25"/>
      <c r="H69" s="260" t="s">
        <v>165</v>
      </c>
      <c r="I69" s="27"/>
      <c r="J69" s="27"/>
      <c r="K69" s="27"/>
      <c r="L69" s="27"/>
      <c r="M69" s="29"/>
      <c r="N69" s="29"/>
      <c r="O69" s="29"/>
      <c r="P69" s="29"/>
      <c r="Q69" s="29"/>
      <c r="R69" s="29"/>
      <c r="S69" s="29">
        <v>2000</v>
      </c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>
        <v>293.81</v>
      </c>
      <c r="AG69" s="29"/>
      <c r="AH69" s="29">
        <f t="shared" si="3"/>
        <v>293.81</v>
      </c>
      <c r="AI69" s="29">
        <f t="shared" si="4"/>
        <v>2000</v>
      </c>
      <c r="AJ69" s="126">
        <f t="shared" ref="AJ69:AJ132" si="5">K69+M69+O69+Q69+S69+U69+W69+Y69+AA69+AC69+AE69+AG69-J69-L69-N69-P69-R69-T69-V69-X69-Z69-AB69-AD69-AF69</f>
        <v>1706.19</v>
      </c>
    </row>
    <row r="70" s="239" customFormat="1" customHeight="1" spans="1:37">
      <c r="A70" s="1" t="e">
        <f>#REF!+#REF!+#REF!+#REF!</f>
        <v>#REF!</v>
      </c>
      <c r="B70" s="1" t="e">
        <f>#REF!+#REF!+#REF!+#REF!</f>
        <v>#REF!</v>
      </c>
      <c r="D70" s="1" t="e">
        <f>#REF!-#REF!+#REF!-#REF!+#REF!-#REF!+#REF!-#REF!+#REF!</f>
        <v>#REF!</v>
      </c>
      <c r="F70" s="25">
        <v>66</v>
      </c>
      <c r="G70" s="25"/>
      <c r="H70" s="260" t="s">
        <v>166</v>
      </c>
      <c r="I70" s="27"/>
      <c r="J70" s="27"/>
      <c r="K70" s="27"/>
      <c r="L70" s="27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>
        <v>62.03</v>
      </c>
      <c r="AG70" s="29"/>
      <c r="AH70" s="29">
        <f t="shared" ref="AH70:AH101" si="6">AF70</f>
        <v>62.03</v>
      </c>
      <c r="AI70" s="29">
        <f t="shared" ref="AI70:AI101" si="7">AG70+AE70+AC70+AA70+Y70+W70+U70+S70+Q70+O70+M70+K70</f>
        <v>0</v>
      </c>
      <c r="AJ70" s="126">
        <f t="shared" si="5"/>
        <v>-62.03</v>
      </c>
      <c r="AK70" s="1"/>
    </row>
    <row r="71" s="258" customFormat="1" customHeight="1" spans="1:36">
      <c r="A71" s="258" t="e">
        <f>#REF!+#REF!+#REF!+#REF!</f>
        <v>#REF!</v>
      </c>
      <c r="B71" s="258" t="e">
        <f>#REF!+#REF!+#REF!+#REF!</f>
        <v>#REF!</v>
      </c>
      <c r="D71" s="258" t="e">
        <f>#REF!-#REF!+#REF!-#REF!+#REF!-#REF!+#REF!-#REF!+#REF!</f>
        <v>#REF!</v>
      </c>
      <c r="F71" s="261">
        <v>67</v>
      </c>
      <c r="G71" s="261" t="s">
        <v>167</v>
      </c>
      <c r="H71" s="262" t="s">
        <v>168</v>
      </c>
      <c r="I71" s="264"/>
      <c r="J71" s="264"/>
      <c r="K71" s="264">
        <v>300</v>
      </c>
      <c r="L71" s="264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>
        <v>400</v>
      </c>
      <c r="AF71" s="130">
        <v>412.97</v>
      </c>
      <c r="AG71" s="130"/>
      <c r="AH71" s="130">
        <f t="shared" si="6"/>
        <v>412.97</v>
      </c>
      <c r="AI71" s="130">
        <f t="shared" si="7"/>
        <v>700</v>
      </c>
      <c r="AJ71" s="183">
        <f t="shared" si="5"/>
        <v>287.03</v>
      </c>
    </row>
    <row r="72" customHeight="1" spans="1:36">
      <c r="A72" s="1" t="e">
        <f>#REF!+#REF!+#REF!+#REF!</f>
        <v>#REF!</v>
      </c>
      <c r="B72" s="1" t="e">
        <f>#REF!+#REF!+#REF!+#REF!</f>
        <v>#REF!</v>
      </c>
      <c r="D72" s="1" t="e">
        <f>#REF!-#REF!+#REF!-#REF!+#REF!-#REF!+#REF!-#REF!+#REF!</f>
        <v>#REF!</v>
      </c>
      <c r="F72" s="25">
        <v>68</v>
      </c>
      <c r="G72" s="25" t="s">
        <v>169</v>
      </c>
      <c r="H72" s="26" t="s">
        <v>170</v>
      </c>
      <c r="I72" s="27"/>
      <c r="J72" s="27"/>
      <c r="K72" s="27"/>
      <c r="L72" s="27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>
        <v>300</v>
      </c>
      <c r="X72" s="29"/>
      <c r="Y72" s="29"/>
      <c r="Z72" s="29"/>
      <c r="AA72" s="29"/>
      <c r="AB72" s="29"/>
      <c r="AC72" s="29"/>
      <c r="AD72" s="29"/>
      <c r="AE72" s="29"/>
      <c r="AF72" s="29">
        <v>65.29</v>
      </c>
      <c r="AG72" s="29"/>
      <c r="AH72" s="29">
        <f t="shared" si="6"/>
        <v>65.29</v>
      </c>
      <c r="AI72" s="29">
        <f t="shared" si="7"/>
        <v>300</v>
      </c>
      <c r="AJ72" s="126">
        <f t="shared" si="5"/>
        <v>234.71</v>
      </c>
    </row>
    <row r="73" customHeight="1" spans="1:36">
      <c r="A73" s="1" t="e">
        <f>#REF!+#REF!+#REF!+#REF!</f>
        <v>#REF!</v>
      </c>
      <c r="B73" s="1" t="e">
        <f>#REF!+#REF!+#REF!+#REF!</f>
        <v>#REF!</v>
      </c>
      <c r="D73" s="1" t="e">
        <f>#REF!-#REF!+#REF!-#REF!+#REF!-#REF!+#REF!-#REF!+#REF!</f>
        <v>#REF!</v>
      </c>
      <c r="F73" s="25">
        <v>69</v>
      </c>
      <c r="G73" s="25" t="s">
        <v>171</v>
      </c>
      <c r="H73" s="26" t="s">
        <v>172</v>
      </c>
      <c r="I73" s="27"/>
      <c r="J73" s="27"/>
      <c r="K73" s="27">
        <v>300</v>
      </c>
      <c r="L73" s="27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>
        <v>270.42</v>
      </c>
      <c r="AG73" s="29"/>
      <c r="AH73" s="29">
        <f t="shared" si="6"/>
        <v>270.42</v>
      </c>
      <c r="AI73" s="29">
        <f t="shared" si="7"/>
        <v>300</v>
      </c>
      <c r="AJ73" s="126">
        <f t="shared" si="5"/>
        <v>29.58</v>
      </c>
    </row>
    <row r="74" customHeight="1" spans="1:36">
      <c r="A74" s="1" t="e">
        <f>#REF!+#REF!+#REF!+#REF!</f>
        <v>#REF!</v>
      </c>
      <c r="B74" s="1" t="e">
        <f>#REF!+#REF!+#REF!+#REF!</f>
        <v>#REF!</v>
      </c>
      <c r="D74" s="1" t="e">
        <f>#REF!-#REF!+#REF!-#REF!+#REF!-#REF!+#REF!-#REF!+#REF!</f>
        <v>#REF!</v>
      </c>
      <c r="F74" s="25">
        <v>70</v>
      </c>
      <c r="G74" s="25" t="s">
        <v>173</v>
      </c>
      <c r="H74" s="26" t="s">
        <v>174</v>
      </c>
      <c r="I74" s="27"/>
      <c r="J74" s="27"/>
      <c r="K74" s="27">
        <v>300</v>
      </c>
      <c r="L74" s="27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>
        <v>1.09</v>
      </c>
      <c r="AG74" s="29"/>
      <c r="AH74" s="29">
        <f t="shared" si="6"/>
        <v>1.09</v>
      </c>
      <c r="AI74" s="29">
        <f t="shared" si="7"/>
        <v>300</v>
      </c>
      <c r="AJ74" s="126">
        <f t="shared" si="5"/>
        <v>298.91</v>
      </c>
    </row>
    <row r="75" customHeight="1" spans="1:36">
      <c r="A75" s="1" t="e">
        <f>#REF!+#REF!+#REF!+#REF!</f>
        <v>#REF!</v>
      </c>
      <c r="B75" s="1" t="e">
        <f>#REF!+#REF!+#REF!+#REF!</f>
        <v>#REF!</v>
      </c>
      <c r="D75" s="1" t="e">
        <f>#REF!-#REF!+#REF!-#REF!+#REF!-#REF!+#REF!-#REF!+#REF!</f>
        <v>#REF!</v>
      </c>
      <c r="F75" s="25">
        <v>71</v>
      </c>
      <c r="G75" s="25" t="s">
        <v>175</v>
      </c>
      <c r="H75" s="26" t="s">
        <v>176</v>
      </c>
      <c r="I75" s="27"/>
      <c r="J75" s="27"/>
      <c r="K75" s="27">
        <v>300</v>
      </c>
      <c r="L75" s="27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>
        <v>1000</v>
      </c>
      <c r="Z75" s="29"/>
      <c r="AA75" s="29"/>
      <c r="AB75" s="29"/>
      <c r="AC75" s="29"/>
      <c r="AD75" s="29"/>
      <c r="AE75" s="29"/>
      <c r="AF75" s="29">
        <v>1265.03</v>
      </c>
      <c r="AG75" s="29"/>
      <c r="AH75" s="29">
        <f t="shared" si="6"/>
        <v>1265.03</v>
      </c>
      <c r="AI75" s="29">
        <f t="shared" si="7"/>
        <v>1300</v>
      </c>
      <c r="AJ75" s="126">
        <f t="shared" si="5"/>
        <v>34.97</v>
      </c>
    </row>
    <row r="76" customHeight="1" spans="1:36">
      <c r="A76" s="1" t="e">
        <f>#REF!+#REF!+#REF!+#REF!</f>
        <v>#REF!</v>
      </c>
      <c r="B76" s="1" t="e">
        <f>#REF!+#REF!+#REF!+#REF!</f>
        <v>#REF!</v>
      </c>
      <c r="D76" s="1" t="e">
        <f>#REF!-#REF!+#REF!-#REF!+#REF!-#REF!+#REF!-#REF!+#REF!</f>
        <v>#REF!</v>
      </c>
      <c r="F76" s="25">
        <v>72</v>
      </c>
      <c r="G76" s="25" t="s">
        <v>177</v>
      </c>
      <c r="H76" s="26" t="s">
        <v>178</v>
      </c>
      <c r="I76" s="27"/>
      <c r="J76" s="27"/>
      <c r="K76" s="27"/>
      <c r="L76" s="27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>
        <f t="shared" si="6"/>
        <v>0</v>
      </c>
      <c r="AI76" s="29">
        <f t="shared" si="7"/>
        <v>0</v>
      </c>
      <c r="AJ76" s="126">
        <f t="shared" si="5"/>
        <v>0</v>
      </c>
    </row>
    <row r="77" customHeight="1" spans="1:36">
      <c r="A77" s="1" t="e">
        <f>#REF!+#REF!+#REF!+#REF!</f>
        <v>#REF!</v>
      </c>
      <c r="B77" s="1" t="e">
        <f>#REF!+#REF!+#REF!+#REF!</f>
        <v>#REF!</v>
      </c>
      <c r="D77" s="1" t="e">
        <f>#REF!-#REF!+#REF!-#REF!+#REF!-#REF!+#REF!-#REF!+#REF!</f>
        <v>#REF!</v>
      </c>
      <c r="F77" s="25">
        <v>73</v>
      </c>
      <c r="G77" s="25" t="s">
        <v>179</v>
      </c>
      <c r="H77" s="26" t="s">
        <v>180</v>
      </c>
      <c r="I77" s="27"/>
      <c r="J77" s="27"/>
      <c r="K77" s="27">
        <v>300</v>
      </c>
      <c r="L77" s="27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>
        <v>13.06</v>
      </c>
      <c r="AG77" s="29"/>
      <c r="AH77" s="29">
        <f t="shared" si="6"/>
        <v>13.06</v>
      </c>
      <c r="AI77" s="29">
        <f t="shared" si="7"/>
        <v>300</v>
      </c>
      <c r="AJ77" s="126">
        <f t="shared" si="5"/>
        <v>286.94</v>
      </c>
    </row>
    <row r="78" customHeight="1" spans="1:36">
      <c r="A78" s="1" t="e">
        <f>#REF!+#REF!+#REF!+#REF!</f>
        <v>#REF!</v>
      </c>
      <c r="B78" s="1" t="e">
        <f>#REF!+#REF!+#REF!+#REF!</f>
        <v>#REF!</v>
      </c>
      <c r="D78" s="1" t="e">
        <f>#REF!-#REF!+#REF!-#REF!+#REF!-#REF!+#REF!-#REF!+#REF!</f>
        <v>#REF!</v>
      </c>
      <c r="F78" s="25">
        <v>74</v>
      </c>
      <c r="G78" s="25" t="s">
        <v>181</v>
      </c>
      <c r="H78" s="26" t="s">
        <v>182</v>
      </c>
      <c r="I78" s="27"/>
      <c r="J78" s="27"/>
      <c r="K78" s="27">
        <v>300</v>
      </c>
      <c r="L78" s="27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>
        <v>1.09</v>
      </c>
      <c r="AG78" s="29"/>
      <c r="AH78" s="29">
        <f t="shared" si="6"/>
        <v>1.09</v>
      </c>
      <c r="AI78" s="29">
        <f t="shared" si="7"/>
        <v>300</v>
      </c>
      <c r="AJ78" s="126">
        <f t="shared" si="5"/>
        <v>298.91</v>
      </c>
    </row>
    <row r="79" customHeight="1" spans="1:36">
      <c r="A79" s="1" t="e">
        <f>#REF!+#REF!+#REF!+#REF!</f>
        <v>#REF!</v>
      </c>
      <c r="B79" s="1" t="e">
        <f>#REF!+#REF!+#REF!+#REF!</f>
        <v>#REF!</v>
      </c>
      <c r="D79" s="1" t="e">
        <f>#REF!-#REF!+#REF!-#REF!+#REF!-#REF!+#REF!-#REF!+#REF!</f>
        <v>#REF!</v>
      </c>
      <c r="F79" s="25">
        <v>75</v>
      </c>
      <c r="G79" s="25" t="s">
        <v>183</v>
      </c>
      <c r="H79" s="26" t="s">
        <v>184</v>
      </c>
      <c r="I79" s="27"/>
      <c r="J79" s="27"/>
      <c r="K79" s="27">
        <v>300</v>
      </c>
      <c r="L79" s="27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>
        <v>24.49</v>
      </c>
      <c r="AG79" s="29"/>
      <c r="AH79" s="29">
        <f t="shared" si="6"/>
        <v>24.49</v>
      </c>
      <c r="AI79" s="29">
        <f t="shared" si="7"/>
        <v>300</v>
      </c>
      <c r="AJ79" s="126">
        <f t="shared" si="5"/>
        <v>275.51</v>
      </c>
    </row>
    <row r="80" customHeight="1" spans="1:36">
      <c r="A80" s="1" t="e">
        <f>#REF!+#REF!+#REF!+#REF!</f>
        <v>#REF!</v>
      </c>
      <c r="B80" s="1" t="e">
        <f>#REF!+#REF!+#REF!+#REF!</f>
        <v>#REF!</v>
      </c>
      <c r="D80" s="1" t="e">
        <f>#REF!-#REF!+#REF!-#REF!+#REF!-#REF!+#REF!-#REF!+#REF!</f>
        <v>#REF!</v>
      </c>
      <c r="F80" s="25">
        <v>76</v>
      </c>
      <c r="G80" s="25" t="s">
        <v>185</v>
      </c>
      <c r="H80" s="26" t="s">
        <v>186</v>
      </c>
      <c r="I80" s="27"/>
      <c r="J80" s="27"/>
      <c r="K80" s="27">
        <v>300</v>
      </c>
      <c r="L80" s="27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>
        <v>21.76</v>
      </c>
      <c r="AG80" s="29"/>
      <c r="AH80" s="29">
        <f t="shared" si="6"/>
        <v>21.76</v>
      </c>
      <c r="AI80" s="29">
        <f t="shared" si="7"/>
        <v>300</v>
      </c>
      <c r="AJ80" s="126">
        <f t="shared" si="5"/>
        <v>278.24</v>
      </c>
    </row>
    <row r="81" customHeight="1" spans="1:36">
      <c r="A81" s="1" t="e">
        <f>#REF!+#REF!+#REF!+#REF!</f>
        <v>#REF!</v>
      </c>
      <c r="B81" s="1" t="e">
        <f>#REF!+#REF!+#REF!+#REF!</f>
        <v>#REF!</v>
      </c>
      <c r="D81" s="1" t="e">
        <f>#REF!-#REF!+#REF!-#REF!+#REF!-#REF!+#REF!-#REF!+#REF!</f>
        <v>#REF!</v>
      </c>
      <c r="F81" s="25">
        <v>77</v>
      </c>
      <c r="G81" s="25" t="s">
        <v>187</v>
      </c>
      <c r="H81" s="263" t="s">
        <v>188</v>
      </c>
      <c r="I81" s="27"/>
      <c r="J81" s="27"/>
      <c r="K81" s="27">
        <v>300</v>
      </c>
      <c r="L81" s="27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>
        <v>1140.43</v>
      </c>
      <c r="AG81" s="29"/>
      <c r="AH81" s="29">
        <f t="shared" si="6"/>
        <v>1140.43</v>
      </c>
      <c r="AI81" s="29">
        <f t="shared" si="7"/>
        <v>300</v>
      </c>
      <c r="AJ81" s="126">
        <f t="shared" si="5"/>
        <v>-840.43</v>
      </c>
    </row>
    <row r="82" customHeight="1" spans="1:36">
      <c r="A82" s="1" t="e">
        <f>#REF!+#REF!+#REF!+#REF!</f>
        <v>#REF!</v>
      </c>
      <c r="B82" s="1" t="e">
        <f>#REF!+#REF!+#REF!+#REF!</f>
        <v>#REF!</v>
      </c>
      <c r="D82" s="1" t="e">
        <f>#REF!-#REF!+#REF!-#REF!+#REF!-#REF!+#REF!-#REF!+#REF!</f>
        <v>#REF!</v>
      </c>
      <c r="F82" s="25">
        <v>78</v>
      </c>
      <c r="G82" s="25" t="s">
        <v>189</v>
      </c>
      <c r="H82" s="26" t="s">
        <v>190</v>
      </c>
      <c r="I82" s="27"/>
      <c r="J82" s="27"/>
      <c r="K82" s="27">
        <v>300</v>
      </c>
      <c r="L82" s="27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>
        <v>23.94</v>
      </c>
      <c r="AG82" s="29"/>
      <c r="AH82" s="29">
        <f t="shared" si="6"/>
        <v>23.94</v>
      </c>
      <c r="AI82" s="29">
        <f t="shared" si="7"/>
        <v>300</v>
      </c>
      <c r="AJ82" s="126">
        <f t="shared" si="5"/>
        <v>276.06</v>
      </c>
    </row>
    <row r="83" customHeight="1" spans="1:36">
      <c r="A83" s="1" t="e">
        <f>#REF!+#REF!+#REF!+#REF!</f>
        <v>#REF!</v>
      </c>
      <c r="B83" s="1" t="e">
        <f>#REF!+#REF!+#REF!+#REF!</f>
        <v>#REF!</v>
      </c>
      <c r="D83" s="1" t="e">
        <f>#REF!-#REF!+#REF!-#REF!+#REF!-#REF!+#REF!-#REF!+#REF!</f>
        <v>#REF!</v>
      </c>
      <c r="F83" s="25">
        <v>79</v>
      </c>
      <c r="G83" s="25" t="s">
        <v>191</v>
      </c>
      <c r="H83" s="26" t="s">
        <v>192</v>
      </c>
      <c r="I83" s="27"/>
      <c r="J83" s="27"/>
      <c r="K83" s="27">
        <v>300</v>
      </c>
      <c r="L83" s="27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>
        <v>10.88</v>
      </c>
      <c r="AG83" s="29"/>
      <c r="AH83" s="29">
        <f t="shared" si="6"/>
        <v>10.88</v>
      </c>
      <c r="AI83" s="29">
        <f t="shared" si="7"/>
        <v>300</v>
      </c>
      <c r="AJ83" s="126">
        <f t="shared" si="5"/>
        <v>289.12</v>
      </c>
    </row>
    <row r="84" customHeight="1" spans="1:36">
      <c r="A84" s="1" t="e">
        <f>#REF!+#REF!+#REF!+#REF!</f>
        <v>#REF!</v>
      </c>
      <c r="B84" s="1" t="e">
        <f>#REF!+#REF!+#REF!+#REF!</f>
        <v>#REF!</v>
      </c>
      <c r="D84" s="1" t="e">
        <f>#REF!-#REF!+#REF!-#REF!+#REF!-#REF!+#REF!-#REF!+#REF!</f>
        <v>#REF!</v>
      </c>
      <c r="F84" s="25">
        <v>80</v>
      </c>
      <c r="G84" s="25" t="s">
        <v>193</v>
      </c>
      <c r="H84" s="26" t="s">
        <v>194</v>
      </c>
      <c r="I84" s="27"/>
      <c r="J84" s="27"/>
      <c r="K84" s="27"/>
      <c r="L84" s="27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>
        <v>300</v>
      </c>
      <c r="AD84" s="29"/>
      <c r="AE84" s="29"/>
      <c r="AF84" s="29"/>
      <c r="AG84" s="29"/>
      <c r="AH84" s="29">
        <f t="shared" si="6"/>
        <v>0</v>
      </c>
      <c r="AI84" s="29">
        <f t="shared" si="7"/>
        <v>300</v>
      </c>
      <c r="AJ84" s="126">
        <f t="shared" si="5"/>
        <v>300</v>
      </c>
    </row>
    <row r="85" customHeight="1" spans="1:36">
      <c r="A85" s="1" t="e">
        <f>#REF!+#REF!+#REF!+#REF!</f>
        <v>#REF!</v>
      </c>
      <c r="B85" s="1" t="e">
        <f>#REF!+#REF!+#REF!+#REF!</f>
        <v>#REF!</v>
      </c>
      <c r="D85" s="1" t="e">
        <f>#REF!-#REF!+#REF!-#REF!+#REF!-#REF!+#REF!-#REF!+#REF!</f>
        <v>#REF!</v>
      </c>
      <c r="F85" s="25">
        <v>81</v>
      </c>
      <c r="G85" s="25" t="s">
        <v>195</v>
      </c>
      <c r="H85" s="26" t="s">
        <v>196</v>
      </c>
      <c r="I85" s="27"/>
      <c r="J85" s="27"/>
      <c r="K85" s="27">
        <v>300</v>
      </c>
      <c r="L85" s="27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>
        <v>17.41</v>
      </c>
      <c r="AG85" s="29"/>
      <c r="AH85" s="29">
        <f t="shared" si="6"/>
        <v>17.41</v>
      </c>
      <c r="AI85" s="29">
        <f t="shared" si="7"/>
        <v>300</v>
      </c>
      <c r="AJ85" s="126">
        <f t="shared" si="5"/>
        <v>282.59</v>
      </c>
    </row>
    <row r="86" customHeight="1" spans="1:36">
      <c r="A86" s="1" t="e">
        <f>#REF!+#REF!+#REF!+#REF!</f>
        <v>#REF!</v>
      </c>
      <c r="B86" s="1" t="e">
        <f>#REF!+#REF!+#REF!+#REF!</f>
        <v>#REF!</v>
      </c>
      <c r="D86" s="1" t="e">
        <f>#REF!-#REF!+#REF!-#REF!+#REF!-#REF!+#REF!-#REF!+#REF!</f>
        <v>#REF!</v>
      </c>
      <c r="F86" s="25">
        <v>82</v>
      </c>
      <c r="G86" s="25" t="s">
        <v>197</v>
      </c>
      <c r="H86" s="26" t="s">
        <v>198</v>
      </c>
      <c r="I86" s="27"/>
      <c r="J86" s="27"/>
      <c r="K86" s="27">
        <v>300</v>
      </c>
      <c r="L86" s="27"/>
      <c r="M86" s="29"/>
      <c r="N86" s="29"/>
      <c r="O86" s="29">
        <v>2000</v>
      </c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>
        <v>101.75</v>
      </c>
      <c r="AG86" s="29"/>
      <c r="AH86" s="29">
        <f t="shared" si="6"/>
        <v>101.75</v>
      </c>
      <c r="AI86" s="29">
        <f t="shared" si="7"/>
        <v>2300</v>
      </c>
      <c r="AJ86" s="126">
        <f t="shared" si="5"/>
        <v>2198.25</v>
      </c>
    </row>
    <row r="87" customHeight="1" spans="1:36">
      <c r="A87" s="1" t="e">
        <f>#REF!+#REF!+#REF!+#REF!</f>
        <v>#REF!</v>
      </c>
      <c r="B87" s="1" t="e">
        <f>#REF!+#REF!+#REF!+#REF!</f>
        <v>#REF!</v>
      </c>
      <c r="D87" s="1" t="e">
        <f>#REF!-#REF!+#REF!-#REF!+#REF!-#REF!+#REF!-#REF!+#REF!</f>
        <v>#REF!</v>
      </c>
      <c r="F87" s="25">
        <v>83</v>
      </c>
      <c r="G87" s="25" t="s">
        <v>199</v>
      </c>
      <c r="H87" s="26" t="s">
        <v>200</v>
      </c>
      <c r="I87" s="27"/>
      <c r="J87" s="27"/>
      <c r="K87" s="27">
        <v>300</v>
      </c>
      <c r="L87" s="27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>
        <v>237.77</v>
      </c>
      <c r="AG87" s="29"/>
      <c r="AH87" s="29">
        <f t="shared" si="6"/>
        <v>237.77</v>
      </c>
      <c r="AI87" s="29">
        <f t="shared" si="7"/>
        <v>300</v>
      </c>
      <c r="AJ87" s="126">
        <f t="shared" si="5"/>
        <v>62.23</v>
      </c>
    </row>
    <row r="88" customHeight="1" spans="1:36">
      <c r="A88" s="1" t="e">
        <f>#REF!+#REF!+#REF!+#REF!</f>
        <v>#REF!</v>
      </c>
      <c r="B88" s="1" t="e">
        <f>#REF!+#REF!+#REF!+#REF!</f>
        <v>#REF!</v>
      </c>
      <c r="D88" s="1" t="e">
        <f>#REF!-#REF!+#REF!-#REF!+#REF!-#REF!+#REF!-#REF!+#REF!</f>
        <v>#REF!</v>
      </c>
      <c r="F88" s="25">
        <v>84</v>
      </c>
      <c r="G88" s="25" t="s">
        <v>201</v>
      </c>
      <c r="H88" s="26" t="s">
        <v>202</v>
      </c>
      <c r="I88" s="27"/>
      <c r="J88" s="27"/>
      <c r="K88" s="27">
        <v>300</v>
      </c>
      <c r="L88" s="27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>
        <v>7.07</v>
      </c>
      <c r="AG88" s="29"/>
      <c r="AH88" s="29">
        <f t="shared" si="6"/>
        <v>7.07</v>
      </c>
      <c r="AI88" s="29">
        <f t="shared" si="7"/>
        <v>300</v>
      </c>
      <c r="AJ88" s="126">
        <f t="shared" si="5"/>
        <v>292.93</v>
      </c>
    </row>
    <row r="89" customHeight="1" spans="1:36">
      <c r="A89" s="1" t="e">
        <f>#REF!+#REF!+#REF!+#REF!</f>
        <v>#REF!</v>
      </c>
      <c r="B89" s="1" t="e">
        <f>#REF!+#REF!+#REF!+#REF!</f>
        <v>#REF!</v>
      </c>
      <c r="D89" s="1" t="e">
        <f>#REF!-#REF!+#REF!-#REF!+#REF!-#REF!+#REF!-#REF!+#REF!</f>
        <v>#REF!</v>
      </c>
      <c r="F89" s="25">
        <v>85</v>
      </c>
      <c r="G89" s="25" t="s">
        <v>203</v>
      </c>
      <c r="H89" s="26" t="s">
        <v>204</v>
      </c>
      <c r="I89" s="27"/>
      <c r="J89" s="27"/>
      <c r="K89" s="27">
        <v>300</v>
      </c>
      <c r="L89" s="27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>
        <v>338.97</v>
      </c>
      <c r="AG89" s="29"/>
      <c r="AH89" s="29">
        <f t="shared" si="6"/>
        <v>338.97</v>
      </c>
      <c r="AI89" s="29">
        <f t="shared" si="7"/>
        <v>300</v>
      </c>
      <c r="AJ89" s="126">
        <f t="shared" si="5"/>
        <v>-38.97</v>
      </c>
    </row>
    <row r="90" customHeight="1" spans="1:36">
      <c r="A90" s="1" t="e">
        <f>#REF!+#REF!+#REF!+#REF!</f>
        <v>#REF!</v>
      </c>
      <c r="B90" s="1" t="e">
        <f>#REF!+#REF!+#REF!+#REF!</f>
        <v>#REF!</v>
      </c>
      <c r="D90" s="1" t="e">
        <f>#REF!-#REF!+#REF!-#REF!+#REF!-#REF!+#REF!-#REF!+#REF!</f>
        <v>#REF!</v>
      </c>
      <c r="F90" s="25">
        <v>86</v>
      </c>
      <c r="G90" s="25" t="s">
        <v>205</v>
      </c>
      <c r="H90" s="26" t="s">
        <v>206</v>
      </c>
      <c r="I90" s="27"/>
      <c r="J90" s="27"/>
      <c r="K90" s="27">
        <v>300</v>
      </c>
      <c r="L90" s="27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>
        <v>365.64</v>
      </c>
      <c r="AG90" s="29"/>
      <c r="AH90" s="29">
        <f t="shared" si="6"/>
        <v>365.64</v>
      </c>
      <c r="AI90" s="29">
        <f t="shared" si="7"/>
        <v>300</v>
      </c>
      <c r="AJ90" s="126">
        <f t="shared" si="5"/>
        <v>-65.64</v>
      </c>
    </row>
    <row r="91" customHeight="1" spans="1:36">
      <c r="A91" s="1" t="e">
        <f>#REF!+#REF!+#REF!+#REF!</f>
        <v>#REF!</v>
      </c>
      <c r="B91" s="1" t="e">
        <f>#REF!+#REF!+#REF!+#REF!</f>
        <v>#REF!</v>
      </c>
      <c r="D91" s="1" t="e">
        <f>#REF!-#REF!+#REF!-#REF!+#REF!-#REF!+#REF!-#REF!+#REF!</f>
        <v>#REF!</v>
      </c>
      <c r="F91" s="25">
        <v>87</v>
      </c>
      <c r="G91" s="25" t="s">
        <v>207</v>
      </c>
      <c r="H91" s="26" t="s">
        <v>208</v>
      </c>
      <c r="I91" s="27"/>
      <c r="J91" s="27"/>
      <c r="K91" s="27">
        <v>300</v>
      </c>
      <c r="L91" s="27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>
        <v>122.97</v>
      </c>
      <c r="AG91" s="29"/>
      <c r="AH91" s="29">
        <f t="shared" si="6"/>
        <v>122.97</v>
      </c>
      <c r="AI91" s="29">
        <f t="shared" si="7"/>
        <v>300</v>
      </c>
      <c r="AJ91" s="126">
        <f t="shared" si="5"/>
        <v>177.03</v>
      </c>
    </row>
    <row r="92" customHeight="1" spans="1:36">
      <c r="A92" s="1" t="e">
        <f>#REF!+#REF!+#REF!+#REF!</f>
        <v>#REF!</v>
      </c>
      <c r="B92" s="1" t="e">
        <f>#REF!+#REF!+#REF!+#REF!</f>
        <v>#REF!</v>
      </c>
      <c r="D92" s="1" t="e">
        <f>#REF!-#REF!+#REF!-#REF!+#REF!-#REF!+#REF!-#REF!+#REF!</f>
        <v>#REF!</v>
      </c>
      <c r="F92" s="25">
        <v>88</v>
      </c>
      <c r="G92" s="25" t="s">
        <v>209</v>
      </c>
      <c r="H92" s="26" t="s">
        <v>210</v>
      </c>
      <c r="I92" s="27"/>
      <c r="J92" s="27"/>
      <c r="K92" s="27">
        <v>300</v>
      </c>
      <c r="L92" s="27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>
        <v>16.86</v>
      </c>
      <c r="AG92" s="29"/>
      <c r="AH92" s="29">
        <f t="shared" si="6"/>
        <v>16.86</v>
      </c>
      <c r="AI92" s="29">
        <f t="shared" si="7"/>
        <v>300</v>
      </c>
      <c r="AJ92" s="126">
        <f t="shared" si="5"/>
        <v>283.14</v>
      </c>
    </row>
    <row r="93" customHeight="1" spans="1:36">
      <c r="A93" s="1" t="e">
        <f>#REF!+#REF!+#REF!+#REF!</f>
        <v>#REF!</v>
      </c>
      <c r="B93" s="1" t="e">
        <f>#REF!+#REF!+#REF!+#REF!</f>
        <v>#REF!</v>
      </c>
      <c r="D93" s="1" t="e">
        <f>#REF!-#REF!+#REF!-#REF!+#REF!-#REF!+#REF!-#REF!+#REF!</f>
        <v>#REF!</v>
      </c>
      <c r="F93" s="25">
        <v>89</v>
      </c>
      <c r="G93" s="25" t="s">
        <v>211</v>
      </c>
      <c r="H93" s="26" t="s">
        <v>212</v>
      </c>
      <c r="I93" s="27"/>
      <c r="J93" s="27"/>
      <c r="K93" s="27">
        <v>300</v>
      </c>
      <c r="L93" s="27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>
        <v>150.72</v>
      </c>
      <c r="AG93" s="29"/>
      <c r="AH93" s="29">
        <f t="shared" si="6"/>
        <v>150.72</v>
      </c>
      <c r="AI93" s="29">
        <f t="shared" si="7"/>
        <v>300</v>
      </c>
      <c r="AJ93" s="126">
        <f t="shared" si="5"/>
        <v>149.28</v>
      </c>
    </row>
    <row r="94" customHeight="1" spans="1:36">
      <c r="A94" s="1" t="e">
        <f>#REF!+#REF!+#REF!+#REF!</f>
        <v>#REF!</v>
      </c>
      <c r="B94" s="1" t="e">
        <f>#REF!+#REF!+#REF!+#REF!</f>
        <v>#REF!</v>
      </c>
      <c r="D94" s="1" t="e">
        <f>#REF!-#REF!+#REF!-#REF!+#REF!-#REF!+#REF!-#REF!+#REF!</f>
        <v>#REF!</v>
      </c>
      <c r="F94" s="25">
        <v>90</v>
      </c>
      <c r="G94" s="25" t="s">
        <v>213</v>
      </c>
      <c r="H94" s="26" t="s">
        <v>214</v>
      </c>
      <c r="I94" s="27"/>
      <c r="J94" s="27"/>
      <c r="K94" s="27">
        <v>300</v>
      </c>
      <c r="L94" s="27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>
        <v>59.85</v>
      </c>
      <c r="AG94" s="29"/>
      <c r="AH94" s="29">
        <f t="shared" si="6"/>
        <v>59.85</v>
      </c>
      <c r="AI94" s="29">
        <f t="shared" si="7"/>
        <v>300</v>
      </c>
      <c r="AJ94" s="126">
        <f t="shared" si="5"/>
        <v>240.15</v>
      </c>
    </row>
    <row r="95" customHeight="1" spans="1:36">
      <c r="A95" s="1" t="e">
        <f>#REF!+#REF!+#REF!+#REF!</f>
        <v>#REF!</v>
      </c>
      <c r="B95" s="1" t="e">
        <f>#REF!+#REF!+#REF!+#REF!</f>
        <v>#REF!</v>
      </c>
      <c r="D95" s="1" t="e">
        <f>#REF!-#REF!+#REF!-#REF!+#REF!-#REF!+#REF!-#REF!+#REF!</f>
        <v>#REF!</v>
      </c>
      <c r="F95" s="25">
        <v>91</v>
      </c>
      <c r="G95" s="25" t="s">
        <v>215</v>
      </c>
      <c r="H95" s="26" t="s">
        <v>216</v>
      </c>
      <c r="I95" s="27"/>
      <c r="J95" s="27"/>
      <c r="K95" s="27">
        <v>300</v>
      </c>
      <c r="L95" s="27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>
        <v>773.71</v>
      </c>
      <c r="AG95" s="29"/>
      <c r="AH95" s="29">
        <f t="shared" si="6"/>
        <v>773.71</v>
      </c>
      <c r="AI95" s="29">
        <f t="shared" si="7"/>
        <v>300</v>
      </c>
      <c r="AJ95" s="126">
        <f t="shared" si="5"/>
        <v>-473.71</v>
      </c>
    </row>
    <row r="96" customHeight="1" spans="1:36">
      <c r="A96" s="1" t="e">
        <f>#REF!+#REF!+#REF!+#REF!</f>
        <v>#REF!</v>
      </c>
      <c r="B96" s="1" t="e">
        <f>#REF!+#REF!+#REF!+#REF!</f>
        <v>#REF!</v>
      </c>
      <c r="D96" s="1" t="e">
        <f>#REF!-#REF!+#REF!-#REF!+#REF!-#REF!+#REF!-#REF!+#REF!</f>
        <v>#REF!</v>
      </c>
      <c r="F96" s="25">
        <v>92</v>
      </c>
      <c r="G96" s="25" t="s">
        <v>217</v>
      </c>
      <c r="H96" s="26" t="s">
        <v>218</v>
      </c>
      <c r="I96" s="27"/>
      <c r="J96" s="27"/>
      <c r="K96" s="27">
        <v>300</v>
      </c>
      <c r="L96" s="27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>
        <v>71.54</v>
      </c>
      <c r="AG96" s="29"/>
      <c r="AH96" s="29">
        <f t="shared" si="6"/>
        <v>71.54</v>
      </c>
      <c r="AI96" s="29">
        <f t="shared" si="7"/>
        <v>300</v>
      </c>
      <c r="AJ96" s="126">
        <f t="shared" si="5"/>
        <v>228.46</v>
      </c>
    </row>
    <row r="97" customHeight="1" spans="1:36">
      <c r="A97" s="1" t="e">
        <f>#REF!+#REF!+#REF!+#REF!</f>
        <v>#REF!</v>
      </c>
      <c r="B97" s="1" t="e">
        <f>#REF!+#REF!+#REF!+#REF!</f>
        <v>#REF!</v>
      </c>
      <c r="D97" s="1" t="e">
        <f>#REF!-#REF!+#REF!-#REF!+#REF!-#REF!+#REF!-#REF!+#REF!</f>
        <v>#REF!</v>
      </c>
      <c r="F97" s="25">
        <v>93</v>
      </c>
      <c r="G97" s="25" t="s">
        <v>219</v>
      </c>
      <c r="H97" s="26" t="s">
        <v>220</v>
      </c>
      <c r="I97" s="27"/>
      <c r="J97" s="27"/>
      <c r="K97" s="27">
        <v>300</v>
      </c>
      <c r="L97" s="27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>
        <f t="shared" si="6"/>
        <v>0</v>
      </c>
      <c r="AI97" s="29">
        <f t="shared" si="7"/>
        <v>300</v>
      </c>
      <c r="AJ97" s="126">
        <f t="shared" si="5"/>
        <v>300</v>
      </c>
    </row>
    <row r="98" customHeight="1" spans="1:36">
      <c r="A98" s="1" t="e">
        <f>#REF!+#REF!+#REF!+#REF!</f>
        <v>#REF!</v>
      </c>
      <c r="B98" s="1" t="e">
        <f>#REF!+#REF!+#REF!+#REF!</f>
        <v>#REF!</v>
      </c>
      <c r="D98" s="1" t="e">
        <f>#REF!-#REF!+#REF!-#REF!+#REF!-#REF!+#REF!-#REF!+#REF!</f>
        <v>#REF!</v>
      </c>
      <c r="F98" s="25">
        <v>94</v>
      </c>
      <c r="G98" s="25" t="s">
        <v>221</v>
      </c>
      <c r="H98" s="26" t="s">
        <v>222</v>
      </c>
      <c r="I98" s="27"/>
      <c r="J98" s="27"/>
      <c r="K98" s="27">
        <v>300</v>
      </c>
      <c r="L98" s="27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>
        <f t="shared" si="6"/>
        <v>0</v>
      </c>
      <c r="AI98" s="29">
        <f t="shared" si="7"/>
        <v>300</v>
      </c>
      <c r="AJ98" s="126">
        <f t="shared" si="5"/>
        <v>300</v>
      </c>
    </row>
    <row r="99" customHeight="1" spans="1:36">
      <c r="A99" s="1" t="e">
        <f>#REF!+#REF!+#REF!+#REF!</f>
        <v>#REF!</v>
      </c>
      <c r="B99" s="1" t="e">
        <f>#REF!+#REF!+#REF!+#REF!</f>
        <v>#REF!</v>
      </c>
      <c r="D99" s="1" t="e">
        <f>#REF!-#REF!+#REF!-#REF!+#REF!-#REF!+#REF!-#REF!+#REF!</f>
        <v>#REF!</v>
      </c>
      <c r="F99" s="25">
        <v>95</v>
      </c>
      <c r="G99" s="25" t="s">
        <v>223</v>
      </c>
      <c r="H99" s="26" t="s">
        <v>224</v>
      </c>
      <c r="I99" s="27"/>
      <c r="J99" s="27"/>
      <c r="K99" s="27">
        <v>300</v>
      </c>
      <c r="L99" s="27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>
        <v>402.09</v>
      </c>
      <c r="AG99" s="29"/>
      <c r="AH99" s="29">
        <f t="shared" si="6"/>
        <v>402.09</v>
      </c>
      <c r="AI99" s="29">
        <f t="shared" si="7"/>
        <v>300</v>
      </c>
      <c r="AJ99" s="126">
        <f t="shared" si="5"/>
        <v>-102.09</v>
      </c>
    </row>
    <row r="100" customHeight="1" spans="1:36">
      <c r="A100" s="1" t="e">
        <f>#REF!+#REF!+#REF!+#REF!</f>
        <v>#REF!</v>
      </c>
      <c r="B100" s="1" t="e">
        <f>#REF!+#REF!+#REF!+#REF!</f>
        <v>#REF!</v>
      </c>
      <c r="D100" s="1" t="e">
        <f>#REF!-#REF!+#REF!-#REF!+#REF!-#REF!+#REF!-#REF!+#REF!</f>
        <v>#REF!</v>
      </c>
      <c r="F100" s="25">
        <v>96</v>
      </c>
      <c r="G100" s="25" t="s">
        <v>225</v>
      </c>
      <c r="H100" s="26" t="s">
        <v>226</v>
      </c>
      <c r="I100" s="27"/>
      <c r="J100" s="27"/>
      <c r="K100" s="27">
        <v>300</v>
      </c>
      <c r="L100" s="27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>
        <v>45.7</v>
      </c>
      <c r="AG100" s="29"/>
      <c r="AH100" s="29">
        <f t="shared" si="6"/>
        <v>45.7</v>
      </c>
      <c r="AI100" s="29">
        <f t="shared" si="7"/>
        <v>300</v>
      </c>
      <c r="AJ100" s="126">
        <f t="shared" si="5"/>
        <v>254.3</v>
      </c>
    </row>
    <row r="101" customHeight="1" spans="1:36">
      <c r="A101" s="1" t="e">
        <f>#REF!+#REF!+#REF!+#REF!</f>
        <v>#REF!</v>
      </c>
      <c r="B101" s="1" t="e">
        <f>#REF!+#REF!+#REF!+#REF!</f>
        <v>#REF!</v>
      </c>
      <c r="D101" s="1" t="e">
        <f>#REF!-#REF!+#REF!-#REF!+#REF!-#REF!+#REF!-#REF!+#REF!</f>
        <v>#REF!</v>
      </c>
      <c r="F101" s="25">
        <v>97</v>
      </c>
      <c r="G101" s="25" t="s">
        <v>227</v>
      </c>
      <c r="H101" s="26" t="s">
        <v>228</v>
      </c>
      <c r="I101" s="27"/>
      <c r="J101" s="27"/>
      <c r="K101" s="27">
        <v>300</v>
      </c>
      <c r="L101" s="27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>
        <v>16.87</v>
      </c>
      <c r="AG101" s="29"/>
      <c r="AH101" s="29">
        <f t="shared" si="6"/>
        <v>16.87</v>
      </c>
      <c r="AI101" s="29">
        <f t="shared" si="7"/>
        <v>300</v>
      </c>
      <c r="AJ101" s="126">
        <f t="shared" si="5"/>
        <v>283.13</v>
      </c>
    </row>
    <row r="102" customHeight="1" spans="1:36">
      <c r="A102" s="1" t="e">
        <f>#REF!+#REF!+#REF!+#REF!</f>
        <v>#REF!</v>
      </c>
      <c r="B102" s="1" t="e">
        <f>#REF!+#REF!+#REF!+#REF!</f>
        <v>#REF!</v>
      </c>
      <c r="D102" s="1" t="e">
        <f>#REF!-#REF!+#REF!-#REF!+#REF!-#REF!+#REF!-#REF!+#REF!</f>
        <v>#REF!</v>
      </c>
      <c r="F102" s="25">
        <v>98</v>
      </c>
      <c r="G102" s="25" t="s">
        <v>229</v>
      </c>
      <c r="H102" s="26" t="s">
        <v>230</v>
      </c>
      <c r="I102" s="27"/>
      <c r="J102" s="27"/>
      <c r="K102" s="27">
        <v>300</v>
      </c>
      <c r="L102" s="27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>
        <v>63.12</v>
      </c>
      <c r="AG102" s="29"/>
      <c r="AH102" s="29">
        <f t="shared" ref="AH102:AH136" si="8">AF102</f>
        <v>63.12</v>
      </c>
      <c r="AI102" s="29">
        <f t="shared" ref="AI102:AI136" si="9">AG102+AE102+AC102+AA102+Y102+W102+U102+S102+Q102+O102+M102+K102</f>
        <v>300</v>
      </c>
      <c r="AJ102" s="126">
        <f t="shared" si="5"/>
        <v>236.88</v>
      </c>
    </row>
    <row r="103" customHeight="1" spans="1:36">
      <c r="A103" s="1" t="e">
        <f>#REF!+#REF!+#REF!+#REF!</f>
        <v>#REF!</v>
      </c>
      <c r="B103" s="1" t="e">
        <f>#REF!+#REF!+#REF!+#REF!</f>
        <v>#REF!</v>
      </c>
      <c r="D103" s="1" t="e">
        <f>#REF!-#REF!+#REF!-#REF!+#REF!-#REF!+#REF!-#REF!+#REF!</f>
        <v>#REF!</v>
      </c>
      <c r="F103" s="25">
        <v>99</v>
      </c>
      <c r="G103" s="25" t="s">
        <v>231</v>
      </c>
      <c r="H103" s="26" t="s">
        <v>232</v>
      </c>
      <c r="I103" s="27"/>
      <c r="J103" s="27"/>
      <c r="K103" s="27">
        <v>300</v>
      </c>
      <c r="L103" s="27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>
        <v>100</v>
      </c>
      <c r="AF103" s="29">
        <v>15.78</v>
      </c>
      <c r="AG103" s="29"/>
      <c r="AH103" s="29">
        <f t="shared" si="8"/>
        <v>15.78</v>
      </c>
      <c r="AI103" s="29">
        <f t="shared" si="9"/>
        <v>400</v>
      </c>
      <c r="AJ103" s="126">
        <f t="shared" si="5"/>
        <v>384.22</v>
      </c>
    </row>
    <row r="104" customHeight="1" spans="1:36">
      <c r="A104" s="1" t="e">
        <f>#REF!+#REF!+#REF!+#REF!</f>
        <v>#REF!</v>
      </c>
      <c r="B104" s="1" t="e">
        <f>#REF!+#REF!+#REF!+#REF!</f>
        <v>#REF!</v>
      </c>
      <c r="D104" s="1" t="e">
        <f>#REF!-#REF!+#REF!-#REF!+#REF!-#REF!+#REF!-#REF!+#REF!</f>
        <v>#REF!</v>
      </c>
      <c r="F104" s="25">
        <v>100</v>
      </c>
      <c r="G104" s="25" t="s">
        <v>233</v>
      </c>
      <c r="H104" s="26" t="s">
        <v>234</v>
      </c>
      <c r="I104" s="27"/>
      <c r="J104" s="27"/>
      <c r="K104" s="27">
        <v>300</v>
      </c>
      <c r="L104" s="27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>
        <v>215.46</v>
      </c>
      <c r="AG104" s="29"/>
      <c r="AH104" s="29">
        <f t="shared" si="8"/>
        <v>215.46</v>
      </c>
      <c r="AI104" s="29">
        <f t="shared" si="9"/>
        <v>300</v>
      </c>
      <c r="AJ104" s="126">
        <f t="shared" si="5"/>
        <v>84.54</v>
      </c>
    </row>
    <row r="105" customHeight="1" spans="1:36">
      <c r="A105" s="1" t="e">
        <f>#REF!+#REF!+#REF!+#REF!</f>
        <v>#REF!</v>
      </c>
      <c r="B105" s="1" t="e">
        <f>#REF!+#REF!+#REF!+#REF!</f>
        <v>#REF!</v>
      </c>
      <c r="D105" s="1" t="e">
        <f>#REF!-#REF!+#REF!-#REF!+#REF!-#REF!+#REF!-#REF!+#REF!</f>
        <v>#REF!</v>
      </c>
      <c r="F105" s="25">
        <v>101</v>
      </c>
      <c r="G105" s="25" t="s">
        <v>235</v>
      </c>
      <c r="H105" s="26" t="s">
        <v>236</v>
      </c>
      <c r="I105" s="27"/>
      <c r="J105" s="27"/>
      <c r="K105" s="27">
        <v>300</v>
      </c>
      <c r="L105" s="27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>
        <v>1000</v>
      </c>
      <c r="AD105" s="29"/>
      <c r="AE105" s="29"/>
      <c r="AF105" s="29">
        <v>920.62</v>
      </c>
      <c r="AG105" s="29"/>
      <c r="AH105" s="29">
        <f t="shared" si="8"/>
        <v>920.62</v>
      </c>
      <c r="AI105" s="29">
        <f t="shared" si="9"/>
        <v>1300</v>
      </c>
      <c r="AJ105" s="126">
        <f t="shared" si="5"/>
        <v>379.38</v>
      </c>
    </row>
    <row r="106" customHeight="1" spans="1:36">
      <c r="A106" s="1" t="e">
        <f>#REF!+#REF!+#REF!+#REF!</f>
        <v>#REF!</v>
      </c>
      <c r="B106" s="1" t="e">
        <f>#REF!+#REF!+#REF!+#REF!</f>
        <v>#REF!</v>
      </c>
      <c r="D106" s="1" t="e">
        <f>#REF!-#REF!+#REF!-#REF!+#REF!-#REF!+#REF!-#REF!+#REF!</f>
        <v>#REF!</v>
      </c>
      <c r="F106" s="25">
        <v>102</v>
      </c>
      <c r="G106" s="25" t="s">
        <v>237</v>
      </c>
      <c r="H106" s="26" t="s">
        <v>238</v>
      </c>
      <c r="I106" s="27"/>
      <c r="J106" s="27"/>
      <c r="K106" s="27">
        <v>300</v>
      </c>
      <c r="L106" s="27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>
        <f t="shared" si="8"/>
        <v>0</v>
      </c>
      <c r="AI106" s="29">
        <f t="shared" si="9"/>
        <v>300</v>
      </c>
      <c r="AJ106" s="126">
        <f t="shared" si="5"/>
        <v>300</v>
      </c>
    </row>
    <row r="107" customHeight="1" spans="1:36">
      <c r="A107" s="1" t="e">
        <f>#REF!+#REF!+#REF!+#REF!</f>
        <v>#REF!</v>
      </c>
      <c r="B107" s="1" t="e">
        <f>#REF!+#REF!+#REF!+#REF!</f>
        <v>#REF!</v>
      </c>
      <c r="D107" s="1" t="e">
        <f>#REF!-#REF!+#REF!-#REF!+#REF!-#REF!+#REF!-#REF!+#REF!</f>
        <v>#REF!</v>
      </c>
      <c r="F107" s="25">
        <v>103</v>
      </c>
      <c r="G107" s="25" t="s">
        <v>239</v>
      </c>
      <c r="H107" s="26" t="s">
        <v>240</v>
      </c>
      <c r="I107" s="27"/>
      <c r="J107" s="27"/>
      <c r="K107" s="27">
        <v>300</v>
      </c>
      <c r="L107" s="27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>
        <v>27.2</v>
      </c>
      <c r="AG107" s="29"/>
      <c r="AH107" s="29">
        <f t="shared" si="8"/>
        <v>27.2</v>
      </c>
      <c r="AI107" s="29">
        <f t="shared" si="9"/>
        <v>300</v>
      </c>
      <c r="AJ107" s="126">
        <f t="shared" si="5"/>
        <v>272.8</v>
      </c>
    </row>
    <row r="108" customHeight="1" spans="1:36">
      <c r="A108" s="1" t="e">
        <f>#REF!+#REF!+#REF!+#REF!</f>
        <v>#REF!</v>
      </c>
      <c r="B108" s="1" t="e">
        <f>#REF!+#REF!+#REF!+#REF!</f>
        <v>#REF!</v>
      </c>
      <c r="D108" s="1" t="e">
        <f>#REF!-#REF!+#REF!-#REF!+#REF!-#REF!+#REF!-#REF!+#REF!</f>
        <v>#REF!</v>
      </c>
      <c r="F108" s="25">
        <v>104</v>
      </c>
      <c r="G108" s="25" t="s">
        <v>241</v>
      </c>
      <c r="H108" s="26" t="s">
        <v>242</v>
      </c>
      <c r="I108" s="27"/>
      <c r="J108" s="27"/>
      <c r="K108" s="27"/>
      <c r="L108" s="27"/>
      <c r="M108" s="29"/>
      <c r="N108" s="29"/>
      <c r="O108" s="29">
        <v>300</v>
      </c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>
        <v>32.1</v>
      </c>
      <c r="AG108" s="29"/>
      <c r="AH108" s="29">
        <f t="shared" si="8"/>
        <v>32.1</v>
      </c>
      <c r="AI108" s="29">
        <f t="shared" si="9"/>
        <v>300</v>
      </c>
      <c r="AJ108" s="126">
        <f t="shared" si="5"/>
        <v>267.9</v>
      </c>
    </row>
    <row r="109" customHeight="1" spans="1:36">
      <c r="A109" s="1" t="e">
        <f>#REF!+#REF!+#REF!+#REF!</f>
        <v>#REF!</v>
      </c>
      <c r="B109" s="1" t="e">
        <f>#REF!+#REF!+#REF!+#REF!</f>
        <v>#REF!</v>
      </c>
      <c r="D109" s="1" t="e">
        <f>#REF!-#REF!+#REF!-#REF!+#REF!-#REF!+#REF!-#REF!+#REF!</f>
        <v>#REF!</v>
      </c>
      <c r="F109" s="25">
        <v>105</v>
      </c>
      <c r="G109" s="25" t="s">
        <v>243</v>
      </c>
      <c r="H109" s="26" t="s">
        <v>244</v>
      </c>
      <c r="I109" s="27"/>
      <c r="J109" s="27"/>
      <c r="K109" s="27">
        <v>300</v>
      </c>
      <c r="L109" s="27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>
        <v>65.29</v>
      </c>
      <c r="AG109" s="29"/>
      <c r="AH109" s="29">
        <f t="shared" si="8"/>
        <v>65.29</v>
      </c>
      <c r="AI109" s="29">
        <f t="shared" si="9"/>
        <v>300</v>
      </c>
      <c r="AJ109" s="126">
        <f t="shared" si="5"/>
        <v>234.71</v>
      </c>
    </row>
    <row r="110" customHeight="1" spans="1:36">
      <c r="A110" s="1" t="e">
        <f>#REF!+#REF!+#REF!+#REF!</f>
        <v>#REF!</v>
      </c>
      <c r="B110" s="1" t="e">
        <f>#REF!+#REF!+#REF!+#REF!</f>
        <v>#REF!</v>
      </c>
      <c r="D110" s="1" t="e">
        <f>#REF!-#REF!+#REF!-#REF!+#REF!-#REF!+#REF!-#REF!+#REF!</f>
        <v>#REF!</v>
      </c>
      <c r="F110" s="25">
        <v>106</v>
      </c>
      <c r="G110" s="25" t="s">
        <v>245</v>
      </c>
      <c r="H110" s="26" t="s">
        <v>246</v>
      </c>
      <c r="I110" s="27"/>
      <c r="J110" s="27"/>
      <c r="K110" s="27">
        <v>300</v>
      </c>
      <c r="L110" s="27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>
        <v>659.99</v>
      </c>
      <c r="AG110" s="29"/>
      <c r="AH110" s="29">
        <f t="shared" si="8"/>
        <v>659.99</v>
      </c>
      <c r="AI110" s="29">
        <f t="shared" si="9"/>
        <v>300</v>
      </c>
      <c r="AJ110" s="126">
        <f t="shared" si="5"/>
        <v>-359.99</v>
      </c>
    </row>
    <row r="111" customHeight="1" spans="1:36">
      <c r="A111" s="1" t="e">
        <f>#REF!+#REF!+#REF!+#REF!</f>
        <v>#REF!</v>
      </c>
      <c r="B111" s="1" t="e">
        <f>#REF!+#REF!+#REF!+#REF!</f>
        <v>#REF!</v>
      </c>
      <c r="D111" s="1" t="e">
        <f>#REF!-#REF!+#REF!-#REF!+#REF!-#REF!+#REF!-#REF!+#REF!</f>
        <v>#REF!</v>
      </c>
      <c r="F111" s="25">
        <v>107</v>
      </c>
      <c r="G111" s="25" t="s">
        <v>247</v>
      </c>
      <c r="H111" s="26" t="s">
        <v>248</v>
      </c>
      <c r="I111" s="27"/>
      <c r="J111" s="27"/>
      <c r="K111" s="27">
        <v>300</v>
      </c>
      <c r="L111" s="27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>
        <v>18.5</v>
      </c>
      <c r="AG111" s="29"/>
      <c r="AH111" s="29">
        <f t="shared" si="8"/>
        <v>18.5</v>
      </c>
      <c r="AI111" s="29">
        <f t="shared" si="9"/>
        <v>300</v>
      </c>
      <c r="AJ111" s="126">
        <f t="shared" si="5"/>
        <v>281.5</v>
      </c>
    </row>
    <row r="112" customHeight="1" spans="1:36">
      <c r="A112" s="1" t="e">
        <f>#REF!+#REF!+#REF!+#REF!</f>
        <v>#REF!</v>
      </c>
      <c r="B112" s="1" t="e">
        <f>#REF!+#REF!+#REF!+#REF!</f>
        <v>#REF!</v>
      </c>
      <c r="D112" s="1" t="e">
        <f>#REF!-#REF!+#REF!-#REF!+#REF!-#REF!+#REF!-#REF!+#REF!</f>
        <v>#REF!</v>
      </c>
      <c r="F112" s="25">
        <v>108</v>
      </c>
      <c r="G112" s="25" t="s">
        <v>249</v>
      </c>
      <c r="H112" s="26" t="s">
        <v>250</v>
      </c>
      <c r="I112" s="27"/>
      <c r="J112" s="27"/>
      <c r="K112" s="27">
        <v>300</v>
      </c>
      <c r="L112" s="27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>
        <v>184.99</v>
      </c>
      <c r="AG112" s="29"/>
      <c r="AH112" s="29">
        <f t="shared" si="8"/>
        <v>184.99</v>
      </c>
      <c r="AI112" s="29">
        <f t="shared" si="9"/>
        <v>300</v>
      </c>
      <c r="AJ112" s="126">
        <f t="shared" si="5"/>
        <v>115.01</v>
      </c>
    </row>
    <row r="113" customHeight="1" spans="1:36">
      <c r="A113" s="1" t="e">
        <f>#REF!+#REF!+#REF!+#REF!</f>
        <v>#REF!</v>
      </c>
      <c r="B113" s="1" t="e">
        <f>#REF!+#REF!+#REF!+#REF!</f>
        <v>#REF!</v>
      </c>
      <c r="D113" s="1" t="e">
        <f>#REF!-#REF!+#REF!-#REF!+#REF!-#REF!+#REF!-#REF!+#REF!</f>
        <v>#REF!</v>
      </c>
      <c r="F113" s="25">
        <v>109</v>
      </c>
      <c r="G113" s="25" t="s">
        <v>251</v>
      </c>
      <c r="H113" s="26" t="s">
        <v>252</v>
      </c>
      <c r="I113" s="27"/>
      <c r="J113" s="27"/>
      <c r="K113" s="27">
        <v>300</v>
      </c>
      <c r="L113" s="27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>
        <f t="shared" si="8"/>
        <v>0</v>
      </c>
      <c r="AI113" s="29">
        <f t="shared" si="9"/>
        <v>300</v>
      </c>
      <c r="AJ113" s="126">
        <f t="shared" si="5"/>
        <v>300</v>
      </c>
    </row>
    <row r="114" customHeight="1" spans="1:36">
      <c r="A114" s="1" t="e">
        <f>#REF!+#REF!+#REF!+#REF!</f>
        <v>#REF!</v>
      </c>
      <c r="B114" s="1" t="e">
        <f>#REF!+#REF!+#REF!+#REF!</f>
        <v>#REF!</v>
      </c>
      <c r="D114" s="1" t="e">
        <f>#REF!-#REF!+#REF!-#REF!+#REF!-#REF!+#REF!-#REF!+#REF!</f>
        <v>#REF!</v>
      </c>
      <c r="F114" s="25">
        <v>110</v>
      </c>
      <c r="G114" s="25" t="s">
        <v>253</v>
      </c>
      <c r="H114" s="26" t="s">
        <v>254</v>
      </c>
      <c r="I114" s="27"/>
      <c r="J114" s="27"/>
      <c r="K114" s="27"/>
      <c r="L114" s="27"/>
      <c r="M114" s="29"/>
      <c r="N114" s="29"/>
      <c r="O114" s="29"/>
      <c r="P114" s="29"/>
      <c r="Q114" s="29"/>
      <c r="R114" s="29"/>
      <c r="S114" s="29"/>
      <c r="T114" s="29"/>
      <c r="U114" s="29">
        <v>300</v>
      </c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>
        <v>29.93</v>
      </c>
      <c r="AG114" s="29"/>
      <c r="AH114" s="29">
        <f t="shared" si="8"/>
        <v>29.93</v>
      </c>
      <c r="AI114" s="29">
        <f t="shared" si="9"/>
        <v>300</v>
      </c>
      <c r="AJ114" s="126">
        <f t="shared" si="5"/>
        <v>270.07</v>
      </c>
    </row>
    <row r="115" customHeight="1" spans="1:36">
      <c r="A115" s="1" t="e">
        <f>#REF!+#REF!+#REF!+#REF!</f>
        <v>#REF!</v>
      </c>
      <c r="B115" s="1" t="e">
        <f>#REF!+#REF!+#REF!+#REF!</f>
        <v>#REF!</v>
      </c>
      <c r="D115" s="1" t="e">
        <f>#REF!-#REF!+#REF!-#REF!+#REF!-#REF!+#REF!-#REF!+#REF!</f>
        <v>#REF!</v>
      </c>
      <c r="F115" s="25">
        <v>111</v>
      </c>
      <c r="G115" s="25" t="s">
        <v>255</v>
      </c>
      <c r="H115" s="26" t="s">
        <v>256</v>
      </c>
      <c r="I115" s="27"/>
      <c r="J115" s="27"/>
      <c r="K115" s="27">
        <v>300</v>
      </c>
      <c r="L115" s="27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>
        <v>17.41</v>
      </c>
      <c r="AG115" s="29"/>
      <c r="AH115" s="29">
        <f t="shared" si="8"/>
        <v>17.41</v>
      </c>
      <c r="AI115" s="29">
        <f t="shared" si="9"/>
        <v>300</v>
      </c>
      <c r="AJ115" s="126">
        <f t="shared" si="5"/>
        <v>282.59</v>
      </c>
    </row>
    <row r="116" customHeight="1" spans="1:36">
      <c r="A116" s="1" t="e">
        <f>#REF!+#REF!+#REF!+#REF!</f>
        <v>#REF!</v>
      </c>
      <c r="B116" s="1" t="e">
        <f>#REF!+#REF!+#REF!+#REF!</f>
        <v>#REF!</v>
      </c>
      <c r="D116" s="1" t="e">
        <f>#REF!-#REF!+#REF!-#REF!+#REF!-#REF!+#REF!-#REF!+#REF!</f>
        <v>#REF!</v>
      </c>
      <c r="F116" s="25">
        <v>112</v>
      </c>
      <c r="G116" s="25" t="s">
        <v>257</v>
      </c>
      <c r="H116" s="26" t="s">
        <v>258</v>
      </c>
      <c r="I116" s="27"/>
      <c r="J116" s="27"/>
      <c r="K116" s="27">
        <v>300</v>
      </c>
      <c r="L116" s="27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>
        <v>1059.36</v>
      </c>
      <c r="AG116" s="29">
        <v>1000</v>
      </c>
      <c r="AH116" s="29">
        <f t="shared" si="8"/>
        <v>1059.36</v>
      </c>
      <c r="AI116" s="29">
        <f t="shared" si="9"/>
        <v>1300</v>
      </c>
      <c r="AJ116" s="126">
        <f t="shared" si="5"/>
        <v>240.64</v>
      </c>
    </row>
    <row r="117" customHeight="1" spans="1:36">
      <c r="A117" s="1" t="e">
        <f>#REF!+#REF!+#REF!+#REF!</f>
        <v>#REF!</v>
      </c>
      <c r="B117" s="1" t="e">
        <f>#REF!+#REF!+#REF!+#REF!</f>
        <v>#REF!</v>
      </c>
      <c r="D117" s="1" t="e">
        <f>#REF!-#REF!+#REF!-#REF!+#REF!-#REF!+#REF!-#REF!+#REF!</f>
        <v>#REF!</v>
      </c>
      <c r="F117" s="25">
        <v>113</v>
      </c>
      <c r="G117" s="25" t="s">
        <v>259</v>
      </c>
      <c r="H117" s="26" t="s">
        <v>260</v>
      </c>
      <c r="I117" s="27"/>
      <c r="J117" s="27"/>
      <c r="K117" s="27">
        <v>300</v>
      </c>
      <c r="L117" s="27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>
        <f t="shared" si="8"/>
        <v>0</v>
      </c>
      <c r="AI117" s="29">
        <f t="shared" si="9"/>
        <v>300</v>
      </c>
      <c r="AJ117" s="126">
        <f t="shared" si="5"/>
        <v>300</v>
      </c>
    </row>
    <row r="118" customHeight="1" spans="1:36">
      <c r="A118" s="1" t="e">
        <f>#REF!+#REF!+#REF!+#REF!</f>
        <v>#REF!</v>
      </c>
      <c r="B118" s="1" t="e">
        <f>#REF!+#REF!+#REF!+#REF!</f>
        <v>#REF!</v>
      </c>
      <c r="D118" s="1" t="e">
        <f>#REF!-#REF!+#REF!-#REF!+#REF!-#REF!+#REF!-#REF!+#REF!</f>
        <v>#REF!</v>
      </c>
      <c r="F118" s="25">
        <v>114</v>
      </c>
      <c r="G118" s="25" t="s">
        <v>261</v>
      </c>
      <c r="H118" s="26" t="s">
        <v>262</v>
      </c>
      <c r="I118" s="27"/>
      <c r="J118" s="27"/>
      <c r="K118" s="27"/>
      <c r="L118" s="27"/>
      <c r="M118" s="29">
        <v>300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>
        <v>305.24</v>
      </c>
      <c r="AG118" s="29"/>
      <c r="AH118" s="29">
        <f t="shared" si="8"/>
        <v>305.24</v>
      </c>
      <c r="AI118" s="29">
        <f t="shared" si="9"/>
        <v>300</v>
      </c>
      <c r="AJ118" s="126">
        <f t="shared" si="5"/>
        <v>-5.24000000000001</v>
      </c>
    </row>
    <row r="119" customHeight="1" spans="1:36">
      <c r="A119" s="1" t="e">
        <f>#REF!+#REF!+#REF!+#REF!</f>
        <v>#REF!</v>
      </c>
      <c r="B119" s="1" t="e">
        <f>#REF!+#REF!+#REF!+#REF!</f>
        <v>#REF!</v>
      </c>
      <c r="D119" s="1" t="e">
        <f>#REF!-#REF!+#REF!-#REF!+#REF!-#REF!+#REF!-#REF!+#REF!</f>
        <v>#REF!</v>
      </c>
      <c r="F119" s="25">
        <v>115</v>
      </c>
      <c r="G119" s="25" t="s">
        <v>263</v>
      </c>
      <c r="H119" s="26" t="s">
        <v>264</v>
      </c>
      <c r="I119" s="27"/>
      <c r="J119" s="27"/>
      <c r="K119" s="27">
        <v>300</v>
      </c>
      <c r="L119" s="27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>
        <v>412.43</v>
      </c>
      <c r="AG119" s="29"/>
      <c r="AH119" s="29">
        <f t="shared" si="8"/>
        <v>412.43</v>
      </c>
      <c r="AI119" s="29">
        <f t="shared" si="9"/>
        <v>300</v>
      </c>
      <c r="AJ119" s="126">
        <f t="shared" si="5"/>
        <v>-112.43</v>
      </c>
    </row>
    <row r="120" customHeight="1" spans="1:36">
      <c r="A120" s="1" t="e">
        <f>#REF!+#REF!+#REF!+#REF!</f>
        <v>#REF!</v>
      </c>
      <c r="B120" s="1" t="e">
        <f>#REF!+#REF!+#REF!+#REF!</f>
        <v>#REF!</v>
      </c>
      <c r="D120" s="1" t="e">
        <f>#REF!-#REF!+#REF!-#REF!+#REF!-#REF!+#REF!-#REF!+#REF!</f>
        <v>#REF!</v>
      </c>
      <c r="F120" s="25">
        <v>116</v>
      </c>
      <c r="G120" s="25" t="s">
        <v>265</v>
      </c>
      <c r="H120" s="26" t="s">
        <v>266</v>
      </c>
      <c r="I120" s="27"/>
      <c r="J120" s="27"/>
      <c r="K120" s="27"/>
      <c r="L120" s="27"/>
      <c r="M120" s="29">
        <v>300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>
        <v>0.54</v>
      </c>
      <c r="AG120" s="29"/>
      <c r="AH120" s="29">
        <f t="shared" si="8"/>
        <v>0.54</v>
      </c>
      <c r="AI120" s="29">
        <f t="shared" si="9"/>
        <v>300</v>
      </c>
      <c r="AJ120" s="126">
        <f t="shared" si="5"/>
        <v>299.46</v>
      </c>
    </row>
    <row r="121" customHeight="1" spans="1:36">
      <c r="A121" s="1" t="e">
        <f>#REF!+#REF!+#REF!+#REF!</f>
        <v>#REF!</v>
      </c>
      <c r="B121" s="1" t="e">
        <f>#REF!+#REF!+#REF!+#REF!</f>
        <v>#REF!</v>
      </c>
      <c r="D121" s="1" t="e">
        <f>#REF!-#REF!+#REF!-#REF!+#REF!-#REF!+#REF!-#REF!+#REF!</f>
        <v>#REF!</v>
      </c>
      <c r="F121" s="25">
        <v>117</v>
      </c>
      <c r="G121" s="25" t="s">
        <v>267</v>
      </c>
      <c r="H121" s="26" t="s">
        <v>268</v>
      </c>
      <c r="I121" s="27"/>
      <c r="J121" s="27"/>
      <c r="K121" s="27">
        <v>300</v>
      </c>
      <c r="L121" s="27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>
        <v>176.09</v>
      </c>
      <c r="AB121" s="29"/>
      <c r="AC121" s="29"/>
      <c r="AD121" s="29"/>
      <c r="AE121" s="29">
        <v>315.04</v>
      </c>
      <c r="AF121" s="29">
        <v>941.29</v>
      </c>
      <c r="AG121" s="29"/>
      <c r="AH121" s="29">
        <f t="shared" si="8"/>
        <v>941.29</v>
      </c>
      <c r="AI121" s="29">
        <f t="shared" si="9"/>
        <v>791.13</v>
      </c>
      <c r="AJ121" s="126">
        <f t="shared" si="5"/>
        <v>-150.16</v>
      </c>
    </row>
    <row r="122" customHeight="1" spans="1:36">
      <c r="A122" s="1" t="e">
        <f>#REF!+#REF!+#REF!+#REF!</f>
        <v>#REF!</v>
      </c>
      <c r="B122" s="1" t="e">
        <f>#REF!+#REF!+#REF!+#REF!</f>
        <v>#REF!</v>
      </c>
      <c r="D122" s="1" t="e">
        <f>#REF!-#REF!+#REF!-#REF!+#REF!-#REF!+#REF!-#REF!+#REF!</f>
        <v>#REF!</v>
      </c>
      <c r="F122" s="25">
        <v>118</v>
      </c>
      <c r="G122" s="25" t="s">
        <v>269</v>
      </c>
      <c r="H122" s="26" t="s">
        <v>270</v>
      </c>
      <c r="I122" s="27"/>
      <c r="J122" s="27"/>
      <c r="K122" s="27">
        <v>300</v>
      </c>
      <c r="L122" s="27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>
        <v>427.12</v>
      </c>
      <c r="AG122" s="29">
        <v>1000</v>
      </c>
      <c r="AH122" s="29">
        <f t="shared" si="8"/>
        <v>427.12</v>
      </c>
      <c r="AI122" s="29">
        <f t="shared" si="9"/>
        <v>1300</v>
      </c>
      <c r="AJ122" s="126">
        <f t="shared" si="5"/>
        <v>872.88</v>
      </c>
    </row>
    <row r="123" customHeight="1" spans="1:36">
      <c r="A123" s="1" t="e">
        <f>#REF!+#REF!+#REF!+#REF!</f>
        <v>#REF!</v>
      </c>
      <c r="B123" s="1" t="e">
        <f>#REF!+#REF!+#REF!+#REF!</f>
        <v>#REF!</v>
      </c>
      <c r="D123" s="1" t="e">
        <f>#REF!-#REF!+#REF!-#REF!+#REF!-#REF!+#REF!-#REF!+#REF!</f>
        <v>#REF!</v>
      </c>
      <c r="F123" s="25">
        <v>119</v>
      </c>
      <c r="G123" s="25" t="s">
        <v>271</v>
      </c>
      <c r="H123" s="26" t="s">
        <v>272</v>
      </c>
      <c r="I123" s="27"/>
      <c r="J123" s="27"/>
      <c r="K123" s="27">
        <v>300</v>
      </c>
      <c r="L123" s="27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>
        <v>64.75</v>
      </c>
      <c r="AG123" s="29"/>
      <c r="AH123" s="29">
        <f t="shared" si="8"/>
        <v>64.75</v>
      </c>
      <c r="AI123" s="29">
        <f t="shared" si="9"/>
        <v>300</v>
      </c>
      <c r="AJ123" s="126">
        <f t="shared" si="5"/>
        <v>235.25</v>
      </c>
    </row>
    <row r="124" customHeight="1" spans="1:36">
      <c r="A124" s="1" t="e">
        <f>#REF!+#REF!+#REF!+#REF!</f>
        <v>#REF!</v>
      </c>
      <c r="B124" s="1" t="e">
        <f>#REF!+#REF!+#REF!+#REF!</f>
        <v>#REF!</v>
      </c>
      <c r="D124" s="1" t="e">
        <f>#REF!-#REF!+#REF!-#REF!+#REF!-#REF!+#REF!-#REF!+#REF!</f>
        <v>#REF!</v>
      </c>
      <c r="F124" s="25">
        <v>120</v>
      </c>
      <c r="G124" s="25" t="s">
        <v>273</v>
      </c>
      <c r="H124" s="26" t="s">
        <v>274</v>
      </c>
      <c r="I124" s="27"/>
      <c r="J124" s="27"/>
      <c r="K124" s="27">
        <v>300</v>
      </c>
      <c r="L124" s="27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>
        <v>703.52</v>
      </c>
      <c r="AG124" s="29"/>
      <c r="AH124" s="29">
        <f t="shared" si="8"/>
        <v>703.52</v>
      </c>
      <c r="AI124" s="29">
        <f t="shared" si="9"/>
        <v>300</v>
      </c>
      <c r="AJ124" s="126">
        <f t="shared" si="5"/>
        <v>-403.52</v>
      </c>
    </row>
    <row r="125" customHeight="1" spans="1:36">
      <c r="A125" s="1" t="e">
        <f>#REF!+#REF!+#REF!+#REF!</f>
        <v>#REF!</v>
      </c>
      <c r="B125" s="1" t="e">
        <f>#REF!+#REF!+#REF!+#REF!</f>
        <v>#REF!</v>
      </c>
      <c r="D125" s="1" t="e">
        <f>#REF!-#REF!+#REF!-#REF!+#REF!-#REF!+#REF!-#REF!+#REF!</f>
        <v>#REF!</v>
      </c>
      <c r="F125" s="25">
        <v>121</v>
      </c>
      <c r="G125" s="25" t="s">
        <v>275</v>
      </c>
      <c r="H125" s="26" t="s">
        <v>276</v>
      </c>
      <c r="I125" s="27"/>
      <c r="J125" s="27"/>
      <c r="K125" s="27">
        <v>300</v>
      </c>
      <c r="L125" s="27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>
        <v>35.91</v>
      </c>
      <c r="AG125" s="29"/>
      <c r="AH125" s="29">
        <f t="shared" si="8"/>
        <v>35.91</v>
      </c>
      <c r="AI125" s="29">
        <f t="shared" si="9"/>
        <v>300</v>
      </c>
      <c r="AJ125" s="126">
        <f t="shared" si="5"/>
        <v>264.09</v>
      </c>
    </row>
    <row r="126" customHeight="1" spans="1:36">
      <c r="A126" s="1" t="e">
        <f>#REF!+#REF!+#REF!+#REF!</f>
        <v>#REF!</v>
      </c>
      <c r="B126" s="1" t="e">
        <f>#REF!+#REF!+#REF!+#REF!</f>
        <v>#REF!</v>
      </c>
      <c r="D126" s="1" t="e">
        <f>#REF!-#REF!+#REF!-#REF!+#REF!-#REF!+#REF!-#REF!+#REF!</f>
        <v>#REF!</v>
      </c>
      <c r="F126" s="25">
        <v>122</v>
      </c>
      <c r="G126" s="25" t="s">
        <v>277</v>
      </c>
      <c r="H126" s="26" t="s">
        <v>278</v>
      </c>
      <c r="I126" s="27"/>
      <c r="J126" s="27"/>
      <c r="K126" s="27">
        <v>300</v>
      </c>
      <c r="L126" s="27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>
        <v>49.51</v>
      </c>
      <c r="AG126" s="29"/>
      <c r="AH126" s="29">
        <f t="shared" si="8"/>
        <v>49.51</v>
      </c>
      <c r="AI126" s="29">
        <f t="shared" si="9"/>
        <v>300</v>
      </c>
      <c r="AJ126" s="126">
        <f t="shared" si="5"/>
        <v>250.49</v>
      </c>
    </row>
    <row r="127" customHeight="1" spans="1:36">
      <c r="A127" s="1" t="e">
        <f>#REF!+#REF!+#REF!+#REF!</f>
        <v>#REF!</v>
      </c>
      <c r="B127" s="1" t="e">
        <f>#REF!+#REF!+#REF!+#REF!</f>
        <v>#REF!</v>
      </c>
      <c r="D127" s="1" t="e">
        <f>#REF!-#REF!+#REF!-#REF!+#REF!-#REF!+#REF!-#REF!+#REF!</f>
        <v>#REF!</v>
      </c>
      <c r="F127" s="25">
        <v>123</v>
      </c>
      <c r="G127" s="25" t="s">
        <v>279</v>
      </c>
      <c r="H127" s="26" t="s">
        <v>280</v>
      </c>
      <c r="I127" s="27"/>
      <c r="J127" s="27"/>
      <c r="K127" s="27">
        <v>300</v>
      </c>
      <c r="L127" s="27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>
        <v>16.32</v>
      </c>
      <c r="AG127" s="29"/>
      <c r="AH127" s="29">
        <f t="shared" si="8"/>
        <v>16.32</v>
      </c>
      <c r="AI127" s="29">
        <f t="shared" si="9"/>
        <v>300</v>
      </c>
      <c r="AJ127" s="126">
        <f t="shared" si="5"/>
        <v>283.68</v>
      </c>
    </row>
    <row r="128" customHeight="1" spans="1:36">
      <c r="A128" s="1" t="e">
        <f>#REF!+#REF!+#REF!+#REF!</f>
        <v>#REF!</v>
      </c>
      <c r="B128" s="1" t="e">
        <f>#REF!+#REF!+#REF!+#REF!</f>
        <v>#REF!</v>
      </c>
      <c r="D128" s="1" t="e">
        <f>#REF!-#REF!+#REF!-#REF!+#REF!-#REF!+#REF!-#REF!+#REF!</f>
        <v>#REF!</v>
      </c>
      <c r="F128" s="25">
        <v>124</v>
      </c>
      <c r="G128" s="25" t="s">
        <v>281</v>
      </c>
      <c r="H128" s="26" t="s">
        <v>282</v>
      </c>
      <c r="I128" s="27"/>
      <c r="J128" s="27"/>
      <c r="K128" s="27"/>
      <c r="L128" s="27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>
        <v>300</v>
      </c>
      <c r="AF128" s="29">
        <v>13.06</v>
      </c>
      <c r="AG128" s="29"/>
      <c r="AH128" s="29">
        <f t="shared" si="8"/>
        <v>13.06</v>
      </c>
      <c r="AI128" s="29">
        <f t="shared" si="9"/>
        <v>300</v>
      </c>
      <c r="AJ128" s="126">
        <f t="shared" si="5"/>
        <v>286.94</v>
      </c>
    </row>
    <row r="129" customHeight="1" spans="1:36">
      <c r="A129" s="1" t="e">
        <f>#REF!+#REF!+#REF!+#REF!</f>
        <v>#REF!</v>
      </c>
      <c r="B129" s="1" t="e">
        <f>#REF!+#REF!+#REF!+#REF!</f>
        <v>#REF!</v>
      </c>
      <c r="D129" s="1" t="e">
        <f>#REF!-#REF!+#REF!-#REF!+#REF!-#REF!+#REF!-#REF!+#REF!</f>
        <v>#REF!</v>
      </c>
      <c r="F129" s="25">
        <v>125</v>
      </c>
      <c r="G129" s="25" t="s">
        <v>283</v>
      </c>
      <c r="H129" s="26" t="s">
        <v>284</v>
      </c>
      <c r="I129" s="27"/>
      <c r="J129" s="27"/>
      <c r="K129" s="27">
        <v>300</v>
      </c>
      <c r="L129" s="27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>
        <v>136.57</v>
      </c>
      <c r="AG129" s="29"/>
      <c r="AH129" s="29">
        <f t="shared" si="8"/>
        <v>136.57</v>
      </c>
      <c r="AI129" s="29">
        <f t="shared" si="9"/>
        <v>300</v>
      </c>
      <c r="AJ129" s="126">
        <f t="shared" si="5"/>
        <v>163.43</v>
      </c>
    </row>
    <row r="130" customHeight="1" spans="1:36">
      <c r="A130" s="1" t="e">
        <f>#REF!+#REF!+#REF!+#REF!</f>
        <v>#REF!</v>
      </c>
      <c r="B130" s="1" t="e">
        <f>#REF!+#REF!+#REF!+#REF!</f>
        <v>#REF!</v>
      </c>
      <c r="D130" s="1" t="e">
        <f>#REF!-#REF!+#REF!-#REF!+#REF!-#REF!+#REF!-#REF!+#REF!</f>
        <v>#REF!</v>
      </c>
      <c r="F130" s="25">
        <v>126</v>
      </c>
      <c r="G130" s="25" t="s">
        <v>285</v>
      </c>
      <c r="H130" s="26" t="s">
        <v>286</v>
      </c>
      <c r="I130" s="27"/>
      <c r="J130" s="27"/>
      <c r="K130" s="27">
        <v>300</v>
      </c>
      <c r="L130" s="27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>
        <v>27.2</v>
      </c>
      <c r="AG130" s="29"/>
      <c r="AH130" s="29">
        <f t="shared" si="8"/>
        <v>27.2</v>
      </c>
      <c r="AI130" s="29">
        <f t="shared" si="9"/>
        <v>300</v>
      </c>
      <c r="AJ130" s="126">
        <f t="shared" si="5"/>
        <v>272.8</v>
      </c>
    </row>
    <row r="131" customHeight="1" spans="1:36">
      <c r="A131" s="1" t="e">
        <f>#REF!+#REF!+#REF!+#REF!</f>
        <v>#REF!</v>
      </c>
      <c r="B131" s="1" t="e">
        <f>#REF!+#REF!+#REF!+#REF!</f>
        <v>#REF!</v>
      </c>
      <c r="D131" s="1" t="e">
        <f>#REF!-#REF!+#REF!-#REF!+#REF!-#REF!+#REF!-#REF!+#REF!</f>
        <v>#REF!</v>
      </c>
      <c r="F131" s="25">
        <v>127</v>
      </c>
      <c r="G131" s="25" t="s">
        <v>287</v>
      </c>
      <c r="H131" s="26" t="s">
        <v>288</v>
      </c>
      <c r="I131" s="27"/>
      <c r="J131" s="27"/>
      <c r="K131" s="27">
        <v>300</v>
      </c>
      <c r="L131" s="27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>
        <v>113.17</v>
      </c>
      <c r="AG131" s="29"/>
      <c r="AH131" s="29">
        <f t="shared" si="8"/>
        <v>113.17</v>
      </c>
      <c r="AI131" s="29">
        <f t="shared" si="9"/>
        <v>300</v>
      </c>
      <c r="AJ131" s="126">
        <f t="shared" si="5"/>
        <v>186.83</v>
      </c>
    </row>
    <row r="132" customHeight="1" spans="1:36">
      <c r="A132" s="1" t="e">
        <f>#REF!+#REF!+#REF!+#REF!</f>
        <v>#REF!</v>
      </c>
      <c r="B132" s="1" t="e">
        <f>#REF!+#REF!+#REF!+#REF!</f>
        <v>#REF!</v>
      </c>
      <c r="D132" s="1" t="e">
        <f>#REF!-#REF!+#REF!-#REF!+#REF!-#REF!+#REF!-#REF!+#REF!</f>
        <v>#REF!</v>
      </c>
      <c r="F132" s="25">
        <v>128</v>
      </c>
      <c r="G132" s="25" t="s">
        <v>289</v>
      </c>
      <c r="H132" s="26" t="s">
        <v>290</v>
      </c>
      <c r="I132" s="27"/>
      <c r="J132" s="27"/>
      <c r="K132" s="27">
        <v>300</v>
      </c>
      <c r="L132" s="27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>
        <v>200</v>
      </c>
      <c r="AF132" s="29">
        <v>498.94</v>
      </c>
      <c r="AG132" s="29"/>
      <c r="AH132" s="29">
        <f t="shared" si="8"/>
        <v>498.94</v>
      </c>
      <c r="AI132" s="29">
        <f t="shared" si="9"/>
        <v>500</v>
      </c>
      <c r="AJ132" s="126">
        <f t="shared" si="5"/>
        <v>1.06</v>
      </c>
    </row>
    <row r="133" customHeight="1" spans="1:36">
      <c r="A133" s="1" t="e">
        <f>#REF!+#REF!+#REF!+#REF!</f>
        <v>#REF!</v>
      </c>
      <c r="B133" s="1" t="e">
        <f>#REF!+#REF!+#REF!+#REF!</f>
        <v>#REF!</v>
      </c>
      <c r="D133" s="1" t="e">
        <f>#REF!-#REF!+#REF!-#REF!+#REF!-#REF!+#REF!-#REF!+#REF!</f>
        <v>#REF!</v>
      </c>
      <c r="F133" s="25">
        <v>129</v>
      </c>
      <c r="G133" s="25" t="s">
        <v>291</v>
      </c>
      <c r="H133" s="26" t="s">
        <v>292</v>
      </c>
      <c r="I133" s="27"/>
      <c r="J133" s="27"/>
      <c r="K133" s="27"/>
      <c r="L133" s="27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>
        <f t="shared" si="8"/>
        <v>0</v>
      </c>
      <c r="AI133" s="29">
        <f t="shared" si="9"/>
        <v>0</v>
      </c>
      <c r="AJ133" s="126">
        <f>K133+M133+O133+Q133+S133+U133+W133+Y133+AA133+AC133+AE133+AG133-J133-L133-N133-P133-R133-T133-V133-X133-Z133-AB133-AD133-AF133</f>
        <v>0</v>
      </c>
    </row>
    <row r="134" customHeight="1" spans="1:36">
      <c r="A134" s="1" t="e">
        <f>#REF!+#REF!+#REF!+#REF!</f>
        <v>#REF!</v>
      </c>
      <c r="B134" s="1" t="e">
        <f>#REF!+#REF!+#REF!+#REF!</f>
        <v>#REF!</v>
      </c>
      <c r="D134" s="1" t="e">
        <f>SUM(D5:D133)</f>
        <v>#REF!</v>
      </c>
      <c r="F134" s="25">
        <v>130</v>
      </c>
      <c r="G134" s="260"/>
      <c r="H134" s="260" t="s">
        <v>3</v>
      </c>
      <c r="I134" s="29"/>
      <c r="J134" s="29">
        <f t="shared" ref="J134:AK134" si="10">SUM(J5:J133)</f>
        <v>0</v>
      </c>
      <c r="K134" s="29">
        <f t="shared" si="10"/>
        <v>31200</v>
      </c>
      <c r="L134" s="29">
        <f t="shared" si="10"/>
        <v>0</v>
      </c>
      <c r="M134" s="29">
        <f t="shared" si="10"/>
        <v>2700</v>
      </c>
      <c r="N134" s="29">
        <f t="shared" si="10"/>
        <v>0</v>
      </c>
      <c r="O134" s="29">
        <f t="shared" si="10"/>
        <v>3800</v>
      </c>
      <c r="P134" s="29">
        <f t="shared" si="10"/>
        <v>0</v>
      </c>
      <c r="Q134" s="29">
        <f t="shared" si="10"/>
        <v>2000</v>
      </c>
      <c r="R134" s="29">
        <f t="shared" si="10"/>
        <v>0</v>
      </c>
      <c r="S134" s="29">
        <f t="shared" si="10"/>
        <v>2000</v>
      </c>
      <c r="T134" s="29">
        <f t="shared" si="10"/>
        <v>0</v>
      </c>
      <c r="U134" s="29">
        <f t="shared" si="10"/>
        <v>300</v>
      </c>
      <c r="V134" s="29">
        <f t="shared" si="10"/>
        <v>0</v>
      </c>
      <c r="W134" s="29">
        <f t="shared" si="10"/>
        <v>300</v>
      </c>
      <c r="X134" s="29">
        <f t="shared" si="10"/>
        <v>0</v>
      </c>
      <c r="Y134" s="29">
        <f t="shared" si="10"/>
        <v>1000</v>
      </c>
      <c r="Z134" s="29">
        <f t="shared" si="10"/>
        <v>0</v>
      </c>
      <c r="AA134" s="29">
        <f t="shared" si="10"/>
        <v>176.09</v>
      </c>
      <c r="AB134" s="29">
        <f t="shared" si="10"/>
        <v>0</v>
      </c>
      <c r="AC134" s="29">
        <f t="shared" si="10"/>
        <v>1800</v>
      </c>
      <c r="AD134" s="29">
        <f t="shared" si="10"/>
        <v>0</v>
      </c>
      <c r="AE134" s="29">
        <f t="shared" si="10"/>
        <v>1622.04</v>
      </c>
      <c r="AF134" s="29">
        <f t="shared" si="10"/>
        <v>26975.93</v>
      </c>
      <c r="AG134" s="29">
        <f t="shared" si="10"/>
        <v>5300</v>
      </c>
      <c r="AH134" s="29">
        <f t="shared" si="10"/>
        <v>26975.93</v>
      </c>
      <c r="AI134" s="29">
        <f t="shared" si="10"/>
        <v>52198.13</v>
      </c>
      <c r="AJ134" s="29">
        <f t="shared" si="10"/>
        <v>25222.2</v>
      </c>
    </row>
    <row r="135" s="259" customFormat="1" customHeight="1" spans="1:2">
      <c r="A135" s="1" t="e">
        <f>#REF!+#REF!+#REF!+#REF!</f>
        <v>#REF!</v>
      </c>
      <c r="B135" s="1" t="e">
        <f>#REF!+#REF!+#REF!+#REF!</f>
        <v>#REF!</v>
      </c>
    </row>
    <row r="136" s="259" customFormat="1" customHeight="1" spans="1:2">
      <c r="A136" s="1" t="e">
        <f>#REF!+#REF!+#REF!+#REF!</f>
        <v>#REF!</v>
      </c>
      <c r="B136" s="1" t="e">
        <f>#REF!+#REF!+#REF!+#REF!</f>
        <v>#REF!</v>
      </c>
    </row>
  </sheetData>
  <sheetProtection password="DE10" sheet="1" objects="1"/>
  <mergeCells count="4">
    <mergeCell ref="F1:AJ1"/>
    <mergeCell ref="F2:I2"/>
    <mergeCell ref="AE2:AJ2"/>
    <mergeCell ref="A3:B3"/>
  </mergeCells>
  <conditionalFormatting sqref="H5:H68">
    <cfRule type="cellIs" dxfId="0" priority="4" operator="equal">
      <formula>0</formula>
    </cfRule>
    <cfRule type="duplicateValues" dxfId="1" priority="3"/>
  </conditionalFormatting>
  <conditionalFormatting sqref="H71:H133">
    <cfRule type="cellIs" dxfId="0" priority="2" operator="equal">
      <formula>0</formula>
    </cfRule>
    <cfRule type="cellIs" dxfId="0" priority="1" operator="equal">
      <formula>0</formula>
    </cfRule>
  </conditionalFormatting>
  <pageMargins left="0.393055555555556" right="0.393055555555556" top="0.393055555555556" bottom="0.393055555555556" header="0.298611111111111" footer="0.298611111111111"/>
  <pageSetup paperSize="9" scale="43" fitToHeight="0" orientation="landscape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34"/>
  <sheetViews>
    <sheetView zoomScale="70" zoomScaleNormal="70" topLeftCell="L107" workbookViewId="0">
      <selection activeCell="Q112" sqref="Q112"/>
    </sheetView>
  </sheetViews>
  <sheetFormatPr defaultColWidth="9" defaultRowHeight="35" customHeight="1"/>
  <cols>
    <col min="1" max="1" width="9" style="12"/>
    <col min="2" max="2" width="12.6916666666667" style="12" customWidth="1"/>
    <col min="3" max="3" width="14.775" style="12" customWidth="1"/>
    <col min="4" max="4" width="18.5666666666667" style="12" customWidth="1"/>
    <col min="5" max="5" width="12.85" style="12" customWidth="1"/>
    <col min="6" max="6" width="13.3333333333333" style="12" customWidth="1"/>
    <col min="7" max="26" width="11.8833333333333" style="12" customWidth="1"/>
    <col min="27" max="27" width="17.3" style="12" customWidth="1"/>
    <col min="28" max="28" width="11.8833333333333" style="12" customWidth="1"/>
    <col min="29" max="29" width="13.9666666666667" style="12" customWidth="1"/>
    <col min="30" max="30" width="15.075" style="12" customWidth="1"/>
    <col min="31" max="31" width="14.5" style="15" customWidth="1"/>
    <col min="32" max="32" width="15.1333333333333" style="1" hidden="1" customWidth="1"/>
    <col min="33" max="33" width="9.38333333333333" style="1" hidden="1" customWidth="1"/>
    <col min="34" max="34" width="9" style="1" hidden="1" customWidth="1"/>
    <col min="35" max="35" width="11.5" style="1" hidden="1" customWidth="1"/>
    <col min="36" max="37" width="9" style="1" hidden="1" customWidth="1"/>
    <col min="38" max="38" width="12.3833333333333" style="1" customWidth="1"/>
    <col min="39" max="16384" width="9" style="1"/>
  </cols>
  <sheetData>
    <row r="1" customHeight="1" spans="1:31">
      <c r="A1" s="43" t="s">
        <v>293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4"/>
    </row>
    <row r="2" s="2" customFormat="1" customHeight="1" spans="1:31">
      <c r="A2" s="45" t="s">
        <v>1</v>
      </c>
      <c r="B2" s="45"/>
      <c r="C2" s="45"/>
      <c r="D2" s="45"/>
      <c r="E2" s="72"/>
      <c r="F2" s="72"/>
      <c r="G2" s="7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74" t="s">
        <v>2</v>
      </c>
      <c r="AA2" s="174"/>
      <c r="AB2" s="174"/>
      <c r="AC2" s="174"/>
      <c r="AD2" s="174"/>
      <c r="AE2" s="179"/>
    </row>
    <row r="3" s="2" customFormat="1" ht="20" customHeight="1" spans="1:33">
      <c r="A3" s="45"/>
      <c r="B3" s="45"/>
      <c r="C3" s="45"/>
      <c r="D3" s="45"/>
      <c r="E3" s="72"/>
      <c r="F3" s="72"/>
      <c r="G3" s="7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74"/>
      <c r="AA3" s="174"/>
      <c r="AB3" s="174"/>
      <c r="AC3" s="174"/>
      <c r="AD3" s="174"/>
      <c r="AE3" s="179"/>
      <c r="AF3" s="257" t="s">
        <v>3</v>
      </c>
      <c r="AG3" s="257"/>
    </row>
    <row r="4" s="3" customFormat="1" ht="54" customHeight="1" spans="1:33">
      <c r="A4" s="48" t="s">
        <v>6</v>
      </c>
      <c r="B4" s="48" t="s">
        <v>7</v>
      </c>
      <c r="C4" s="48" t="s">
        <v>8</v>
      </c>
      <c r="D4" s="209" t="s">
        <v>9</v>
      </c>
      <c r="E4" s="209" t="s">
        <v>294</v>
      </c>
      <c r="F4" s="64" t="s">
        <v>11</v>
      </c>
      <c r="G4" s="64" t="s">
        <v>12</v>
      </c>
      <c r="H4" s="64" t="s">
        <v>13</v>
      </c>
      <c r="I4" s="64" t="s">
        <v>14</v>
      </c>
      <c r="J4" s="64" t="s">
        <v>15</v>
      </c>
      <c r="K4" s="64" t="s">
        <v>16</v>
      </c>
      <c r="L4" s="64" t="s">
        <v>17</v>
      </c>
      <c r="M4" s="64" t="s">
        <v>18</v>
      </c>
      <c r="N4" s="64" t="s">
        <v>19</v>
      </c>
      <c r="O4" s="64" t="s">
        <v>20</v>
      </c>
      <c r="P4" s="64" t="s">
        <v>21</v>
      </c>
      <c r="Q4" s="64" t="s">
        <v>22</v>
      </c>
      <c r="R4" s="64" t="s">
        <v>23</v>
      </c>
      <c r="S4" s="64" t="s">
        <v>24</v>
      </c>
      <c r="T4" s="64" t="s">
        <v>25</v>
      </c>
      <c r="U4" s="64" t="s">
        <v>26</v>
      </c>
      <c r="V4" s="64" t="s">
        <v>27</v>
      </c>
      <c r="W4" s="64" t="s">
        <v>28</v>
      </c>
      <c r="X4" s="64" t="s">
        <v>29</v>
      </c>
      <c r="Y4" s="64" t="s">
        <v>30</v>
      </c>
      <c r="Z4" s="64" t="s">
        <v>31</v>
      </c>
      <c r="AA4" s="209" t="s">
        <v>295</v>
      </c>
      <c r="AB4" s="64" t="s">
        <v>33</v>
      </c>
      <c r="AC4" s="64" t="s">
        <v>296</v>
      </c>
      <c r="AD4" s="64" t="s">
        <v>297</v>
      </c>
      <c r="AE4" s="206" t="s">
        <v>36</v>
      </c>
      <c r="AF4" s="24" t="s">
        <v>4</v>
      </c>
      <c r="AG4" s="24" t="s">
        <v>5</v>
      </c>
    </row>
    <row r="5" s="1" customFormat="1" customHeight="1" spans="1:35">
      <c r="A5" s="242">
        <v>1</v>
      </c>
      <c r="B5" s="242" t="s">
        <v>37</v>
      </c>
      <c r="C5" s="243" t="s">
        <v>38</v>
      </c>
      <c r="D5" s="225">
        <v>292.93</v>
      </c>
      <c r="E5" s="225">
        <v>2.72</v>
      </c>
      <c r="F5" s="225"/>
      <c r="G5" s="22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>
        <v>0.54</v>
      </c>
      <c r="Z5" s="245"/>
      <c r="AA5" s="245"/>
      <c r="AB5" s="245"/>
      <c r="AC5" s="245">
        <f>AA5+Y5+W5+U5+S5+Q5+O5+M5+K5+I5+G5+E5</f>
        <v>3.26</v>
      </c>
      <c r="AD5" s="245">
        <f>AB5+Z5+X5+V5+T5+R5+P5+N5+L5+J5+H5+F5</f>
        <v>0</v>
      </c>
      <c r="AE5" s="112">
        <f>D5+AD5-AC5</f>
        <v>289.67</v>
      </c>
      <c r="AF5" s="1">
        <f t="shared" ref="AF5:AF68" si="0">U5+W5+Y5+AA5</f>
        <v>0.54</v>
      </c>
      <c r="AG5" s="1">
        <f t="shared" ref="AG5:AG68" si="1">V5+X5+Z5+AB5</f>
        <v>0</v>
      </c>
      <c r="AI5" s="1" t="e">
        <f>#REF!-U5+V5-W5+X5-Y5+Z5-AA5+AB5</f>
        <v>#REF!</v>
      </c>
    </row>
    <row r="6" s="1" customFormat="1" customHeight="1" spans="1:35">
      <c r="A6" s="242">
        <v>2</v>
      </c>
      <c r="B6" s="242" t="s">
        <v>39</v>
      </c>
      <c r="C6" s="243" t="s">
        <v>40</v>
      </c>
      <c r="D6" s="225">
        <v>261.91</v>
      </c>
      <c r="E6" s="225">
        <v>17.41</v>
      </c>
      <c r="F6" s="225"/>
      <c r="G6" s="225">
        <v>104.47</v>
      </c>
      <c r="H6" s="245"/>
      <c r="I6" s="245">
        <v>10.88</v>
      </c>
      <c r="J6" s="245"/>
      <c r="K6" s="245">
        <v>18.5</v>
      </c>
      <c r="L6" s="245"/>
      <c r="M6" s="245">
        <v>9.25</v>
      </c>
      <c r="N6" s="245"/>
      <c r="O6" s="245">
        <v>0.54</v>
      </c>
      <c r="P6" s="245"/>
      <c r="Q6" s="245">
        <v>10.88</v>
      </c>
      <c r="R6" s="245"/>
      <c r="S6" s="245">
        <v>7.07</v>
      </c>
      <c r="T6" s="245"/>
      <c r="U6" s="245">
        <v>5.99</v>
      </c>
      <c r="V6" s="245"/>
      <c r="W6" s="245">
        <v>17.41</v>
      </c>
      <c r="X6" s="245"/>
      <c r="Y6" s="245"/>
      <c r="Z6" s="245"/>
      <c r="AA6" s="245"/>
      <c r="AB6" s="245"/>
      <c r="AC6" s="245">
        <f t="shared" ref="AC6:AC37" si="2">AA6+Y6+W6+U6+S6+Q6+O6+M6+K6+I6+G6+E6</f>
        <v>202.4</v>
      </c>
      <c r="AD6" s="245">
        <f t="shared" ref="AD6:AD37" si="3">AB6+Z6+X6+V6+T6+R6+P6+N6+L6+J6+H6+F6</f>
        <v>0</v>
      </c>
      <c r="AE6" s="112">
        <f t="shared" ref="AE6:AE37" si="4">D6+AD6-AC6</f>
        <v>59.51</v>
      </c>
      <c r="AF6" s="1">
        <f t="shared" si="0"/>
        <v>23.4</v>
      </c>
      <c r="AG6" s="1">
        <f t="shared" si="1"/>
        <v>0</v>
      </c>
      <c r="AI6" s="1" t="e">
        <f>#REF!-U6+V6-W6+X6-Y6+Z6-AA6+AB6</f>
        <v>#REF!</v>
      </c>
    </row>
    <row r="7" s="1" customFormat="1" customHeight="1" spans="1:35">
      <c r="A7" s="242">
        <v>3</v>
      </c>
      <c r="B7" s="242" t="s">
        <v>41</v>
      </c>
      <c r="C7" s="243" t="s">
        <v>42</v>
      </c>
      <c r="D7" s="225">
        <v>275.51</v>
      </c>
      <c r="E7" s="225">
        <v>18.5</v>
      </c>
      <c r="F7" s="225"/>
      <c r="G7" s="225">
        <v>9.25</v>
      </c>
      <c r="H7" s="245"/>
      <c r="I7" s="245">
        <v>15.24</v>
      </c>
      <c r="J7" s="245"/>
      <c r="K7" s="245">
        <v>21.76</v>
      </c>
      <c r="L7" s="245"/>
      <c r="M7" s="245"/>
      <c r="N7" s="245"/>
      <c r="O7" s="245"/>
      <c r="P7" s="245"/>
      <c r="Q7" s="245">
        <v>10.88</v>
      </c>
      <c r="R7" s="245"/>
      <c r="S7" s="245">
        <v>7.62</v>
      </c>
      <c r="T7" s="245"/>
      <c r="U7" s="245">
        <v>7.62</v>
      </c>
      <c r="V7" s="245"/>
      <c r="W7" s="245">
        <v>89.23</v>
      </c>
      <c r="X7" s="245"/>
      <c r="Y7" s="245">
        <v>6.53</v>
      </c>
      <c r="Z7" s="245"/>
      <c r="AA7" s="245">
        <v>0.54</v>
      </c>
      <c r="AB7" s="245"/>
      <c r="AC7" s="245">
        <f t="shared" si="2"/>
        <v>187.17</v>
      </c>
      <c r="AD7" s="245">
        <f t="shared" si="3"/>
        <v>0</v>
      </c>
      <c r="AE7" s="112">
        <f t="shared" si="4"/>
        <v>88.34</v>
      </c>
      <c r="AF7" s="1">
        <f t="shared" si="0"/>
        <v>103.92</v>
      </c>
      <c r="AG7" s="1">
        <f t="shared" si="1"/>
        <v>0</v>
      </c>
      <c r="AI7" s="1" t="e">
        <f>#REF!-U7+V7-W7+X7-Y7+Z7-AA7+AB7</f>
        <v>#REF!</v>
      </c>
    </row>
    <row r="8" s="1" customFormat="1" customHeight="1" spans="1:35">
      <c r="A8" s="242">
        <v>4</v>
      </c>
      <c r="B8" s="242" t="s">
        <v>43</v>
      </c>
      <c r="C8" s="243" t="s">
        <v>44</v>
      </c>
      <c r="D8" s="225">
        <v>276.06</v>
      </c>
      <c r="E8" s="225">
        <v>5.44</v>
      </c>
      <c r="F8" s="225"/>
      <c r="G8" s="225">
        <v>6.53</v>
      </c>
      <c r="H8" s="245"/>
      <c r="I8" s="245">
        <v>15.24</v>
      </c>
      <c r="J8" s="245"/>
      <c r="K8" s="245">
        <v>26.12</v>
      </c>
      <c r="L8" s="245"/>
      <c r="M8" s="245">
        <v>76.17</v>
      </c>
      <c r="N8" s="245"/>
      <c r="O8" s="245">
        <v>58.76</v>
      </c>
      <c r="P8" s="245">
        <v>30</v>
      </c>
      <c r="Q8" s="245"/>
      <c r="R8" s="245"/>
      <c r="S8" s="245">
        <v>107.19</v>
      </c>
      <c r="T8" s="245">
        <v>200</v>
      </c>
      <c r="U8" s="245">
        <v>57.67</v>
      </c>
      <c r="V8" s="245">
        <v>100</v>
      </c>
      <c r="W8" s="245">
        <v>52.23</v>
      </c>
      <c r="X8" s="245">
        <v>200</v>
      </c>
      <c r="Y8" s="245">
        <v>65.84</v>
      </c>
      <c r="Z8" s="245"/>
      <c r="AA8" s="245">
        <v>56.04</v>
      </c>
      <c r="AB8" s="245"/>
      <c r="AC8" s="245">
        <f t="shared" si="2"/>
        <v>527.23</v>
      </c>
      <c r="AD8" s="245">
        <f t="shared" si="3"/>
        <v>530</v>
      </c>
      <c r="AE8" s="112">
        <f t="shared" si="4"/>
        <v>278.83</v>
      </c>
      <c r="AF8" s="1">
        <f t="shared" si="0"/>
        <v>231.78</v>
      </c>
      <c r="AG8" s="1">
        <f t="shared" si="1"/>
        <v>300</v>
      </c>
      <c r="AI8" s="1" t="e">
        <f>#REF!-U8+V8-W8+X8-Y8+Z8-AA8+AB8</f>
        <v>#REF!</v>
      </c>
    </row>
    <row r="9" s="1" customFormat="1" customHeight="1" spans="1:35">
      <c r="A9" s="242">
        <v>5</v>
      </c>
      <c r="B9" s="242" t="s">
        <v>45</v>
      </c>
      <c r="C9" s="243" t="s">
        <v>46</v>
      </c>
      <c r="D9" s="225">
        <v>284.22</v>
      </c>
      <c r="E9" s="225"/>
      <c r="F9" s="225"/>
      <c r="G9" s="22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>
        <v>7.07</v>
      </c>
      <c r="X9" s="245"/>
      <c r="Y9" s="245">
        <v>6.53</v>
      </c>
      <c r="Z9" s="245"/>
      <c r="AA9" s="245">
        <v>55.5</v>
      </c>
      <c r="AB9" s="245"/>
      <c r="AC9" s="245">
        <f t="shared" si="2"/>
        <v>69.1</v>
      </c>
      <c r="AD9" s="245">
        <f t="shared" si="3"/>
        <v>0</v>
      </c>
      <c r="AE9" s="112">
        <f t="shared" si="4"/>
        <v>215.12</v>
      </c>
      <c r="AF9" s="1">
        <f t="shared" si="0"/>
        <v>69.1</v>
      </c>
      <c r="AG9" s="1">
        <f t="shared" si="1"/>
        <v>0</v>
      </c>
      <c r="AI9" s="1" t="e">
        <f>#REF!-U9+V9-W9+X9-Y9+Z9-AA9+AB9</f>
        <v>#REF!</v>
      </c>
    </row>
    <row r="10" s="1" customFormat="1" customHeight="1" spans="1:35">
      <c r="A10" s="242">
        <v>6</v>
      </c>
      <c r="B10" s="242" t="s">
        <v>47</v>
      </c>
      <c r="C10" s="243" t="s">
        <v>48</v>
      </c>
      <c r="D10" s="225">
        <v>240.69</v>
      </c>
      <c r="E10" s="225">
        <v>14.69</v>
      </c>
      <c r="F10" s="225"/>
      <c r="G10" s="225">
        <v>2.18</v>
      </c>
      <c r="H10" s="245"/>
      <c r="I10" s="245">
        <v>2.18</v>
      </c>
      <c r="J10" s="245"/>
      <c r="K10" s="245">
        <v>14.69</v>
      </c>
      <c r="L10" s="245"/>
      <c r="M10" s="245">
        <v>17.41</v>
      </c>
      <c r="N10" s="245"/>
      <c r="O10" s="245">
        <v>76.17</v>
      </c>
      <c r="P10" s="245"/>
      <c r="Q10" s="245">
        <v>139.29</v>
      </c>
      <c r="R10" s="245"/>
      <c r="S10" s="245">
        <v>278.04</v>
      </c>
      <c r="T10" s="245"/>
      <c r="U10" s="245">
        <v>130.04</v>
      </c>
      <c r="V10" s="245"/>
      <c r="W10" s="245">
        <v>31.01</v>
      </c>
      <c r="X10" s="245">
        <v>800</v>
      </c>
      <c r="Y10" s="245">
        <v>18.5</v>
      </c>
      <c r="Z10" s="245"/>
      <c r="AA10" s="245">
        <v>7.62</v>
      </c>
      <c r="AB10" s="245"/>
      <c r="AC10" s="245">
        <f t="shared" si="2"/>
        <v>731.82</v>
      </c>
      <c r="AD10" s="245">
        <f t="shared" si="3"/>
        <v>800</v>
      </c>
      <c r="AE10" s="112">
        <f t="shared" si="4"/>
        <v>308.87</v>
      </c>
      <c r="AF10" s="1">
        <f t="shared" si="0"/>
        <v>187.17</v>
      </c>
      <c r="AG10" s="1">
        <f t="shared" si="1"/>
        <v>800</v>
      </c>
      <c r="AI10" s="1" t="e">
        <f>#REF!-U10+V10-W10+X10-Y10+Z10-AA10+AB10</f>
        <v>#REF!</v>
      </c>
    </row>
    <row r="11" s="1" customFormat="1" customHeight="1" spans="1:35">
      <c r="A11" s="242">
        <v>7</v>
      </c>
      <c r="B11" s="242" t="s">
        <v>49</v>
      </c>
      <c r="C11" s="243" t="s">
        <v>50</v>
      </c>
      <c r="D11" s="225">
        <v>242.32</v>
      </c>
      <c r="E11" s="225">
        <v>4.9</v>
      </c>
      <c r="F11" s="225"/>
      <c r="G11" s="225">
        <v>2.72</v>
      </c>
      <c r="H11" s="245"/>
      <c r="I11" s="245">
        <v>5.44</v>
      </c>
      <c r="J11" s="245"/>
      <c r="K11" s="245">
        <v>7.62</v>
      </c>
      <c r="L11" s="245"/>
      <c r="M11" s="245">
        <v>95.76</v>
      </c>
      <c r="N11" s="245"/>
      <c r="O11" s="245">
        <v>75.09</v>
      </c>
      <c r="P11" s="245"/>
      <c r="Q11" s="245">
        <v>94.67</v>
      </c>
      <c r="R11" s="245"/>
      <c r="S11" s="245">
        <v>252.46</v>
      </c>
      <c r="T11" s="245">
        <v>1000</v>
      </c>
      <c r="U11" s="245">
        <v>153.44</v>
      </c>
      <c r="V11" s="245"/>
      <c r="W11" s="245">
        <v>168.13</v>
      </c>
      <c r="X11" s="245"/>
      <c r="Y11" s="245">
        <v>162.69</v>
      </c>
      <c r="Z11" s="245"/>
      <c r="AA11" s="245">
        <v>84.34</v>
      </c>
      <c r="AB11" s="245"/>
      <c r="AC11" s="245">
        <f t="shared" si="2"/>
        <v>1107.26</v>
      </c>
      <c r="AD11" s="245">
        <f t="shared" si="3"/>
        <v>1000</v>
      </c>
      <c r="AE11" s="112">
        <f t="shared" si="4"/>
        <v>135.06</v>
      </c>
      <c r="AF11" s="1">
        <f t="shared" si="0"/>
        <v>568.6</v>
      </c>
      <c r="AG11" s="1">
        <f t="shared" si="1"/>
        <v>0</v>
      </c>
      <c r="AI11" s="1" t="e">
        <f>#REF!-U11+V11-W11+X11-Y11+Z11-AA11+AB11</f>
        <v>#REF!</v>
      </c>
    </row>
    <row r="12" s="1" customFormat="1" customHeight="1" spans="1:35">
      <c r="A12" s="242">
        <v>8</v>
      </c>
      <c r="B12" s="242" t="s">
        <v>51</v>
      </c>
      <c r="C12" s="243" t="s">
        <v>52</v>
      </c>
      <c r="D12" s="225">
        <v>-224.93</v>
      </c>
      <c r="E12" s="225">
        <v>180.1</v>
      </c>
      <c r="F12" s="225"/>
      <c r="G12" s="225">
        <v>260.08</v>
      </c>
      <c r="H12" s="245">
        <v>300</v>
      </c>
      <c r="I12" s="245">
        <v>149.63</v>
      </c>
      <c r="J12" s="245"/>
      <c r="K12" s="245">
        <v>195.33</v>
      </c>
      <c r="L12" s="245">
        <v>300</v>
      </c>
      <c r="M12" s="245">
        <v>141.47</v>
      </c>
      <c r="N12" s="245">
        <v>500</v>
      </c>
      <c r="O12" s="245">
        <v>138.75</v>
      </c>
      <c r="P12" s="245"/>
      <c r="Q12" s="245">
        <v>134.93</v>
      </c>
      <c r="R12" s="245">
        <v>1000</v>
      </c>
      <c r="S12" s="245">
        <v>192.61</v>
      </c>
      <c r="T12" s="245"/>
      <c r="U12" s="245">
        <v>174.11</v>
      </c>
      <c r="V12" s="245"/>
      <c r="W12" s="245">
        <v>128.95</v>
      </c>
      <c r="X12" s="245"/>
      <c r="Y12" s="245">
        <v>94.67</v>
      </c>
      <c r="Z12" s="245"/>
      <c r="AA12" s="245">
        <v>216.55</v>
      </c>
      <c r="AB12" s="245"/>
      <c r="AC12" s="245">
        <f t="shared" si="2"/>
        <v>2007.18</v>
      </c>
      <c r="AD12" s="245">
        <f t="shared" si="3"/>
        <v>2100</v>
      </c>
      <c r="AE12" s="112">
        <f t="shared" si="4"/>
        <v>-132.11</v>
      </c>
      <c r="AF12" s="1">
        <f t="shared" si="0"/>
        <v>614.28</v>
      </c>
      <c r="AG12" s="1">
        <f t="shared" si="1"/>
        <v>0</v>
      </c>
      <c r="AI12" s="1" t="e">
        <f>#REF!-U12+V12-W12+X12-Y12+Z12-AA12+AB12</f>
        <v>#REF!</v>
      </c>
    </row>
    <row r="13" s="1" customFormat="1" customHeight="1" spans="1:35">
      <c r="A13" s="242">
        <v>9</v>
      </c>
      <c r="B13" s="242" t="s">
        <v>53</v>
      </c>
      <c r="C13" s="243" t="s">
        <v>54</v>
      </c>
      <c r="D13" s="225">
        <v>-146.36</v>
      </c>
      <c r="E13" s="225">
        <v>237.77</v>
      </c>
      <c r="F13" s="225">
        <v>2000</v>
      </c>
      <c r="G13" s="225">
        <v>445.07</v>
      </c>
      <c r="H13" s="245"/>
      <c r="I13" s="245">
        <v>236.68</v>
      </c>
      <c r="J13" s="245"/>
      <c r="K13" s="245">
        <v>217.64</v>
      </c>
      <c r="L13" s="245"/>
      <c r="M13" s="245">
        <v>132.76</v>
      </c>
      <c r="N13" s="245"/>
      <c r="O13" s="245">
        <v>127.32</v>
      </c>
      <c r="P13" s="245"/>
      <c r="Q13" s="245">
        <v>153.44</v>
      </c>
      <c r="R13" s="245"/>
      <c r="S13" s="245">
        <v>282.39</v>
      </c>
      <c r="T13" s="245"/>
      <c r="U13" s="245">
        <v>111.54</v>
      </c>
      <c r="V13" s="245"/>
      <c r="W13" s="245">
        <v>52.78</v>
      </c>
      <c r="X13" s="245"/>
      <c r="Y13" s="245">
        <v>44.07</v>
      </c>
      <c r="Z13" s="245"/>
      <c r="AA13" s="245">
        <v>22.31</v>
      </c>
      <c r="AB13" s="245"/>
      <c r="AC13" s="245">
        <f t="shared" si="2"/>
        <v>2063.77</v>
      </c>
      <c r="AD13" s="245">
        <f t="shared" si="3"/>
        <v>2000</v>
      </c>
      <c r="AE13" s="112">
        <f t="shared" si="4"/>
        <v>-210.13</v>
      </c>
      <c r="AF13" s="1">
        <f t="shared" si="0"/>
        <v>230.7</v>
      </c>
      <c r="AG13" s="1">
        <f t="shared" si="1"/>
        <v>0</v>
      </c>
      <c r="AI13" s="1" t="e">
        <f>#REF!-U13+V13-W13+X13-Y13+Z13-AA13+AB13</f>
        <v>#REF!</v>
      </c>
    </row>
    <row r="14" s="1" customFormat="1" customHeight="1" spans="1:35">
      <c r="A14" s="242">
        <v>10</v>
      </c>
      <c r="B14" s="242" t="s">
        <v>55</v>
      </c>
      <c r="C14" s="243" t="s">
        <v>56</v>
      </c>
      <c r="D14" s="225">
        <v>300</v>
      </c>
      <c r="E14" s="225"/>
      <c r="F14" s="225"/>
      <c r="G14" s="22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>
        <f t="shared" si="2"/>
        <v>0</v>
      </c>
      <c r="AD14" s="245">
        <f t="shared" si="3"/>
        <v>0</v>
      </c>
      <c r="AE14" s="112">
        <f t="shared" si="4"/>
        <v>300</v>
      </c>
      <c r="AF14" s="1">
        <f t="shared" si="0"/>
        <v>0</v>
      </c>
      <c r="AG14" s="1">
        <f t="shared" si="1"/>
        <v>0</v>
      </c>
      <c r="AI14" s="1" t="e">
        <f>#REF!-U14+V14-W14+X14-Y14+Z14-AA14+AB14</f>
        <v>#REF!</v>
      </c>
    </row>
    <row r="15" s="1" customFormat="1" customHeight="1" spans="1:35">
      <c r="A15" s="242">
        <v>11</v>
      </c>
      <c r="B15" s="242" t="s">
        <v>57</v>
      </c>
      <c r="C15" s="243" t="s">
        <v>58</v>
      </c>
      <c r="D15" s="225">
        <v>300</v>
      </c>
      <c r="E15" s="225"/>
      <c r="F15" s="225"/>
      <c r="G15" s="22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>
        <f t="shared" si="2"/>
        <v>0</v>
      </c>
      <c r="AD15" s="245">
        <f t="shared" si="3"/>
        <v>0</v>
      </c>
      <c r="AE15" s="112">
        <f t="shared" si="4"/>
        <v>300</v>
      </c>
      <c r="AF15" s="1">
        <f t="shared" si="0"/>
        <v>0</v>
      </c>
      <c r="AG15" s="1">
        <f t="shared" si="1"/>
        <v>0</v>
      </c>
      <c r="AI15" s="1" t="e">
        <f>#REF!-U15+V15-W15+X15-Y15+Z15-AA15+AB15</f>
        <v>#REF!</v>
      </c>
    </row>
    <row r="16" s="1" customFormat="1" customHeight="1" spans="1:35">
      <c r="A16" s="242">
        <v>12</v>
      </c>
      <c r="B16" s="242" t="s">
        <v>59</v>
      </c>
      <c r="C16" s="243" t="s">
        <v>60</v>
      </c>
      <c r="D16" s="225">
        <v>266.27</v>
      </c>
      <c r="E16" s="225">
        <v>200.77</v>
      </c>
      <c r="F16" s="225"/>
      <c r="G16" s="225">
        <v>210.02</v>
      </c>
      <c r="H16" s="245"/>
      <c r="I16" s="245">
        <v>176.83</v>
      </c>
      <c r="J16" s="245">
        <v>500</v>
      </c>
      <c r="K16" s="245">
        <v>208.93</v>
      </c>
      <c r="L16" s="245"/>
      <c r="M16" s="245">
        <v>197.51</v>
      </c>
      <c r="N16" s="245"/>
      <c r="O16" s="245">
        <v>207.3</v>
      </c>
      <c r="P16" s="245">
        <v>500</v>
      </c>
      <c r="Q16" s="245">
        <v>193.7</v>
      </c>
      <c r="R16" s="245"/>
      <c r="S16" s="245">
        <v>322.65</v>
      </c>
      <c r="T16" s="245"/>
      <c r="U16" s="245">
        <v>278.58</v>
      </c>
      <c r="V16" s="245">
        <v>500</v>
      </c>
      <c r="W16" s="245">
        <v>225.26</v>
      </c>
      <c r="X16" s="245"/>
      <c r="Y16" s="245">
        <v>179.55</v>
      </c>
      <c r="Z16" s="245">
        <v>846.38</v>
      </c>
      <c r="AA16" s="245">
        <v>161.6</v>
      </c>
      <c r="AB16" s="245"/>
      <c r="AC16" s="245">
        <f t="shared" si="2"/>
        <v>2562.7</v>
      </c>
      <c r="AD16" s="245">
        <f t="shared" si="3"/>
        <v>2346.38</v>
      </c>
      <c r="AE16" s="112">
        <f t="shared" si="4"/>
        <v>49.9500000000003</v>
      </c>
      <c r="AF16" s="1">
        <f t="shared" si="0"/>
        <v>844.99</v>
      </c>
      <c r="AG16" s="1">
        <f t="shared" si="1"/>
        <v>1346.38</v>
      </c>
      <c r="AI16" s="1" t="e">
        <f>#REF!-U16+V16-W16+X16-Y16+Z16-AA16+AB16</f>
        <v>#REF!</v>
      </c>
    </row>
    <row r="17" s="1" customFormat="1" customHeight="1" spans="1:35">
      <c r="A17" s="242">
        <v>13</v>
      </c>
      <c r="B17" s="242" t="s">
        <v>61</v>
      </c>
      <c r="C17" s="243" t="s">
        <v>62</v>
      </c>
      <c r="D17" s="225">
        <v>271.16</v>
      </c>
      <c r="E17" s="225">
        <v>28.29</v>
      </c>
      <c r="F17" s="225"/>
      <c r="G17" s="225">
        <v>240.49</v>
      </c>
      <c r="H17" s="245"/>
      <c r="I17" s="245">
        <v>219.82</v>
      </c>
      <c r="J17" s="245"/>
      <c r="K17" s="245">
        <v>229.61</v>
      </c>
      <c r="L17" s="245">
        <v>500</v>
      </c>
      <c r="M17" s="245">
        <v>184.99</v>
      </c>
      <c r="N17" s="245"/>
      <c r="O17" s="245">
        <v>165.95</v>
      </c>
      <c r="P17" s="245"/>
      <c r="Q17" s="245">
        <v>154.52</v>
      </c>
      <c r="R17" s="245">
        <v>500</v>
      </c>
      <c r="S17" s="245">
        <v>254.64</v>
      </c>
      <c r="T17" s="245"/>
      <c r="U17" s="245">
        <v>175.74</v>
      </c>
      <c r="V17" s="245"/>
      <c r="W17" s="245">
        <v>140.92</v>
      </c>
      <c r="X17" s="245">
        <v>600</v>
      </c>
      <c r="Y17" s="245">
        <v>181.73</v>
      </c>
      <c r="Z17" s="245">
        <v>600</v>
      </c>
      <c r="AA17" s="245">
        <v>179.55</v>
      </c>
      <c r="AB17" s="245"/>
      <c r="AC17" s="245">
        <f t="shared" si="2"/>
        <v>2156.25</v>
      </c>
      <c r="AD17" s="245">
        <f t="shared" si="3"/>
        <v>2200</v>
      </c>
      <c r="AE17" s="112">
        <f t="shared" si="4"/>
        <v>314.91</v>
      </c>
      <c r="AF17" s="1">
        <f t="shared" si="0"/>
        <v>677.94</v>
      </c>
      <c r="AG17" s="1">
        <f t="shared" si="1"/>
        <v>1200</v>
      </c>
      <c r="AI17" s="1" t="e">
        <f>#REF!-U17+V17-W17+X17-Y17+Z17-AA17+AB17</f>
        <v>#REF!</v>
      </c>
    </row>
    <row r="18" s="1" customFormat="1" customHeight="1" spans="1:35">
      <c r="A18" s="242">
        <v>14</v>
      </c>
      <c r="B18" s="242" t="s">
        <v>63</v>
      </c>
      <c r="C18" s="243" t="s">
        <v>64</v>
      </c>
      <c r="D18" s="225">
        <v>300</v>
      </c>
      <c r="E18" s="225"/>
      <c r="F18" s="225"/>
      <c r="G18" s="22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>
        <f t="shared" si="2"/>
        <v>0</v>
      </c>
      <c r="AD18" s="245">
        <f t="shared" si="3"/>
        <v>0</v>
      </c>
      <c r="AE18" s="112">
        <f t="shared" si="4"/>
        <v>300</v>
      </c>
      <c r="AF18" s="1">
        <f t="shared" si="0"/>
        <v>0</v>
      </c>
      <c r="AG18" s="1">
        <f t="shared" si="1"/>
        <v>0</v>
      </c>
      <c r="AI18" s="1" t="e">
        <f>#REF!-U18+V18-W18+X18-Y18+Z18-AA18+AB18</f>
        <v>#REF!</v>
      </c>
    </row>
    <row r="19" s="1" customFormat="1" customHeight="1" spans="1:35">
      <c r="A19" s="242">
        <v>15</v>
      </c>
      <c r="B19" s="242" t="s">
        <v>65</v>
      </c>
      <c r="C19" s="243" t="s">
        <v>66</v>
      </c>
      <c r="D19" s="225">
        <v>300</v>
      </c>
      <c r="E19" s="225"/>
      <c r="F19" s="225"/>
      <c r="G19" s="22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/>
      <c r="AC19" s="245">
        <f t="shared" si="2"/>
        <v>0</v>
      </c>
      <c r="AD19" s="245">
        <f t="shared" si="3"/>
        <v>0</v>
      </c>
      <c r="AE19" s="112">
        <f t="shared" si="4"/>
        <v>300</v>
      </c>
      <c r="AF19" s="1">
        <f t="shared" si="0"/>
        <v>0</v>
      </c>
      <c r="AG19" s="1">
        <f t="shared" si="1"/>
        <v>0</v>
      </c>
      <c r="AI19" s="1" t="e">
        <f>#REF!-U19+V19-W19+X19-Y19+Z19-AA19+AB19</f>
        <v>#REF!</v>
      </c>
    </row>
    <row r="20" s="1" customFormat="1" customHeight="1" spans="1:35">
      <c r="A20" s="242">
        <v>16</v>
      </c>
      <c r="B20" s="242" t="s">
        <v>67</v>
      </c>
      <c r="C20" s="243" t="s">
        <v>68</v>
      </c>
      <c r="D20" s="225">
        <v>177.58</v>
      </c>
      <c r="E20" s="225">
        <v>279.12</v>
      </c>
      <c r="F20" s="225"/>
      <c r="G20" s="225">
        <v>271.51</v>
      </c>
      <c r="H20" s="245"/>
      <c r="I20" s="245">
        <v>183.36</v>
      </c>
      <c r="J20" s="245"/>
      <c r="K20" s="245">
        <v>208.93</v>
      </c>
      <c r="L20" s="245">
        <v>500</v>
      </c>
      <c r="M20" s="245">
        <v>173.57</v>
      </c>
      <c r="N20" s="245"/>
      <c r="O20" s="245">
        <v>133.85</v>
      </c>
      <c r="P20" s="245">
        <v>270</v>
      </c>
      <c r="Q20" s="245">
        <v>112.08</v>
      </c>
      <c r="R20" s="245">
        <v>500</v>
      </c>
      <c r="S20" s="245">
        <v>130.04</v>
      </c>
      <c r="T20" s="245"/>
      <c r="U20" s="245">
        <v>159.97</v>
      </c>
      <c r="V20" s="245"/>
      <c r="W20" s="245">
        <v>207.85</v>
      </c>
      <c r="X20" s="245">
        <v>500</v>
      </c>
      <c r="Y20" s="245">
        <v>127.86</v>
      </c>
      <c r="Z20" s="245">
        <v>500</v>
      </c>
      <c r="AA20" s="245">
        <v>155.61</v>
      </c>
      <c r="AB20" s="245"/>
      <c r="AC20" s="245">
        <f t="shared" si="2"/>
        <v>2143.75</v>
      </c>
      <c r="AD20" s="245">
        <f t="shared" si="3"/>
        <v>2270</v>
      </c>
      <c r="AE20" s="112">
        <f t="shared" si="4"/>
        <v>303.83</v>
      </c>
      <c r="AF20" s="1">
        <f t="shared" si="0"/>
        <v>651.29</v>
      </c>
      <c r="AG20" s="1">
        <f t="shared" si="1"/>
        <v>1000</v>
      </c>
      <c r="AI20" s="1" t="e">
        <f>#REF!-U20+V20-W20+X20-Y20+Z20-AA20+AB20</f>
        <v>#REF!</v>
      </c>
    </row>
    <row r="21" s="1" customFormat="1" customHeight="1" spans="1:35">
      <c r="A21" s="242">
        <v>17</v>
      </c>
      <c r="B21" s="242" t="s">
        <v>69</v>
      </c>
      <c r="C21" s="243" t="s">
        <v>70</v>
      </c>
      <c r="D21" s="225">
        <v>284.14</v>
      </c>
      <c r="E21" s="225">
        <v>175.74</v>
      </c>
      <c r="F21" s="225"/>
      <c r="G21" s="225">
        <v>193.16</v>
      </c>
      <c r="H21" s="245"/>
      <c r="I21" s="245">
        <v>169.76</v>
      </c>
      <c r="J21" s="245"/>
      <c r="K21" s="245">
        <v>198.6</v>
      </c>
      <c r="L21" s="245"/>
      <c r="M21" s="245">
        <v>179.01</v>
      </c>
      <c r="N21" s="245"/>
      <c r="O21" s="245">
        <v>270.42</v>
      </c>
      <c r="P21" s="245">
        <v>500</v>
      </c>
      <c r="Q21" s="245">
        <v>240.49</v>
      </c>
      <c r="R21" s="245">
        <v>900</v>
      </c>
      <c r="S21" s="245">
        <v>376.52</v>
      </c>
      <c r="T21" s="245"/>
      <c r="U21" s="245">
        <v>253.01</v>
      </c>
      <c r="V21" s="245"/>
      <c r="W21" s="245">
        <v>175.2</v>
      </c>
      <c r="X21" s="245"/>
      <c r="Y21" s="245">
        <v>107.73</v>
      </c>
      <c r="Z21" s="245"/>
      <c r="AA21" s="245">
        <v>38.63</v>
      </c>
      <c r="AB21" s="245">
        <v>900</v>
      </c>
      <c r="AC21" s="245">
        <f t="shared" si="2"/>
        <v>2378.27</v>
      </c>
      <c r="AD21" s="245">
        <f t="shared" si="3"/>
        <v>2300</v>
      </c>
      <c r="AE21" s="112">
        <f t="shared" si="4"/>
        <v>205.87</v>
      </c>
      <c r="AF21" s="1">
        <f t="shared" si="0"/>
        <v>574.57</v>
      </c>
      <c r="AG21" s="1">
        <f t="shared" si="1"/>
        <v>900</v>
      </c>
      <c r="AI21" s="1" t="e">
        <f>#REF!-U21+V21-W21+X21-Y21+Z21-AA21+AB21</f>
        <v>#REF!</v>
      </c>
    </row>
    <row r="22" s="1" customFormat="1" customHeight="1" spans="1:35">
      <c r="A22" s="242">
        <v>18</v>
      </c>
      <c r="B22" s="242" t="s">
        <v>71</v>
      </c>
      <c r="C22" s="243" t="s">
        <v>72</v>
      </c>
      <c r="D22" s="225">
        <v>261.37</v>
      </c>
      <c r="E22" s="225">
        <v>7.62</v>
      </c>
      <c r="F22" s="225"/>
      <c r="G22" s="225"/>
      <c r="H22" s="245"/>
      <c r="I22" s="245">
        <v>4.35</v>
      </c>
      <c r="J22" s="245"/>
      <c r="K22" s="245">
        <v>11.97</v>
      </c>
      <c r="L22" s="245"/>
      <c r="M22" s="245">
        <v>7.07</v>
      </c>
      <c r="N22" s="245"/>
      <c r="O22" s="245"/>
      <c r="P22" s="245"/>
      <c r="Q22" s="245"/>
      <c r="R22" s="245"/>
      <c r="S22" s="245">
        <v>2.18</v>
      </c>
      <c r="T22" s="245"/>
      <c r="U22" s="245">
        <v>17.41</v>
      </c>
      <c r="V22" s="245"/>
      <c r="W22" s="245">
        <v>3.26</v>
      </c>
      <c r="X22" s="245"/>
      <c r="Y22" s="245"/>
      <c r="Z22" s="245"/>
      <c r="AA22" s="245">
        <v>83.25</v>
      </c>
      <c r="AB22" s="245"/>
      <c r="AC22" s="245">
        <f t="shared" si="2"/>
        <v>137.11</v>
      </c>
      <c r="AD22" s="245">
        <f t="shared" si="3"/>
        <v>0</v>
      </c>
      <c r="AE22" s="112">
        <f t="shared" si="4"/>
        <v>124.26</v>
      </c>
      <c r="AF22" s="1">
        <f t="shared" si="0"/>
        <v>103.92</v>
      </c>
      <c r="AG22" s="1">
        <f t="shared" si="1"/>
        <v>0</v>
      </c>
      <c r="AI22" s="1" t="e">
        <f>#REF!-U22+V22-W22+X22-Y22+Z22-AA22+AB22</f>
        <v>#REF!</v>
      </c>
    </row>
    <row r="23" s="1" customFormat="1" customHeight="1" spans="1:35">
      <c r="A23" s="242">
        <v>19</v>
      </c>
      <c r="B23" s="242" t="s">
        <v>73</v>
      </c>
      <c r="C23" s="243" t="s">
        <v>74</v>
      </c>
      <c r="D23" s="225">
        <v>274.97</v>
      </c>
      <c r="E23" s="225"/>
      <c r="F23" s="225"/>
      <c r="G23" s="225"/>
      <c r="H23" s="245"/>
      <c r="I23" s="245">
        <v>60.4</v>
      </c>
      <c r="J23" s="245"/>
      <c r="K23" s="245">
        <v>64.2</v>
      </c>
      <c r="L23" s="245"/>
      <c r="M23" s="245">
        <v>122.97</v>
      </c>
      <c r="N23" s="245"/>
      <c r="O23" s="245"/>
      <c r="P23" s="245"/>
      <c r="Q23" s="245">
        <v>15.77</v>
      </c>
      <c r="R23" s="245"/>
      <c r="S23" s="245">
        <v>54.41</v>
      </c>
      <c r="T23" s="245"/>
      <c r="U23" s="245">
        <v>137.11</v>
      </c>
      <c r="V23" s="245"/>
      <c r="W23" s="245">
        <v>4.9</v>
      </c>
      <c r="X23" s="245"/>
      <c r="Y23" s="245">
        <v>16.87</v>
      </c>
      <c r="Z23" s="245"/>
      <c r="AA23" s="245">
        <v>1.09</v>
      </c>
      <c r="AB23" s="245">
        <v>500</v>
      </c>
      <c r="AC23" s="245">
        <f t="shared" si="2"/>
        <v>477.72</v>
      </c>
      <c r="AD23" s="245">
        <f t="shared" si="3"/>
        <v>500</v>
      </c>
      <c r="AE23" s="112">
        <f t="shared" si="4"/>
        <v>297.25</v>
      </c>
      <c r="AF23" s="1">
        <f t="shared" si="0"/>
        <v>159.97</v>
      </c>
      <c r="AG23" s="1">
        <f t="shared" si="1"/>
        <v>500</v>
      </c>
      <c r="AI23" s="1" t="e">
        <f>#REF!-U23+V23-W23+X23-Y23+Z23-AA23+AB23</f>
        <v>#REF!</v>
      </c>
    </row>
    <row r="24" s="1" customFormat="1" customHeight="1" spans="1:35">
      <c r="A24" s="242">
        <v>20</v>
      </c>
      <c r="B24" s="242" t="s">
        <v>75</v>
      </c>
      <c r="C24" s="243" t="s">
        <v>76</v>
      </c>
      <c r="D24" s="225">
        <v>-328.44</v>
      </c>
      <c r="E24" s="225">
        <v>119.16</v>
      </c>
      <c r="F24" s="225"/>
      <c r="G24" s="225">
        <v>106.64</v>
      </c>
      <c r="H24" s="245"/>
      <c r="I24" s="245">
        <v>106.64</v>
      </c>
      <c r="J24" s="245"/>
      <c r="K24" s="245">
        <v>124.06</v>
      </c>
      <c r="L24" s="245"/>
      <c r="M24" s="245">
        <v>133.31</v>
      </c>
      <c r="N24" s="245">
        <v>2000</v>
      </c>
      <c r="O24" s="245">
        <v>89.78</v>
      </c>
      <c r="P24" s="245"/>
      <c r="Q24" s="245">
        <v>94.67</v>
      </c>
      <c r="R24" s="245"/>
      <c r="S24" s="245">
        <v>161.6</v>
      </c>
      <c r="T24" s="245"/>
      <c r="U24" s="245">
        <v>88.14</v>
      </c>
      <c r="V24" s="245"/>
      <c r="W24" s="245">
        <v>113.72</v>
      </c>
      <c r="X24" s="245"/>
      <c r="Y24" s="245">
        <v>82.7</v>
      </c>
      <c r="Z24" s="245"/>
      <c r="AA24" s="245">
        <v>107.19</v>
      </c>
      <c r="AB24" s="245"/>
      <c r="AC24" s="245">
        <f t="shared" si="2"/>
        <v>1327.61</v>
      </c>
      <c r="AD24" s="245">
        <f t="shared" si="3"/>
        <v>2000</v>
      </c>
      <c r="AE24" s="112">
        <f t="shared" si="4"/>
        <v>343.95</v>
      </c>
      <c r="AF24" s="1">
        <f t="shared" si="0"/>
        <v>391.75</v>
      </c>
      <c r="AG24" s="1">
        <f t="shared" si="1"/>
        <v>0</v>
      </c>
      <c r="AI24" s="1" t="e">
        <f>#REF!-U24+V24-W24+X24-Y24+Z24-AA24+AB24</f>
        <v>#REF!</v>
      </c>
    </row>
    <row r="25" s="1" customFormat="1" customHeight="1" spans="1:35">
      <c r="A25" s="242">
        <v>21</v>
      </c>
      <c r="B25" s="242" t="s">
        <v>77</v>
      </c>
      <c r="C25" s="243" t="s">
        <v>78</v>
      </c>
      <c r="D25" s="225">
        <v>292.38</v>
      </c>
      <c r="E25" s="225"/>
      <c r="F25" s="225"/>
      <c r="G25" s="225">
        <v>2.18</v>
      </c>
      <c r="H25" s="245"/>
      <c r="I25" s="245">
        <v>2.18</v>
      </c>
      <c r="J25" s="245"/>
      <c r="K25" s="245">
        <v>2.18</v>
      </c>
      <c r="L25" s="245"/>
      <c r="M25" s="245">
        <v>19.04</v>
      </c>
      <c r="N25" s="245"/>
      <c r="O25" s="245">
        <v>5.99</v>
      </c>
      <c r="P25" s="245"/>
      <c r="Q25" s="245"/>
      <c r="R25" s="245"/>
      <c r="S25" s="245">
        <v>34.28</v>
      </c>
      <c r="T25" s="245"/>
      <c r="U25" s="245">
        <v>0.54</v>
      </c>
      <c r="V25" s="245"/>
      <c r="W25" s="245">
        <v>0.54</v>
      </c>
      <c r="X25" s="245"/>
      <c r="Y25" s="245"/>
      <c r="Z25" s="245"/>
      <c r="AA25" s="245"/>
      <c r="AB25" s="245"/>
      <c r="AC25" s="245">
        <f t="shared" si="2"/>
        <v>66.93</v>
      </c>
      <c r="AD25" s="245">
        <f t="shared" si="3"/>
        <v>0</v>
      </c>
      <c r="AE25" s="112">
        <f t="shared" si="4"/>
        <v>225.45</v>
      </c>
      <c r="AF25" s="1">
        <f t="shared" si="0"/>
        <v>1.08</v>
      </c>
      <c r="AG25" s="1">
        <f t="shared" si="1"/>
        <v>0</v>
      </c>
      <c r="AI25" s="1" t="e">
        <f>#REF!-U25+V25-W25+X25-Y25+Z25-AA25+AB25</f>
        <v>#REF!</v>
      </c>
    </row>
    <row r="26" s="1" customFormat="1" customHeight="1" spans="1:35">
      <c r="A26" s="242">
        <v>22</v>
      </c>
      <c r="B26" s="242" t="s">
        <v>79</v>
      </c>
      <c r="C26" s="243" t="s">
        <v>80</v>
      </c>
      <c r="D26" s="225">
        <v>270.62</v>
      </c>
      <c r="E26" s="225">
        <v>18.5</v>
      </c>
      <c r="F26" s="225"/>
      <c r="G26" s="225">
        <v>38.09</v>
      </c>
      <c r="H26" s="245"/>
      <c r="I26" s="245">
        <v>11.97</v>
      </c>
      <c r="J26" s="245">
        <v>1000</v>
      </c>
      <c r="K26" s="245">
        <v>60.94</v>
      </c>
      <c r="L26" s="245"/>
      <c r="M26" s="245">
        <v>91.95</v>
      </c>
      <c r="N26" s="245"/>
      <c r="O26" s="245">
        <v>118.07</v>
      </c>
      <c r="P26" s="245"/>
      <c r="Q26" s="245"/>
      <c r="R26" s="245"/>
      <c r="S26" s="245">
        <v>85.42</v>
      </c>
      <c r="T26" s="245"/>
      <c r="U26" s="245">
        <v>89.23</v>
      </c>
      <c r="V26" s="245"/>
      <c r="W26" s="245">
        <v>82.7</v>
      </c>
      <c r="X26" s="245"/>
      <c r="Y26" s="245">
        <v>46.25</v>
      </c>
      <c r="Z26" s="245"/>
      <c r="AA26" s="245">
        <v>28.84</v>
      </c>
      <c r="AB26" s="245"/>
      <c r="AC26" s="245">
        <f t="shared" si="2"/>
        <v>671.96</v>
      </c>
      <c r="AD26" s="245">
        <f t="shared" si="3"/>
        <v>1000</v>
      </c>
      <c r="AE26" s="112">
        <f t="shared" si="4"/>
        <v>598.66</v>
      </c>
      <c r="AF26" s="1">
        <f t="shared" si="0"/>
        <v>247.02</v>
      </c>
      <c r="AG26" s="1">
        <f t="shared" si="1"/>
        <v>0</v>
      </c>
      <c r="AI26" s="1" t="e">
        <f>#REF!-U26+V26-W26+X26-Y26+Z26-AA26+AB26</f>
        <v>#REF!</v>
      </c>
    </row>
    <row r="27" s="1" customFormat="1" customHeight="1" spans="1:35">
      <c r="A27" s="242">
        <v>23</v>
      </c>
      <c r="B27" s="242" t="s">
        <v>81</v>
      </c>
      <c r="C27" s="243" t="s">
        <v>82</v>
      </c>
      <c r="D27" s="225">
        <v>261.91</v>
      </c>
      <c r="E27" s="225">
        <v>9.25</v>
      </c>
      <c r="F27" s="225"/>
      <c r="G27" s="225">
        <v>120.25</v>
      </c>
      <c r="H27" s="245">
        <v>1000</v>
      </c>
      <c r="I27" s="245">
        <v>63.66</v>
      </c>
      <c r="J27" s="245"/>
      <c r="K27" s="245">
        <v>68.56</v>
      </c>
      <c r="L27" s="245"/>
      <c r="M27" s="245">
        <v>71.28</v>
      </c>
      <c r="N27" s="245"/>
      <c r="O27" s="245">
        <v>60.94</v>
      </c>
      <c r="P27" s="245"/>
      <c r="Q27" s="245">
        <v>76.71</v>
      </c>
      <c r="R27" s="245"/>
      <c r="S27" s="245">
        <v>164.86</v>
      </c>
      <c r="T27" s="245"/>
      <c r="U27" s="245">
        <v>102.29</v>
      </c>
      <c r="V27" s="245"/>
      <c r="W27" s="245">
        <v>64.2</v>
      </c>
      <c r="X27" s="245"/>
      <c r="Y27" s="245">
        <v>65.84</v>
      </c>
      <c r="Z27" s="245"/>
      <c r="AA27" s="245">
        <v>76.17</v>
      </c>
      <c r="AB27" s="245"/>
      <c r="AC27" s="245">
        <f t="shared" si="2"/>
        <v>944.01</v>
      </c>
      <c r="AD27" s="245">
        <f t="shared" si="3"/>
        <v>1000</v>
      </c>
      <c r="AE27" s="112">
        <f t="shared" si="4"/>
        <v>317.9</v>
      </c>
      <c r="AF27" s="1">
        <f t="shared" si="0"/>
        <v>308.5</v>
      </c>
      <c r="AG27" s="1">
        <f t="shared" si="1"/>
        <v>0</v>
      </c>
      <c r="AI27" s="1" t="e">
        <f>#REF!-U27+V27-W27+X27-Y27+Z27-AA27+AB27</f>
        <v>#REF!</v>
      </c>
    </row>
    <row r="28" s="1" customFormat="1" customHeight="1" spans="1:35">
      <c r="A28" s="242">
        <v>24</v>
      </c>
      <c r="B28" s="242" t="s">
        <v>83</v>
      </c>
      <c r="C28" s="243" t="s">
        <v>84</v>
      </c>
      <c r="D28" s="225">
        <v>278.24</v>
      </c>
      <c r="E28" s="225">
        <v>5.44</v>
      </c>
      <c r="F28" s="225"/>
      <c r="G28" s="225">
        <v>5.44</v>
      </c>
      <c r="H28" s="245"/>
      <c r="I28" s="245">
        <v>3.27</v>
      </c>
      <c r="J28" s="245"/>
      <c r="K28" s="245">
        <v>12.51</v>
      </c>
      <c r="L28" s="245"/>
      <c r="M28" s="245">
        <v>120.25</v>
      </c>
      <c r="N28" s="245"/>
      <c r="O28" s="245">
        <v>84.88</v>
      </c>
      <c r="P28" s="245"/>
      <c r="Q28" s="245">
        <v>263.88</v>
      </c>
      <c r="R28" s="245"/>
      <c r="S28" s="245"/>
      <c r="T28" s="245"/>
      <c r="U28" s="245">
        <v>61.48</v>
      </c>
      <c r="V28" s="245"/>
      <c r="W28" s="245">
        <v>75.63</v>
      </c>
      <c r="X28" s="245"/>
      <c r="Y28" s="245">
        <v>87.6</v>
      </c>
      <c r="Z28" s="245"/>
      <c r="AA28" s="245">
        <v>101.2</v>
      </c>
      <c r="AB28" s="245"/>
      <c r="AC28" s="245">
        <f t="shared" si="2"/>
        <v>821.58</v>
      </c>
      <c r="AD28" s="245">
        <f t="shared" si="3"/>
        <v>0</v>
      </c>
      <c r="AE28" s="112">
        <f t="shared" si="4"/>
        <v>-543.34</v>
      </c>
      <c r="AF28" s="1">
        <f t="shared" si="0"/>
        <v>325.91</v>
      </c>
      <c r="AG28" s="1">
        <f t="shared" si="1"/>
        <v>0</v>
      </c>
      <c r="AI28" s="1" t="e">
        <f>#REF!-U28+V28-W28+X28-Y28+Z28-AA28+AB28</f>
        <v>#REF!</v>
      </c>
    </row>
    <row r="29" s="1" customFormat="1" customHeight="1" spans="1:35">
      <c r="A29" s="242">
        <v>25</v>
      </c>
      <c r="B29" s="242" t="s">
        <v>85</v>
      </c>
      <c r="C29" s="243" t="s">
        <v>86</v>
      </c>
      <c r="D29" s="225">
        <v>270.07</v>
      </c>
      <c r="E29" s="225">
        <v>32.65</v>
      </c>
      <c r="F29" s="225"/>
      <c r="G29" s="225">
        <v>1.09</v>
      </c>
      <c r="H29" s="245"/>
      <c r="I29" s="245">
        <v>1.63</v>
      </c>
      <c r="J29" s="245"/>
      <c r="K29" s="245">
        <v>1.09</v>
      </c>
      <c r="L29" s="245"/>
      <c r="M29" s="245">
        <v>2.72</v>
      </c>
      <c r="N29" s="245"/>
      <c r="O29" s="245">
        <v>24.48</v>
      </c>
      <c r="P29" s="245"/>
      <c r="Q29" s="245">
        <v>19.58</v>
      </c>
      <c r="R29" s="245"/>
      <c r="S29" s="245">
        <v>95.22</v>
      </c>
      <c r="T29" s="245"/>
      <c r="U29" s="245">
        <v>78.89</v>
      </c>
      <c r="V29" s="245"/>
      <c r="W29" s="245">
        <v>20.68</v>
      </c>
      <c r="X29" s="245"/>
      <c r="Y29" s="245">
        <v>151.26</v>
      </c>
      <c r="Z29" s="245"/>
      <c r="AA29" s="245">
        <v>85.42</v>
      </c>
      <c r="AB29" s="245"/>
      <c r="AC29" s="245">
        <f t="shared" si="2"/>
        <v>514.71</v>
      </c>
      <c r="AD29" s="245">
        <f t="shared" si="3"/>
        <v>0</v>
      </c>
      <c r="AE29" s="112">
        <f t="shared" si="4"/>
        <v>-244.64</v>
      </c>
      <c r="AF29" s="1">
        <f t="shared" si="0"/>
        <v>336.25</v>
      </c>
      <c r="AG29" s="1">
        <f t="shared" si="1"/>
        <v>0</v>
      </c>
      <c r="AI29" s="1" t="e">
        <f>#REF!-U29+V29-W29+X29-Y29+Z29-AA29+AB29</f>
        <v>#REF!</v>
      </c>
    </row>
    <row r="30" s="1" customFormat="1" customHeight="1" spans="1:35">
      <c r="A30" s="242">
        <v>26</v>
      </c>
      <c r="B30" s="242" t="s">
        <v>87</v>
      </c>
      <c r="C30" s="243" t="s">
        <v>88</v>
      </c>
      <c r="D30" s="225">
        <v>245.59</v>
      </c>
      <c r="E30" s="225"/>
      <c r="F30" s="225"/>
      <c r="G30" s="225">
        <v>2.18</v>
      </c>
      <c r="H30" s="245"/>
      <c r="I30" s="245">
        <v>4.9</v>
      </c>
      <c r="J30" s="245"/>
      <c r="K30" s="245">
        <v>10.88</v>
      </c>
      <c r="L30" s="245"/>
      <c r="M30" s="245"/>
      <c r="N30" s="245"/>
      <c r="O30" s="245"/>
      <c r="P30" s="245"/>
      <c r="Q30" s="245"/>
      <c r="R30" s="245"/>
      <c r="S30" s="245"/>
      <c r="T30" s="245"/>
      <c r="U30" s="245">
        <v>46.25</v>
      </c>
      <c r="V30" s="245"/>
      <c r="W30" s="245">
        <v>368.9</v>
      </c>
      <c r="X30" s="245"/>
      <c r="Y30" s="245">
        <v>116.44</v>
      </c>
      <c r="Z30" s="245">
        <v>403.22</v>
      </c>
      <c r="AA30" s="245">
        <v>134.94</v>
      </c>
      <c r="AB30" s="245">
        <v>100</v>
      </c>
      <c r="AC30" s="245">
        <f t="shared" si="2"/>
        <v>684.49</v>
      </c>
      <c r="AD30" s="245">
        <f t="shared" si="3"/>
        <v>503.22</v>
      </c>
      <c r="AE30" s="112">
        <f t="shared" si="4"/>
        <v>64.3200000000002</v>
      </c>
      <c r="AF30" s="1">
        <f t="shared" si="0"/>
        <v>666.53</v>
      </c>
      <c r="AG30" s="1">
        <f t="shared" si="1"/>
        <v>503.22</v>
      </c>
      <c r="AI30" s="1" t="e">
        <f>#REF!-U30+V30-W30+X30-Y30+Z30-AA30+AB30</f>
        <v>#REF!</v>
      </c>
    </row>
    <row r="31" s="1" customFormat="1" customHeight="1" spans="1:35">
      <c r="A31" s="242">
        <v>27</v>
      </c>
      <c r="B31" s="242" t="s">
        <v>89</v>
      </c>
      <c r="C31" s="243" t="s">
        <v>90</v>
      </c>
      <c r="D31" s="225">
        <v>-477.52</v>
      </c>
      <c r="E31" s="225">
        <v>196.42</v>
      </c>
      <c r="F31" s="225"/>
      <c r="G31" s="225">
        <v>159.97</v>
      </c>
      <c r="H31" s="245"/>
      <c r="I31" s="245">
        <v>138.2</v>
      </c>
      <c r="J31" s="245"/>
      <c r="K31" s="245">
        <v>150.17</v>
      </c>
      <c r="L31" s="245"/>
      <c r="M31" s="245">
        <v>157.79</v>
      </c>
      <c r="N31" s="245">
        <v>2000</v>
      </c>
      <c r="O31" s="245">
        <v>116.98</v>
      </c>
      <c r="P31" s="245"/>
      <c r="Q31" s="245">
        <v>127.31</v>
      </c>
      <c r="R31" s="245"/>
      <c r="S31" s="245">
        <v>267.15</v>
      </c>
      <c r="T31" s="245"/>
      <c r="U31" s="245">
        <v>343.33</v>
      </c>
      <c r="V31" s="245"/>
      <c r="W31" s="245">
        <v>246.48</v>
      </c>
      <c r="X31" s="245"/>
      <c r="Y31" s="245">
        <v>126.23</v>
      </c>
      <c r="Z31" s="245">
        <v>1000</v>
      </c>
      <c r="AA31" s="245">
        <v>117.53</v>
      </c>
      <c r="AB31" s="245"/>
      <c r="AC31" s="245">
        <f t="shared" si="2"/>
        <v>2147.56</v>
      </c>
      <c r="AD31" s="245">
        <f t="shared" si="3"/>
        <v>3000</v>
      </c>
      <c r="AE31" s="112">
        <f t="shared" si="4"/>
        <v>374.92</v>
      </c>
      <c r="AF31" s="1">
        <f t="shared" si="0"/>
        <v>833.57</v>
      </c>
      <c r="AG31" s="1">
        <f t="shared" si="1"/>
        <v>1000</v>
      </c>
      <c r="AI31" s="1" t="e">
        <f>#REF!-U31+V31-W31+X31-Y31+Z31-AA31+AB31</f>
        <v>#REF!</v>
      </c>
    </row>
    <row r="32" s="1" customFormat="1" customHeight="1" spans="1:35">
      <c r="A32" s="242">
        <v>28</v>
      </c>
      <c r="B32" s="242" t="s">
        <v>91</v>
      </c>
      <c r="C32" s="243" t="s">
        <v>92</v>
      </c>
      <c r="D32" s="225">
        <v>289.12</v>
      </c>
      <c r="E32" s="225"/>
      <c r="F32" s="225"/>
      <c r="G32" s="22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>
        <f t="shared" si="2"/>
        <v>0</v>
      </c>
      <c r="AD32" s="245">
        <f t="shared" si="3"/>
        <v>0</v>
      </c>
      <c r="AE32" s="112">
        <f t="shared" si="4"/>
        <v>289.12</v>
      </c>
      <c r="AF32" s="1">
        <f t="shared" si="0"/>
        <v>0</v>
      </c>
      <c r="AG32" s="1">
        <f t="shared" si="1"/>
        <v>0</v>
      </c>
      <c r="AI32" s="1" t="e">
        <f>#REF!-U32+V32-W32+X32-Y32+Z32-AA32+AB32</f>
        <v>#REF!</v>
      </c>
    </row>
    <row r="33" s="1" customFormat="1" customHeight="1" spans="1:35">
      <c r="A33" s="242">
        <v>29</v>
      </c>
      <c r="B33" s="242" t="s">
        <v>93</v>
      </c>
      <c r="C33" s="243" t="s">
        <v>94</v>
      </c>
      <c r="D33" s="225">
        <v>244.5</v>
      </c>
      <c r="E33" s="225">
        <v>3.81</v>
      </c>
      <c r="F33" s="225"/>
      <c r="G33" s="225">
        <v>3.27</v>
      </c>
      <c r="H33" s="245"/>
      <c r="I33" s="245">
        <v>1.63</v>
      </c>
      <c r="J33" s="245"/>
      <c r="K33" s="245">
        <v>183.91</v>
      </c>
      <c r="L33" s="245"/>
      <c r="M33" s="245">
        <v>183.91</v>
      </c>
      <c r="N33" s="245">
        <v>500</v>
      </c>
      <c r="O33" s="245">
        <v>119.15</v>
      </c>
      <c r="P33" s="245"/>
      <c r="Q33" s="245">
        <v>31.01</v>
      </c>
      <c r="R33" s="245"/>
      <c r="S33" s="245">
        <v>29.38</v>
      </c>
      <c r="T33" s="245"/>
      <c r="U33" s="245">
        <v>27.75</v>
      </c>
      <c r="V33" s="245"/>
      <c r="W33" s="245">
        <v>28.29</v>
      </c>
      <c r="X33" s="245"/>
      <c r="Y33" s="245">
        <v>34.82</v>
      </c>
      <c r="Z33" s="245"/>
      <c r="AA33" s="245">
        <v>20.68</v>
      </c>
      <c r="AB33" s="245"/>
      <c r="AC33" s="245">
        <f t="shared" si="2"/>
        <v>667.61</v>
      </c>
      <c r="AD33" s="245">
        <f t="shared" si="3"/>
        <v>500</v>
      </c>
      <c r="AE33" s="112">
        <f t="shared" si="4"/>
        <v>76.8900000000001</v>
      </c>
      <c r="AF33" s="1">
        <f t="shared" si="0"/>
        <v>111.54</v>
      </c>
      <c r="AG33" s="1">
        <f t="shared" si="1"/>
        <v>0</v>
      </c>
      <c r="AI33" s="1" t="e">
        <f>#REF!-U33+V33-W33+X33-Y33+Z33-AA33+AB33</f>
        <v>#REF!</v>
      </c>
    </row>
    <row r="34" s="1" customFormat="1" customHeight="1" spans="1:35">
      <c r="A34" s="242">
        <v>30</v>
      </c>
      <c r="B34" s="242" t="s">
        <v>95</v>
      </c>
      <c r="C34" s="243" t="s">
        <v>96</v>
      </c>
      <c r="D34" s="225">
        <v>300</v>
      </c>
      <c r="E34" s="225"/>
      <c r="F34" s="225"/>
      <c r="G34" s="225"/>
      <c r="H34" s="245"/>
      <c r="I34" s="245"/>
      <c r="J34" s="245"/>
      <c r="K34" s="245"/>
      <c r="L34" s="245"/>
      <c r="M34" s="245">
        <v>14.15</v>
      </c>
      <c r="N34" s="245"/>
      <c r="O34" s="245"/>
      <c r="P34" s="245"/>
      <c r="Q34" s="245"/>
      <c r="R34" s="245"/>
      <c r="S34" s="245"/>
      <c r="T34" s="245"/>
      <c r="U34" s="245"/>
      <c r="V34" s="245"/>
      <c r="W34" s="245">
        <v>5.99</v>
      </c>
      <c r="X34" s="245"/>
      <c r="Y34" s="245">
        <v>13.6</v>
      </c>
      <c r="Z34" s="245"/>
      <c r="AA34" s="245">
        <v>15.23</v>
      </c>
      <c r="AB34" s="245"/>
      <c r="AC34" s="245">
        <f t="shared" si="2"/>
        <v>48.97</v>
      </c>
      <c r="AD34" s="245">
        <f t="shared" si="3"/>
        <v>0</v>
      </c>
      <c r="AE34" s="112">
        <f t="shared" si="4"/>
        <v>251.03</v>
      </c>
      <c r="AF34" s="1">
        <f t="shared" si="0"/>
        <v>34.82</v>
      </c>
      <c r="AG34" s="1">
        <f t="shared" si="1"/>
        <v>0</v>
      </c>
      <c r="AI34" s="1" t="e">
        <f>#REF!-U34+V34-W34+X34-Y34+Z34-AA34+AB34</f>
        <v>#REF!</v>
      </c>
    </row>
    <row r="35" s="1" customFormat="1" customHeight="1" spans="1:35">
      <c r="A35" s="242">
        <v>31</v>
      </c>
      <c r="B35" s="242" t="s">
        <v>97</v>
      </c>
      <c r="C35" s="243" t="s">
        <v>98</v>
      </c>
      <c r="D35" s="225">
        <v>300</v>
      </c>
      <c r="E35" s="225"/>
      <c r="F35" s="225"/>
      <c r="G35" s="225"/>
      <c r="H35" s="245"/>
      <c r="I35" s="245"/>
      <c r="J35" s="245"/>
      <c r="K35" s="245">
        <v>4.35</v>
      </c>
      <c r="L35" s="245"/>
      <c r="M35" s="245">
        <v>4.35</v>
      </c>
      <c r="N35" s="245"/>
      <c r="O35" s="245">
        <v>11.97</v>
      </c>
      <c r="P35" s="245"/>
      <c r="Q35" s="245">
        <v>39.71</v>
      </c>
      <c r="R35" s="245"/>
      <c r="S35" s="245">
        <v>57.68</v>
      </c>
      <c r="T35" s="245"/>
      <c r="U35" s="245">
        <v>42.98</v>
      </c>
      <c r="V35" s="245"/>
      <c r="W35" s="245">
        <v>57.67</v>
      </c>
      <c r="X35" s="245"/>
      <c r="Y35" s="245">
        <v>81.62</v>
      </c>
      <c r="Z35" s="245"/>
      <c r="AA35" s="245">
        <v>116.98</v>
      </c>
      <c r="AB35" s="245"/>
      <c r="AC35" s="245">
        <f t="shared" si="2"/>
        <v>417.31</v>
      </c>
      <c r="AD35" s="245">
        <f t="shared" si="3"/>
        <v>0</v>
      </c>
      <c r="AE35" s="112">
        <f t="shared" si="4"/>
        <v>-117.31</v>
      </c>
      <c r="AF35" s="1">
        <f t="shared" si="0"/>
        <v>299.25</v>
      </c>
      <c r="AG35" s="1">
        <f t="shared" si="1"/>
        <v>0</v>
      </c>
      <c r="AI35" s="1" t="e">
        <f>#REF!-U35+V35-W35+X35-Y35+Z35-AA35+AB35</f>
        <v>#REF!</v>
      </c>
    </row>
    <row r="36" s="1" customFormat="1" customHeight="1" spans="1:35">
      <c r="A36" s="242">
        <v>32</v>
      </c>
      <c r="B36" s="242" t="s">
        <v>99</v>
      </c>
      <c r="C36" s="243" t="s">
        <v>100</v>
      </c>
      <c r="D36" s="225">
        <v>300</v>
      </c>
      <c r="E36" s="225"/>
      <c r="F36" s="225"/>
      <c r="G36" s="22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>
        <f t="shared" si="2"/>
        <v>0</v>
      </c>
      <c r="AD36" s="245">
        <f t="shared" si="3"/>
        <v>0</v>
      </c>
      <c r="AE36" s="112">
        <f t="shared" si="4"/>
        <v>300</v>
      </c>
      <c r="AF36" s="1">
        <f t="shared" si="0"/>
        <v>0</v>
      </c>
      <c r="AG36" s="1">
        <f t="shared" si="1"/>
        <v>0</v>
      </c>
      <c r="AI36" s="1" t="e">
        <f>#REF!-U36+V36-W36+X36-Y36+Z36-AA36+AB36</f>
        <v>#REF!</v>
      </c>
    </row>
    <row r="37" s="1" customFormat="1" customHeight="1" spans="1:35">
      <c r="A37" s="242">
        <v>33</v>
      </c>
      <c r="B37" s="242" t="s">
        <v>101</v>
      </c>
      <c r="C37" s="243" t="s">
        <v>102</v>
      </c>
      <c r="D37" s="225">
        <v>300</v>
      </c>
      <c r="E37" s="225"/>
      <c r="F37" s="225"/>
      <c r="G37" s="22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>
        <f t="shared" si="2"/>
        <v>0</v>
      </c>
      <c r="AD37" s="245">
        <f t="shared" si="3"/>
        <v>0</v>
      </c>
      <c r="AE37" s="112">
        <f t="shared" si="4"/>
        <v>300</v>
      </c>
      <c r="AF37" s="1">
        <f t="shared" si="0"/>
        <v>0</v>
      </c>
      <c r="AG37" s="1">
        <f t="shared" si="1"/>
        <v>0</v>
      </c>
      <c r="AI37" s="1" t="e">
        <f>#REF!-U37+V37-W37+X37-Y37+Z37-AA37+AB37</f>
        <v>#REF!</v>
      </c>
    </row>
    <row r="38" s="1" customFormat="1" customHeight="1" spans="1:35">
      <c r="A38" s="242">
        <v>34</v>
      </c>
      <c r="B38" s="242" t="s">
        <v>103</v>
      </c>
      <c r="C38" s="243" t="s">
        <v>104</v>
      </c>
      <c r="D38" s="225">
        <v>-13.4</v>
      </c>
      <c r="E38" s="225">
        <v>126.78</v>
      </c>
      <c r="F38" s="225"/>
      <c r="G38" s="225">
        <v>280.21</v>
      </c>
      <c r="H38" s="245"/>
      <c r="I38" s="245">
        <v>171.39</v>
      </c>
      <c r="J38" s="245"/>
      <c r="K38" s="245">
        <v>86.51</v>
      </c>
      <c r="L38" s="245"/>
      <c r="M38" s="245">
        <v>109.36</v>
      </c>
      <c r="N38" s="245"/>
      <c r="O38" s="245">
        <v>132.21</v>
      </c>
      <c r="P38" s="245">
        <v>2000</v>
      </c>
      <c r="Q38" s="245">
        <v>141.46</v>
      </c>
      <c r="R38" s="245"/>
      <c r="S38" s="245">
        <v>263.34</v>
      </c>
      <c r="T38" s="245"/>
      <c r="U38" s="245">
        <v>351.49</v>
      </c>
      <c r="V38" s="245"/>
      <c r="W38" s="245">
        <v>195.33</v>
      </c>
      <c r="X38" s="245"/>
      <c r="Y38" s="245">
        <v>157.79</v>
      </c>
      <c r="Z38" s="245"/>
      <c r="AA38" s="245">
        <v>153.44</v>
      </c>
      <c r="AB38" s="245"/>
      <c r="AC38" s="245">
        <f t="shared" ref="AC38:AC69" si="5">AA38+Y38+W38+U38+S38+Q38+O38+M38+K38+I38+G38+E38</f>
        <v>2169.31</v>
      </c>
      <c r="AD38" s="245">
        <f t="shared" ref="AD38:AD69" si="6">AB38+Z38+X38+V38+T38+R38+P38+N38+L38+J38+H38+F38</f>
        <v>2000</v>
      </c>
      <c r="AE38" s="112">
        <f t="shared" ref="AE38:AE69" si="7">D38+AD38-AC38</f>
        <v>-182.71</v>
      </c>
      <c r="AF38" s="1">
        <f t="shared" si="0"/>
        <v>858.05</v>
      </c>
      <c r="AG38" s="1">
        <f t="shared" si="1"/>
        <v>0</v>
      </c>
      <c r="AI38" s="1" t="e">
        <f>#REF!-U38+V38-W38+X38-Y38+Z38-AA38+AB38</f>
        <v>#REF!</v>
      </c>
    </row>
    <row r="39" s="1" customFormat="1" customHeight="1" spans="1:35">
      <c r="A39" s="242">
        <v>35</v>
      </c>
      <c r="B39" s="242" t="s">
        <v>105</v>
      </c>
      <c r="C39" s="243" t="s">
        <v>106</v>
      </c>
      <c r="D39" s="225">
        <v>-284.91</v>
      </c>
      <c r="E39" s="225">
        <v>212.2</v>
      </c>
      <c r="F39" s="225"/>
      <c r="G39" s="225">
        <v>237.77</v>
      </c>
      <c r="H39" s="245">
        <v>600</v>
      </c>
      <c r="I39" s="245">
        <v>154.52</v>
      </c>
      <c r="J39" s="245"/>
      <c r="K39" s="245">
        <v>183.36</v>
      </c>
      <c r="L39" s="245"/>
      <c r="M39" s="245">
        <v>120.25</v>
      </c>
      <c r="N39" s="245"/>
      <c r="O39" s="245">
        <v>86.51</v>
      </c>
      <c r="P39" s="245">
        <v>1000</v>
      </c>
      <c r="Q39" s="245">
        <v>91.95</v>
      </c>
      <c r="R39" s="245"/>
      <c r="S39" s="245">
        <v>122.97</v>
      </c>
      <c r="T39" s="245"/>
      <c r="U39" s="245">
        <v>140.92</v>
      </c>
      <c r="V39" s="245"/>
      <c r="W39" s="245">
        <v>124.05</v>
      </c>
      <c r="X39" s="245"/>
      <c r="Y39" s="245">
        <v>109.36</v>
      </c>
      <c r="Z39" s="245"/>
      <c r="AA39" s="245">
        <v>127.86</v>
      </c>
      <c r="AB39" s="245">
        <v>1500</v>
      </c>
      <c r="AC39" s="245">
        <f t="shared" si="5"/>
        <v>1711.72</v>
      </c>
      <c r="AD39" s="245">
        <f t="shared" si="6"/>
        <v>3100</v>
      </c>
      <c r="AE39" s="112">
        <f t="shared" si="7"/>
        <v>1103.37</v>
      </c>
      <c r="AF39" s="1">
        <f t="shared" si="0"/>
        <v>502.19</v>
      </c>
      <c r="AG39" s="1">
        <f t="shared" si="1"/>
        <v>1500</v>
      </c>
      <c r="AI39" s="1" t="e">
        <f>#REF!-U39+V39-W39+X39-Y39+Z39-AA39+AB39</f>
        <v>#REF!</v>
      </c>
    </row>
    <row r="40" s="1" customFormat="1" customHeight="1" spans="1:35">
      <c r="A40" s="242">
        <v>36</v>
      </c>
      <c r="B40" s="242" t="s">
        <v>107</v>
      </c>
      <c r="C40" s="243" t="s">
        <v>108</v>
      </c>
      <c r="D40" s="225">
        <v>289.66</v>
      </c>
      <c r="E40" s="225">
        <v>0.54</v>
      </c>
      <c r="F40" s="225"/>
      <c r="G40" s="225"/>
      <c r="H40" s="245"/>
      <c r="I40" s="245">
        <v>4.35</v>
      </c>
      <c r="J40" s="245"/>
      <c r="K40" s="245">
        <v>3.27</v>
      </c>
      <c r="L40" s="245"/>
      <c r="M40" s="245">
        <v>2.18</v>
      </c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>
        <v>27.75</v>
      </c>
      <c r="AB40" s="245"/>
      <c r="AC40" s="245">
        <f t="shared" si="5"/>
        <v>38.09</v>
      </c>
      <c r="AD40" s="245">
        <f t="shared" si="6"/>
        <v>0</v>
      </c>
      <c r="AE40" s="112">
        <f t="shared" si="7"/>
        <v>251.57</v>
      </c>
      <c r="AF40" s="1">
        <f t="shared" si="0"/>
        <v>27.75</v>
      </c>
      <c r="AG40" s="1">
        <f t="shared" si="1"/>
        <v>0</v>
      </c>
      <c r="AI40" s="1" t="e">
        <f>#REF!-U40+V40-W40+X40-Y40+Z40-AA40+AB40</f>
        <v>#REF!</v>
      </c>
    </row>
    <row r="41" s="1" customFormat="1" customHeight="1" spans="1:35">
      <c r="A41" s="242">
        <v>37</v>
      </c>
      <c r="B41" s="242" t="s">
        <v>109</v>
      </c>
      <c r="C41" s="243" t="s">
        <v>110</v>
      </c>
      <c r="D41" s="225">
        <v>-125.48</v>
      </c>
      <c r="E41" s="225">
        <v>261.17</v>
      </c>
      <c r="F41" s="225"/>
      <c r="G41" s="225">
        <v>207.85</v>
      </c>
      <c r="H41" s="245"/>
      <c r="I41" s="245">
        <v>93.59</v>
      </c>
      <c r="J41" s="245">
        <v>300</v>
      </c>
      <c r="K41" s="245">
        <v>145.28</v>
      </c>
      <c r="L41" s="245">
        <v>2000</v>
      </c>
      <c r="M41" s="245">
        <v>110.45</v>
      </c>
      <c r="N41" s="245"/>
      <c r="O41" s="245">
        <v>125.68</v>
      </c>
      <c r="P41" s="245"/>
      <c r="Q41" s="245">
        <v>108.27</v>
      </c>
      <c r="R41" s="245"/>
      <c r="S41" s="245">
        <v>215.46</v>
      </c>
      <c r="T41" s="245"/>
      <c r="U41" s="245">
        <v>187.17</v>
      </c>
      <c r="V41" s="245"/>
      <c r="W41" s="245">
        <v>174.11</v>
      </c>
      <c r="X41" s="245"/>
      <c r="Y41" s="245">
        <v>156.16</v>
      </c>
      <c r="Z41" s="245"/>
      <c r="AA41" s="245">
        <v>237.23</v>
      </c>
      <c r="AB41" s="245"/>
      <c r="AC41" s="245">
        <f t="shared" si="5"/>
        <v>2022.42</v>
      </c>
      <c r="AD41" s="245">
        <f t="shared" si="6"/>
        <v>2300</v>
      </c>
      <c r="AE41" s="112">
        <f t="shared" si="7"/>
        <v>152.1</v>
      </c>
      <c r="AF41" s="1">
        <f t="shared" si="0"/>
        <v>754.67</v>
      </c>
      <c r="AG41" s="1">
        <f t="shared" si="1"/>
        <v>0</v>
      </c>
      <c r="AI41" s="1" t="e">
        <f>#REF!-U41+V41-W41+X41-Y41+Z41-AA41+AB41</f>
        <v>#REF!</v>
      </c>
    </row>
    <row r="42" s="1" customFormat="1" customHeight="1" spans="1:35">
      <c r="A42" s="242">
        <v>38</v>
      </c>
      <c r="B42" s="242" t="s">
        <v>111</v>
      </c>
      <c r="C42" s="243" t="s">
        <v>112</v>
      </c>
      <c r="D42" s="225">
        <v>204.78</v>
      </c>
      <c r="E42" s="225"/>
      <c r="F42" s="225"/>
      <c r="G42" s="225"/>
      <c r="H42" s="245"/>
      <c r="I42" s="245"/>
      <c r="J42" s="245"/>
      <c r="K42" s="245">
        <v>79.44</v>
      </c>
      <c r="L42" s="245"/>
      <c r="M42" s="245">
        <v>66.38</v>
      </c>
      <c r="N42" s="245"/>
      <c r="O42" s="245">
        <v>82.15</v>
      </c>
      <c r="P42" s="245"/>
      <c r="Q42" s="245">
        <v>69.1</v>
      </c>
      <c r="R42" s="245"/>
      <c r="S42" s="245">
        <v>99.57</v>
      </c>
      <c r="T42" s="245">
        <v>170</v>
      </c>
      <c r="U42" s="245">
        <v>81.62</v>
      </c>
      <c r="V42" s="245"/>
      <c r="W42" s="245">
        <v>72.37</v>
      </c>
      <c r="X42" s="245"/>
      <c r="Y42" s="245">
        <v>81.07</v>
      </c>
      <c r="Z42" s="245">
        <v>160</v>
      </c>
      <c r="AA42" s="245">
        <v>108.28</v>
      </c>
      <c r="AB42" s="245">
        <v>284</v>
      </c>
      <c r="AC42" s="245">
        <f t="shared" si="5"/>
        <v>739.98</v>
      </c>
      <c r="AD42" s="245">
        <f t="shared" si="6"/>
        <v>614</v>
      </c>
      <c r="AE42" s="112">
        <f t="shared" si="7"/>
        <v>78.8</v>
      </c>
      <c r="AF42" s="1">
        <f t="shared" si="0"/>
        <v>343.34</v>
      </c>
      <c r="AG42" s="1">
        <f t="shared" si="1"/>
        <v>444</v>
      </c>
      <c r="AI42" s="1" t="e">
        <f>#REF!-U42+V42-W42+X42-Y42+Z42-AA42+AB42</f>
        <v>#REF!</v>
      </c>
    </row>
    <row r="43" s="1" customFormat="1" customHeight="1" spans="1:35">
      <c r="A43" s="242">
        <v>39</v>
      </c>
      <c r="B43" s="242" t="s">
        <v>113</v>
      </c>
      <c r="C43" s="243" t="s">
        <v>114</v>
      </c>
      <c r="D43" s="225">
        <v>300</v>
      </c>
      <c r="E43" s="225"/>
      <c r="F43" s="225"/>
      <c r="G43" s="225"/>
      <c r="H43" s="245"/>
      <c r="I43" s="245"/>
      <c r="J43" s="245"/>
      <c r="K43" s="245"/>
      <c r="L43" s="245"/>
      <c r="M43" s="245">
        <v>3.27</v>
      </c>
      <c r="N43" s="245"/>
      <c r="O43" s="245">
        <v>2.72</v>
      </c>
      <c r="P43" s="245"/>
      <c r="Q43" s="245">
        <v>0.54</v>
      </c>
      <c r="R43" s="245"/>
      <c r="S43" s="245">
        <v>10.34</v>
      </c>
      <c r="T43" s="245"/>
      <c r="U43" s="245">
        <v>10.34</v>
      </c>
      <c r="V43" s="245"/>
      <c r="W43" s="245">
        <v>97.94</v>
      </c>
      <c r="X43" s="245"/>
      <c r="Y43" s="245">
        <v>123.51</v>
      </c>
      <c r="Z43" s="245">
        <v>500</v>
      </c>
      <c r="AA43" s="245">
        <v>119.16</v>
      </c>
      <c r="AB43" s="245"/>
      <c r="AC43" s="245">
        <f t="shared" si="5"/>
        <v>367.82</v>
      </c>
      <c r="AD43" s="245">
        <f t="shared" si="6"/>
        <v>500</v>
      </c>
      <c r="AE43" s="112">
        <f t="shared" si="7"/>
        <v>432.18</v>
      </c>
      <c r="AF43" s="1">
        <f t="shared" si="0"/>
        <v>350.95</v>
      </c>
      <c r="AG43" s="1">
        <f t="shared" si="1"/>
        <v>500</v>
      </c>
      <c r="AI43" s="1" t="e">
        <f>#REF!-U43+V43-W43+X43-Y43+Z43-AA43+AB43</f>
        <v>#REF!</v>
      </c>
    </row>
    <row r="44" s="1" customFormat="1" customHeight="1" spans="1:35">
      <c r="A44" s="242">
        <v>40</v>
      </c>
      <c r="B44" s="242" t="s">
        <v>115</v>
      </c>
      <c r="C44" s="243" t="s">
        <v>116</v>
      </c>
      <c r="D44" s="225">
        <v>276.06</v>
      </c>
      <c r="E44" s="225">
        <v>4.35</v>
      </c>
      <c r="F44" s="225"/>
      <c r="G44" s="225"/>
      <c r="H44" s="245"/>
      <c r="I44" s="245">
        <v>31.01</v>
      </c>
      <c r="J44" s="245"/>
      <c r="K44" s="245">
        <v>102.84</v>
      </c>
      <c r="L44" s="245"/>
      <c r="M44" s="245">
        <v>46.25</v>
      </c>
      <c r="N44" s="245">
        <v>1000</v>
      </c>
      <c r="O44" s="245">
        <v>4.89</v>
      </c>
      <c r="P44" s="245"/>
      <c r="Q44" s="245">
        <v>60.93</v>
      </c>
      <c r="R44" s="245"/>
      <c r="S44" s="245">
        <v>90.32</v>
      </c>
      <c r="T44" s="245"/>
      <c r="U44" s="245">
        <v>93.04</v>
      </c>
      <c r="V44" s="245"/>
      <c r="W44" s="245">
        <v>68.56</v>
      </c>
      <c r="X44" s="245"/>
      <c r="Y44" s="245">
        <v>71.28</v>
      </c>
      <c r="Z44" s="245"/>
      <c r="AA44" s="245">
        <v>58.76</v>
      </c>
      <c r="AB44" s="245"/>
      <c r="AC44" s="245">
        <f t="shared" si="5"/>
        <v>632.23</v>
      </c>
      <c r="AD44" s="245">
        <f t="shared" si="6"/>
        <v>1000</v>
      </c>
      <c r="AE44" s="112">
        <f t="shared" si="7"/>
        <v>643.83</v>
      </c>
      <c r="AF44" s="1">
        <f t="shared" si="0"/>
        <v>291.64</v>
      </c>
      <c r="AG44" s="1">
        <f t="shared" si="1"/>
        <v>0</v>
      </c>
      <c r="AI44" s="1" t="e">
        <f>#REF!-U44+V44-W44+X44-Y44+Z44-AA44+AB44</f>
        <v>#REF!</v>
      </c>
    </row>
    <row r="45" s="1" customFormat="1" customHeight="1" spans="1:35">
      <c r="A45" s="242">
        <v>41</v>
      </c>
      <c r="B45" s="242" t="s">
        <v>117</v>
      </c>
      <c r="C45" s="243" t="s">
        <v>118</v>
      </c>
      <c r="D45" s="225">
        <v>261.37</v>
      </c>
      <c r="E45" s="225">
        <v>57.68</v>
      </c>
      <c r="F45" s="225"/>
      <c r="G45" s="225">
        <v>49.51</v>
      </c>
      <c r="H45" s="245"/>
      <c r="I45" s="245">
        <v>69.65</v>
      </c>
      <c r="J45" s="245">
        <v>1000</v>
      </c>
      <c r="K45" s="245">
        <v>77.81</v>
      </c>
      <c r="L45" s="245"/>
      <c r="M45" s="245">
        <v>71.82</v>
      </c>
      <c r="N45" s="245"/>
      <c r="O45" s="245">
        <v>60.39</v>
      </c>
      <c r="P45" s="245"/>
      <c r="Q45" s="245">
        <v>58.76</v>
      </c>
      <c r="R45" s="245"/>
      <c r="S45" s="245">
        <v>65.84</v>
      </c>
      <c r="T45" s="245"/>
      <c r="U45" s="245">
        <v>63.12</v>
      </c>
      <c r="V45" s="245"/>
      <c r="W45" s="245">
        <v>52.78</v>
      </c>
      <c r="X45" s="245"/>
      <c r="Y45" s="245">
        <v>68.01</v>
      </c>
      <c r="Z45" s="245"/>
      <c r="AA45" s="245">
        <v>59.85</v>
      </c>
      <c r="AB45" s="245"/>
      <c r="AC45" s="245">
        <f t="shared" si="5"/>
        <v>755.22</v>
      </c>
      <c r="AD45" s="245">
        <f t="shared" si="6"/>
        <v>1000</v>
      </c>
      <c r="AE45" s="112">
        <f t="shared" si="7"/>
        <v>506.15</v>
      </c>
      <c r="AF45" s="1">
        <f t="shared" si="0"/>
        <v>243.76</v>
      </c>
      <c r="AG45" s="1">
        <f t="shared" si="1"/>
        <v>0</v>
      </c>
      <c r="AI45" s="1" t="e">
        <f>#REF!-U45+V45-W45+X45-Y45+Z45-AA45+AB45</f>
        <v>#REF!</v>
      </c>
    </row>
    <row r="46" s="1" customFormat="1" customHeight="1" spans="1:35">
      <c r="A46" s="242">
        <v>42</v>
      </c>
      <c r="B46" s="242" t="s">
        <v>119</v>
      </c>
      <c r="C46" s="243" t="s">
        <v>120</v>
      </c>
      <c r="D46" s="225">
        <v>300</v>
      </c>
      <c r="E46" s="225"/>
      <c r="F46" s="225"/>
      <c r="G46" s="22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>
        <v>10.34</v>
      </c>
      <c r="Z46" s="245"/>
      <c r="AA46" s="245">
        <v>6.53</v>
      </c>
      <c r="AB46" s="245"/>
      <c r="AC46" s="245">
        <f t="shared" si="5"/>
        <v>16.87</v>
      </c>
      <c r="AD46" s="245">
        <f t="shared" si="6"/>
        <v>0</v>
      </c>
      <c r="AE46" s="112">
        <f t="shared" si="7"/>
        <v>283.13</v>
      </c>
      <c r="AF46" s="1">
        <f t="shared" si="0"/>
        <v>16.87</v>
      </c>
      <c r="AG46" s="1">
        <f t="shared" si="1"/>
        <v>0</v>
      </c>
      <c r="AI46" s="1" t="e">
        <f>#REF!-U46+V46-W46+X46-Y46+Z46-AA46+AB46</f>
        <v>#REF!</v>
      </c>
    </row>
    <row r="47" s="1" customFormat="1" customHeight="1" spans="1:35">
      <c r="A47" s="242">
        <v>43</v>
      </c>
      <c r="B47" s="242" t="s">
        <v>121</v>
      </c>
      <c r="C47" s="243" t="s">
        <v>122</v>
      </c>
      <c r="D47" s="225">
        <v>-212.54</v>
      </c>
      <c r="E47" s="225">
        <v>181.73</v>
      </c>
      <c r="F47" s="225"/>
      <c r="G47" s="225">
        <v>230.7</v>
      </c>
      <c r="H47" s="245"/>
      <c r="I47" s="245">
        <v>81.62</v>
      </c>
      <c r="J47" s="245"/>
      <c r="K47" s="245">
        <v>70.73</v>
      </c>
      <c r="L47" s="245"/>
      <c r="M47" s="245">
        <v>71.82</v>
      </c>
      <c r="N47" s="245">
        <v>2000</v>
      </c>
      <c r="O47" s="245">
        <v>51.14</v>
      </c>
      <c r="P47" s="245"/>
      <c r="Q47" s="245">
        <v>42.98</v>
      </c>
      <c r="R47" s="245"/>
      <c r="S47" s="245">
        <v>51.69</v>
      </c>
      <c r="T47" s="245"/>
      <c r="U47" s="245">
        <v>56.59</v>
      </c>
      <c r="V47" s="245"/>
      <c r="W47" s="245">
        <v>56.59</v>
      </c>
      <c r="X47" s="245"/>
      <c r="Y47" s="245">
        <v>81.07</v>
      </c>
      <c r="Z47" s="245"/>
      <c r="AA47" s="245">
        <v>75.09</v>
      </c>
      <c r="AB47" s="245"/>
      <c r="AC47" s="245">
        <f t="shared" si="5"/>
        <v>1051.75</v>
      </c>
      <c r="AD47" s="245">
        <f t="shared" si="6"/>
        <v>2000</v>
      </c>
      <c r="AE47" s="112">
        <f t="shared" si="7"/>
        <v>735.71</v>
      </c>
      <c r="AF47" s="1">
        <f t="shared" si="0"/>
        <v>269.34</v>
      </c>
      <c r="AG47" s="1">
        <f t="shared" si="1"/>
        <v>0</v>
      </c>
      <c r="AI47" s="1" t="e">
        <f>#REF!-U47+V47-W47+X47-Y47+Z47-AA47+AB47</f>
        <v>#REF!</v>
      </c>
    </row>
    <row r="48" s="1" customFormat="1" customHeight="1" spans="1:35">
      <c r="A48" s="242">
        <v>44</v>
      </c>
      <c r="B48" s="242" t="s">
        <v>123</v>
      </c>
      <c r="C48" s="243" t="s">
        <v>124</v>
      </c>
      <c r="D48" s="225">
        <v>53.52</v>
      </c>
      <c r="E48" s="225">
        <v>66.38</v>
      </c>
      <c r="F48" s="225"/>
      <c r="G48" s="225">
        <v>216.01</v>
      </c>
      <c r="H48" s="245"/>
      <c r="I48" s="245">
        <v>82.7</v>
      </c>
      <c r="J48" s="245"/>
      <c r="K48" s="245">
        <v>63.66</v>
      </c>
      <c r="L48" s="245"/>
      <c r="M48" s="245">
        <v>30.47</v>
      </c>
      <c r="N48" s="245"/>
      <c r="O48" s="245">
        <v>1.08</v>
      </c>
      <c r="P48" s="245">
        <v>400</v>
      </c>
      <c r="Q48" s="245">
        <v>19.58</v>
      </c>
      <c r="R48" s="245"/>
      <c r="S48" s="245">
        <v>11.43</v>
      </c>
      <c r="T48" s="245">
        <v>1000</v>
      </c>
      <c r="U48" s="245">
        <v>15.78</v>
      </c>
      <c r="V48" s="245"/>
      <c r="W48" s="245">
        <v>14.69</v>
      </c>
      <c r="X48" s="245"/>
      <c r="Y48" s="245">
        <v>5.44</v>
      </c>
      <c r="Z48" s="245"/>
      <c r="AA48" s="245">
        <v>2.18</v>
      </c>
      <c r="AB48" s="245"/>
      <c r="AC48" s="245">
        <f t="shared" si="5"/>
        <v>529.4</v>
      </c>
      <c r="AD48" s="245">
        <f t="shared" si="6"/>
        <v>1400</v>
      </c>
      <c r="AE48" s="112">
        <f t="shared" si="7"/>
        <v>924.12</v>
      </c>
      <c r="AF48" s="1">
        <f t="shared" si="0"/>
        <v>38.09</v>
      </c>
      <c r="AG48" s="1">
        <f t="shared" si="1"/>
        <v>0</v>
      </c>
      <c r="AI48" s="1" t="e">
        <f>#REF!-U48+V48-W48+X48-Y48+Z48-AA48+AB48</f>
        <v>#REF!</v>
      </c>
    </row>
    <row r="49" s="1" customFormat="1" customHeight="1" spans="1:35">
      <c r="A49" s="242">
        <v>45</v>
      </c>
      <c r="B49" s="242" t="s">
        <v>125</v>
      </c>
      <c r="C49" s="243" t="s">
        <v>126</v>
      </c>
      <c r="D49" s="225">
        <v>92.15</v>
      </c>
      <c r="E49" s="225">
        <v>157.25</v>
      </c>
      <c r="F49" s="225"/>
      <c r="G49" s="225">
        <v>131.67</v>
      </c>
      <c r="H49" s="245"/>
      <c r="I49" s="245">
        <v>130.58</v>
      </c>
      <c r="J49" s="245"/>
      <c r="K49" s="245">
        <v>116.44</v>
      </c>
      <c r="L49" s="245">
        <v>2000</v>
      </c>
      <c r="M49" s="245">
        <v>132.22</v>
      </c>
      <c r="N49" s="245"/>
      <c r="O49" s="245">
        <v>90.32</v>
      </c>
      <c r="P49" s="245"/>
      <c r="Q49" s="245">
        <v>81.61</v>
      </c>
      <c r="R49" s="245"/>
      <c r="S49" s="245">
        <v>128.95</v>
      </c>
      <c r="T49" s="245"/>
      <c r="U49" s="245">
        <v>118.07</v>
      </c>
      <c r="V49" s="245"/>
      <c r="W49" s="245">
        <v>95.76</v>
      </c>
      <c r="X49" s="245"/>
      <c r="Y49" s="245">
        <v>87.06</v>
      </c>
      <c r="Z49" s="245"/>
      <c r="AA49" s="245">
        <v>109.36</v>
      </c>
      <c r="AB49" s="245"/>
      <c r="AC49" s="245">
        <f t="shared" si="5"/>
        <v>1379.29</v>
      </c>
      <c r="AD49" s="245">
        <f t="shared" si="6"/>
        <v>2000</v>
      </c>
      <c r="AE49" s="112">
        <f t="shared" si="7"/>
        <v>712.86</v>
      </c>
      <c r="AF49" s="1">
        <f t="shared" si="0"/>
        <v>410.25</v>
      </c>
      <c r="AG49" s="1">
        <f t="shared" si="1"/>
        <v>0</v>
      </c>
      <c r="AI49" s="1" t="e">
        <f>#REF!-U49+V49-W49+X49-Y49+Z49-AA49+AB49</f>
        <v>#REF!</v>
      </c>
    </row>
    <row r="50" s="1" customFormat="1" customHeight="1" spans="1:35">
      <c r="A50" s="242">
        <v>46</v>
      </c>
      <c r="B50" s="242" t="s">
        <v>127</v>
      </c>
      <c r="C50" s="243" t="s">
        <v>128</v>
      </c>
      <c r="D50" s="225">
        <v>1223.77</v>
      </c>
      <c r="E50" s="225">
        <v>238.32</v>
      </c>
      <c r="F50" s="225"/>
      <c r="G50" s="225">
        <v>169.76</v>
      </c>
      <c r="H50" s="245"/>
      <c r="I50" s="245">
        <v>247.57</v>
      </c>
      <c r="J50" s="245"/>
      <c r="K50" s="245">
        <v>180.1</v>
      </c>
      <c r="L50" s="245"/>
      <c r="M50" s="245">
        <v>179.01</v>
      </c>
      <c r="N50" s="245"/>
      <c r="O50" s="245">
        <v>176.83</v>
      </c>
      <c r="P50" s="245">
        <v>2000</v>
      </c>
      <c r="Q50" s="245">
        <v>143.09</v>
      </c>
      <c r="R50" s="245"/>
      <c r="S50" s="245">
        <v>208.39</v>
      </c>
      <c r="T50" s="245"/>
      <c r="U50" s="245">
        <v>119.16</v>
      </c>
      <c r="V50" s="245"/>
      <c r="W50" s="245">
        <v>138.2</v>
      </c>
      <c r="X50" s="245"/>
      <c r="Y50" s="245">
        <v>137.11</v>
      </c>
      <c r="Z50" s="245"/>
      <c r="AA50" s="245">
        <v>194.24</v>
      </c>
      <c r="AB50" s="245"/>
      <c r="AC50" s="245">
        <f t="shared" si="5"/>
        <v>2131.78</v>
      </c>
      <c r="AD50" s="245">
        <f t="shared" si="6"/>
        <v>2000</v>
      </c>
      <c r="AE50" s="112">
        <f t="shared" si="7"/>
        <v>1091.99</v>
      </c>
      <c r="AF50" s="1">
        <f t="shared" si="0"/>
        <v>588.71</v>
      </c>
      <c r="AG50" s="1">
        <f t="shared" si="1"/>
        <v>0</v>
      </c>
      <c r="AI50" s="1" t="e">
        <f>#REF!-U50+V50-W50+X50-Y50+Z50-AA50+AB50</f>
        <v>#REF!</v>
      </c>
    </row>
    <row r="51" s="1" customFormat="1" customHeight="1" spans="1:35">
      <c r="A51" s="242">
        <v>47</v>
      </c>
      <c r="B51" s="242" t="s">
        <v>129</v>
      </c>
      <c r="C51" s="243" t="s">
        <v>130</v>
      </c>
      <c r="D51" s="225">
        <v>111.44</v>
      </c>
      <c r="E51" s="225">
        <v>81.62</v>
      </c>
      <c r="F51" s="225"/>
      <c r="G51" s="225">
        <v>118.07</v>
      </c>
      <c r="H51" s="245"/>
      <c r="I51" s="245">
        <v>111</v>
      </c>
      <c r="J51" s="245"/>
      <c r="K51" s="245">
        <v>130.58</v>
      </c>
      <c r="L51" s="245"/>
      <c r="M51" s="245">
        <v>114.81</v>
      </c>
      <c r="N51" s="245"/>
      <c r="O51" s="245">
        <v>98.48</v>
      </c>
      <c r="P51" s="245">
        <v>600</v>
      </c>
      <c r="Q51" s="245">
        <v>79.98</v>
      </c>
      <c r="R51" s="245">
        <v>500</v>
      </c>
      <c r="S51" s="245">
        <v>101.2</v>
      </c>
      <c r="T51" s="245"/>
      <c r="U51" s="245">
        <v>165.41</v>
      </c>
      <c r="V51" s="245"/>
      <c r="W51" s="245">
        <v>116.44</v>
      </c>
      <c r="X51" s="245"/>
      <c r="Y51" s="245">
        <v>116.44</v>
      </c>
      <c r="Z51" s="245"/>
      <c r="AA51" s="245">
        <v>214.38</v>
      </c>
      <c r="AB51" s="245"/>
      <c r="AC51" s="245">
        <f t="shared" si="5"/>
        <v>1448.41</v>
      </c>
      <c r="AD51" s="245">
        <f t="shared" si="6"/>
        <v>1100</v>
      </c>
      <c r="AE51" s="112">
        <f t="shared" si="7"/>
        <v>-236.97</v>
      </c>
      <c r="AF51" s="1">
        <f t="shared" si="0"/>
        <v>612.67</v>
      </c>
      <c r="AG51" s="1">
        <f t="shared" si="1"/>
        <v>0</v>
      </c>
      <c r="AI51" s="1" t="e">
        <f>#REF!-U51+V51-W51+X51-Y51+Z51-AA51+AB51</f>
        <v>#REF!</v>
      </c>
    </row>
    <row r="52" s="1" customFormat="1" customHeight="1" spans="1:35">
      <c r="A52" s="242">
        <v>48</v>
      </c>
      <c r="B52" s="242" t="s">
        <v>131</v>
      </c>
      <c r="C52" s="243" t="s">
        <v>132</v>
      </c>
      <c r="D52" s="225">
        <v>-727.26</v>
      </c>
      <c r="E52" s="225">
        <v>261.71</v>
      </c>
      <c r="F52" s="225"/>
      <c r="G52" s="225">
        <v>247.57</v>
      </c>
      <c r="H52" s="245"/>
      <c r="I52" s="245">
        <v>238.86</v>
      </c>
      <c r="J52" s="245"/>
      <c r="K52" s="245">
        <v>223.08</v>
      </c>
      <c r="L52" s="245"/>
      <c r="M52" s="245">
        <v>218.73</v>
      </c>
      <c r="N52" s="245">
        <v>1700</v>
      </c>
      <c r="O52" s="245">
        <v>147.99</v>
      </c>
      <c r="P52" s="245"/>
      <c r="Q52" s="245">
        <v>150.71</v>
      </c>
      <c r="R52" s="245"/>
      <c r="S52" s="245">
        <v>148.54</v>
      </c>
      <c r="T52" s="245"/>
      <c r="U52" s="245">
        <v>170.85</v>
      </c>
      <c r="V52" s="245"/>
      <c r="W52" s="245">
        <v>133.85</v>
      </c>
      <c r="X52" s="245"/>
      <c r="Y52" s="245">
        <v>114.26</v>
      </c>
      <c r="Z52" s="245"/>
      <c r="AA52" s="245">
        <v>373.8</v>
      </c>
      <c r="AB52" s="245">
        <v>992.56</v>
      </c>
      <c r="AC52" s="245">
        <f t="shared" si="5"/>
        <v>2429.95</v>
      </c>
      <c r="AD52" s="245">
        <f t="shared" si="6"/>
        <v>2692.56</v>
      </c>
      <c r="AE52" s="112">
        <f t="shared" si="7"/>
        <v>-464.65</v>
      </c>
      <c r="AF52" s="1">
        <f t="shared" si="0"/>
        <v>792.76</v>
      </c>
      <c r="AG52" s="1">
        <f t="shared" si="1"/>
        <v>992.56</v>
      </c>
      <c r="AI52" s="1" t="e">
        <f>#REF!-U52+V52-W52+X52-Y52+Z52-AA52+AB52</f>
        <v>#REF!</v>
      </c>
    </row>
    <row r="53" s="1" customFormat="1" customHeight="1" spans="1:35">
      <c r="A53" s="242">
        <v>49</v>
      </c>
      <c r="B53" s="242" t="s">
        <v>133</v>
      </c>
      <c r="C53" s="243" t="s">
        <v>134</v>
      </c>
      <c r="D53" s="225">
        <v>69.85</v>
      </c>
      <c r="E53" s="225">
        <v>148</v>
      </c>
      <c r="F53" s="225"/>
      <c r="G53" s="225">
        <v>51.69</v>
      </c>
      <c r="H53" s="245">
        <v>1000</v>
      </c>
      <c r="I53" s="245">
        <v>261.71</v>
      </c>
      <c r="J53" s="245"/>
      <c r="K53" s="245">
        <v>132.76</v>
      </c>
      <c r="L53" s="245"/>
      <c r="M53" s="245">
        <v>168.13</v>
      </c>
      <c r="N53" s="245"/>
      <c r="O53" s="245">
        <v>115.89</v>
      </c>
      <c r="P53" s="245"/>
      <c r="Q53" s="245">
        <v>132.21</v>
      </c>
      <c r="R53" s="245"/>
      <c r="S53" s="245">
        <v>131.13</v>
      </c>
      <c r="T53" s="245"/>
      <c r="U53" s="245">
        <v>136.57</v>
      </c>
      <c r="V53" s="245"/>
      <c r="W53" s="245">
        <v>121.33</v>
      </c>
      <c r="X53" s="245"/>
      <c r="Y53" s="245">
        <v>138.2</v>
      </c>
      <c r="Z53" s="245"/>
      <c r="AA53" s="245">
        <v>138.2</v>
      </c>
      <c r="AB53" s="245"/>
      <c r="AC53" s="245">
        <f t="shared" si="5"/>
        <v>1675.82</v>
      </c>
      <c r="AD53" s="245">
        <f t="shared" si="6"/>
        <v>1000</v>
      </c>
      <c r="AE53" s="112">
        <f t="shared" si="7"/>
        <v>-605.97</v>
      </c>
      <c r="AF53" s="1">
        <f t="shared" si="0"/>
        <v>534.3</v>
      </c>
      <c r="AG53" s="1">
        <f t="shared" si="1"/>
        <v>0</v>
      </c>
      <c r="AI53" s="1" t="e">
        <f>#REF!-U53+V53-W53+X53-Y53+Z53-AA53+AB53</f>
        <v>#REF!</v>
      </c>
    </row>
    <row r="54" s="1" customFormat="1" customHeight="1" spans="1:35">
      <c r="A54" s="242">
        <v>50</v>
      </c>
      <c r="B54" s="242" t="s">
        <v>135</v>
      </c>
      <c r="C54" s="243" t="s">
        <v>136</v>
      </c>
      <c r="D54" s="225">
        <v>162.34</v>
      </c>
      <c r="E54" s="225">
        <v>81.07</v>
      </c>
      <c r="F54" s="225"/>
      <c r="G54" s="225">
        <v>30.47</v>
      </c>
      <c r="H54" s="245"/>
      <c r="I54" s="245">
        <v>55.5</v>
      </c>
      <c r="J54" s="245"/>
      <c r="K54" s="245">
        <v>1.09</v>
      </c>
      <c r="L54" s="245"/>
      <c r="M54" s="245">
        <v>3.27</v>
      </c>
      <c r="N54" s="245"/>
      <c r="O54" s="245">
        <v>1.63</v>
      </c>
      <c r="P54" s="245">
        <v>5</v>
      </c>
      <c r="Q54" s="245">
        <v>3.26</v>
      </c>
      <c r="R54" s="245"/>
      <c r="S54" s="245">
        <v>187.72</v>
      </c>
      <c r="T54" s="245"/>
      <c r="U54" s="245">
        <v>267.7</v>
      </c>
      <c r="V54" s="245"/>
      <c r="W54" s="245">
        <v>122.42</v>
      </c>
      <c r="X54" s="245"/>
      <c r="Y54" s="245">
        <v>83.25</v>
      </c>
      <c r="Z54" s="245"/>
      <c r="AA54" s="245">
        <v>76.17</v>
      </c>
      <c r="AB54" s="245"/>
      <c r="AC54" s="245">
        <f t="shared" si="5"/>
        <v>913.55</v>
      </c>
      <c r="AD54" s="245">
        <f t="shared" si="6"/>
        <v>5</v>
      </c>
      <c r="AE54" s="112">
        <f t="shared" si="7"/>
        <v>-746.21</v>
      </c>
      <c r="AF54" s="1">
        <f t="shared" si="0"/>
        <v>549.54</v>
      </c>
      <c r="AG54" s="1">
        <f t="shared" si="1"/>
        <v>0</v>
      </c>
      <c r="AI54" s="1" t="e">
        <f>#REF!-U54+V54-W54+X54-Y54+Z54-AA54+AB54</f>
        <v>#REF!</v>
      </c>
    </row>
    <row r="55" s="1" customFormat="1" customHeight="1" spans="1:35">
      <c r="A55" s="242">
        <v>51</v>
      </c>
      <c r="B55" s="242" t="s">
        <v>137</v>
      </c>
      <c r="C55" s="243" t="s">
        <v>138</v>
      </c>
      <c r="D55" s="225">
        <v>192.81</v>
      </c>
      <c r="E55" s="225">
        <v>204.04</v>
      </c>
      <c r="F55" s="225"/>
      <c r="G55" s="225">
        <v>253.55</v>
      </c>
      <c r="H55" s="245">
        <v>1500</v>
      </c>
      <c r="I55" s="245">
        <v>114.81</v>
      </c>
      <c r="J55" s="245"/>
      <c r="K55" s="245">
        <v>136.57</v>
      </c>
      <c r="L55" s="245"/>
      <c r="M55" s="245">
        <v>157.79</v>
      </c>
      <c r="N55" s="245"/>
      <c r="O55" s="245">
        <v>106.64</v>
      </c>
      <c r="P55" s="245">
        <v>200</v>
      </c>
      <c r="Q55" s="245">
        <v>107.73</v>
      </c>
      <c r="R55" s="245"/>
      <c r="S55" s="245">
        <v>206.21</v>
      </c>
      <c r="T55" s="245"/>
      <c r="U55" s="245">
        <v>166.49</v>
      </c>
      <c r="V55" s="245"/>
      <c r="W55" s="245">
        <v>90.32</v>
      </c>
      <c r="X55" s="245"/>
      <c r="Y55" s="245">
        <v>102.83</v>
      </c>
      <c r="Z55" s="245"/>
      <c r="AA55" s="245">
        <v>77.81</v>
      </c>
      <c r="AB55" s="245"/>
      <c r="AC55" s="245">
        <f t="shared" si="5"/>
        <v>1724.79</v>
      </c>
      <c r="AD55" s="245">
        <f t="shared" si="6"/>
        <v>1700</v>
      </c>
      <c r="AE55" s="112">
        <f t="shared" si="7"/>
        <v>168.02</v>
      </c>
      <c r="AF55" s="1">
        <f t="shared" si="0"/>
        <v>437.45</v>
      </c>
      <c r="AG55" s="1">
        <f t="shared" si="1"/>
        <v>0</v>
      </c>
      <c r="AI55" s="1" t="e">
        <f>#REF!-U55+V55-W55+X55-Y55+Z55-AA55+AB55</f>
        <v>#REF!</v>
      </c>
    </row>
    <row r="56" s="1" customFormat="1" customHeight="1" spans="1:35">
      <c r="A56" s="242">
        <v>52</v>
      </c>
      <c r="B56" s="242" t="s">
        <v>139</v>
      </c>
      <c r="C56" s="243" t="s">
        <v>140</v>
      </c>
      <c r="D56" s="225">
        <v>412.8</v>
      </c>
      <c r="E56" s="225">
        <v>111.54</v>
      </c>
      <c r="F56" s="225"/>
      <c r="G56" s="225">
        <v>84.88</v>
      </c>
      <c r="H56" s="245"/>
      <c r="I56" s="245">
        <v>98.48</v>
      </c>
      <c r="J56" s="245"/>
      <c r="K56" s="245">
        <v>88.69</v>
      </c>
      <c r="L56" s="245"/>
      <c r="M56" s="245">
        <v>137.11</v>
      </c>
      <c r="N56" s="245"/>
      <c r="O56" s="245">
        <v>89.77</v>
      </c>
      <c r="P56" s="245">
        <v>600</v>
      </c>
      <c r="Q56" s="245">
        <v>108.27</v>
      </c>
      <c r="R56" s="245"/>
      <c r="S56" s="245">
        <v>90.32</v>
      </c>
      <c r="T56" s="245"/>
      <c r="U56" s="245">
        <v>107.19</v>
      </c>
      <c r="V56" s="245"/>
      <c r="W56" s="245">
        <v>112.63</v>
      </c>
      <c r="X56" s="245"/>
      <c r="Y56" s="245">
        <v>138.75</v>
      </c>
      <c r="Z56" s="245"/>
      <c r="AA56" s="245">
        <v>134.39</v>
      </c>
      <c r="AB56" s="245">
        <v>250</v>
      </c>
      <c r="AC56" s="245">
        <f t="shared" si="5"/>
        <v>1302.02</v>
      </c>
      <c r="AD56" s="245">
        <f t="shared" si="6"/>
        <v>850</v>
      </c>
      <c r="AE56" s="112">
        <f t="shared" si="7"/>
        <v>-39.22</v>
      </c>
      <c r="AF56" s="1">
        <f t="shared" si="0"/>
        <v>492.96</v>
      </c>
      <c r="AG56" s="1">
        <f t="shared" si="1"/>
        <v>250</v>
      </c>
      <c r="AI56" s="1" t="e">
        <f>#REF!-U56+V56-W56+X56-Y56+Z56-AA56+AB56</f>
        <v>#REF!</v>
      </c>
    </row>
    <row r="57" s="1" customFormat="1" customHeight="1" spans="1:35">
      <c r="A57" s="242">
        <v>53</v>
      </c>
      <c r="B57" s="242" t="s">
        <v>141</v>
      </c>
      <c r="C57" s="243" t="s">
        <v>142</v>
      </c>
      <c r="D57" s="225">
        <v>273.89</v>
      </c>
      <c r="E57" s="225">
        <v>5.99</v>
      </c>
      <c r="F57" s="225"/>
      <c r="G57" s="225">
        <v>1.63</v>
      </c>
      <c r="H57" s="245"/>
      <c r="I57" s="245">
        <v>2.18</v>
      </c>
      <c r="J57" s="245"/>
      <c r="K57" s="245">
        <v>4.35</v>
      </c>
      <c r="L57" s="245"/>
      <c r="M57" s="245">
        <v>41.35</v>
      </c>
      <c r="N57" s="245"/>
      <c r="O57" s="245">
        <v>116.43</v>
      </c>
      <c r="P57" s="245"/>
      <c r="Q57" s="245">
        <v>51.69</v>
      </c>
      <c r="R57" s="245"/>
      <c r="S57" s="245">
        <v>148</v>
      </c>
      <c r="T57" s="245">
        <v>1000</v>
      </c>
      <c r="U57" s="245">
        <v>86.51</v>
      </c>
      <c r="V57" s="245"/>
      <c r="W57" s="245">
        <v>83.25</v>
      </c>
      <c r="X57" s="245"/>
      <c r="Y57" s="245">
        <v>76.72</v>
      </c>
      <c r="Z57" s="245"/>
      <c r="AA57" s="245">
        <v>55.5</v>
      </c>
      <c r="AB57" s="245"/>
      <c r="AC57" s="245">
        <f t="shared" si="5"/>
        <v>673.6</v>
      </c>
      <c r="AD57" s="245">
        <f t="shared" si="6"/>
        <v>1000</v>
      </c>
      <c r="AE57" s="112">
        <f t="shared" si="7"/>
        <v>600.29</v>
      </c>
      <c r="AF57" s="1">
        <f t="shared" si="0"/>
        <v>301.98</v>
      </c>
      <c r="AG57" s="1">
        <f t="shared" si="1"/>
        <v>0</v>
      </c>
      <c r="AI57" s="1" t="e">
        <f>#REF!-U57+V57-W57+X57-Y57+Z57-AA57+AB57</f>
        <v>#REF!</v>
      </c>
    </row>
    <row r="58" s="1" customFormat="1" customHeight="1" spans="1:35">
      <c r="A58" s="242">
        <v>54</v>
      </c>
      <c r="B58" s="242" t="s">
        <v>143</v>
      </c>
      <c r="C58" s="243" t="s">
        <v>144</v>
      </c>
      <c r="D58" s="225">
        <v>-214.72</v>
      </c>
      <c r="E58" s="225">
        <v>127.86</v>
      </c>
      <c r="F58" s="225"/>
      <c r="G58" s="225">
        <v>76.72</v>
      </c>
      <c r="H58" s="245"/>
      <c r="I58" s="245">
        <v>96.85</v>
      </c>
      <c r="J58" s="245"/>
      <c r="K58" s="245">
        <v>113.17</v>
      </c>
      <c r="L58" s="245"/>
      <c r="M58" s="245">
        <v>87.06</v>
      </c>
      <c r="N58" s="245">
        <v>600</v>
      </c>
      <c r="O58" s="245">
        <v>93.04</v>
      </c>
      <c r="P58" s="245"/>
      <c r="Q58" s="245">
        <v>47.33</v>
      </c>
      <c r="R58" s="245"/>
      <c r="S58" s="245">
        <v>142.01</v>
      </c>
      <c r="T58" s="245"/>
      <c r="U58" s="245">
        <v>79.98</v>
      </c>
      <c r="V58" s="245"/>
      <c r="W58" s="245">
        <v>188.8</v>
      </c>
      <c r="X58" s="245"/>
      <c r="Y58" s="245">
        <v>34.82</v>
      </c>
      <c r="Z58" s="245">
        <v>400</v>
      </c>
      <c r="AA58" s="245">
        <v>32.65</v>
      </c>
      <c r="AB58" s="245"/>
      <c r="AC58" s="245">
        <f t="shared" si="5"/>
        <v>1120.29</v>
      </c>
      <c r="AD58" s="245">
        <f t="shared" si="6"/>
        <v>1000</v>
      </c>
      <c r="AE58" s="112">
        <f t="shared" si="7"/>
        <v>-335.01</v>
      </c>
      <c r="AF58" s="1">
        <f t="shared" si="0"/>
        <v>336.25</v>
      </c>
      <c r="AG58" s="1">
        <f t="shared" si="1"/>
        <v>400</v>
      </c>
      <c r="AI58" s="1" t="e">
        <f>#REF!-U58+V58-W58+X58-Y58+Z58-AA58+AB58</f>
        <v>#REF!</v>
      </c>
    </row>
    <row r="59" s="1" customFormat="1" customHeight="1" spans="1:35">
      <c r="A59" s="242">
        <v>55</v>
      </c>
      <c r="B59" s="242" t="s">
        <v>145</v>
      </c>
      <c r="C59" s="243" t="s">
        <v>146</v>
      </c>
      <c r="D59" s="225">
        <v>-272.93</v>
      </c>
      <c r="E59" s="225">
        <v>258.45</v>
      </c>
      <c r="F59" s="225"/>
      <c r="G59" s="225">
        <v>342.24</v>
      </c>
      <c r="H59" s="245"/>
      <c r="I59" s="245">
        <v>200.23</v>
      </c>
      <c r="J59" s="245">
        <v>1000</v>
      </c>
      <c r="K59" s="245">
        <v>59.85</v>
      </c>
      <c r="L59" s="245"/>
      <c r="M59" s="245">
        <v>115.35</v>
      </c>
      <c r="N59" s="245"/>
      <c r="O59" s="245">
        <v>84.33</v>
      </c>
      <c r="P59" s="245">
        <v>1000</v>
      </c>
      <c r="Q59" s="245">
        <v>94.67</v>
      </c>
      <c r="R59" s="245"/>
      <c r="S59" s="245">
        <v>148.54</v>
      </c>
      <c r="T59" s="245"/>
      <c r="U59" s="245">
        <v>177.92</v>
      </c>
      <c r="V59" s="245"/>
      <c r="W59" s="245">
        <v>95.76</v>
      </c>
      <c r="X59" s="245"/>
      <c r="Y59" s="245">
        <v>157.24</v>
      </c>
      <c r="Z59" s="245"/>
      <c r="AA59" s="245">
        <v>312.86</v>
      </c>
      <c r="AB59" s="245"/>
      <c r="AC59" s="245">
        <f t="shared" si="5"/>
        <v>2047.44</v>
      </c>
      <c r="AD59" s="245">
        <f t="shared" si="6"/>
        <v>2000</v>
      </c>
      <c r="AE59" s="112">
        <f t="shared" si="7"/>
        <v>-320.37</v>
      </c>
      <c r="AF59" s="1">
        <f t="shared" si="0"/>
        <v>743.78</v>
      </c>
      <c r="AG59" s="1">
        <f t="shared" si="1"/>
        <v>0</v>
      </c>
      <c r="AI59" s="1" t="e">
        <f>#REF!-U59+V59-W59+X59-Y59+Z59-AA59+AB59</f>
        <v>#REF!</v>
      </c>
    </row>
    <row r="60" s="1" customFormat="1" customHeight="1" spans="1:35">
      <c r="A60" s="242">
        <v>56</v>
      </c>
      <c r="B60" s="242" t="s">
        <v>147</v>
      </c>
      <c r="C60" s="243" t="s">
        <v>148</v>
      </c>
      <c r="D60" s="225">
        <v>271.16</v>
      </c>
      <c r="E60" s="225">
        <v>39.18</v>
      </c>
      <c r="F60" s="225"/>
      <c r="G60" s="225">
        <v>171.39</v>
      </c>
      <c r="H60" s="245"/>
      <c r="I60" s="245">
        <v>137.66</v>
      </c>
      <c r="J60" s="245"/>
      <c r="K60" s="245">
        <v>97.39</v>
      </c>
      <c r="L60" s="245"/>
      <c r="M60" s="245">
        <v>102.84</v>
      </c>
      <c r="N60" s="245"/>
      <c r="O60" s="245">
        <v>64.2</v>
      </c>
      <c r="P60" s="245">
        <v>500</v>
      </c>
      <c r="Q60" s="245">
        <v>82.15</v>
      </c>
      <c r="R60" s="245"/>
      <c r="S60" s="245">
        <v>81.62</v>
      </c>
      <c r="T60" s="245"/>
      <c r="U60" s="245">
        <v>104.47</v>
      </c>
      <c r="V60" s="245"/>
      <c r="W60" s="245">
        <v>75.63</v>
      </c>
      <c r="X60" s="245"/>
      <c r="Y60" s="245">
        <v>126.78</v>
      </c>
      <c r="Z60" s="245"/>
      <c r="AA60" s="245">
        <v>128.95</v>
      </c>
      <c r="AB60" s="245">
        <v>800</v>
      </c>
      <c r="AC60" s="245">
        <f t="shared" si="5"/>
        <v>1212.26</v>
      </c>
      <c r="AD60" s="245">
        <f t="shared" si="6"/>
        <v>1300</v>
      </c>
      <c r="AE60" s="112">
        <f t="shared" si="7"/>
        <v>358.9</v>
      </c>
      <c r="AF60" s="1">
        <f t="shared" si="0"/>
        <v>435.83</v>
      </c>
      <c r="AG60" s="1">
        <f t="shared" si="1"/>
        <v>800</v>
      </c>
      <c r="AI60" s="1" t="e">
        <f>#REF!-U60+V60-W60+X60-Y60+Z60-AA60+AB60</f>
        <v>#REF!</v>
      </c>
    </row>
    <row r="61" s="1" customFormat="1" customHeight="1" spans="1:35">
      <c r="A61" s="242">
        <v>57</v>
      </c>
      <c r="B61" s="242" t="s">
        <v>149</v>
      </c>
      <c r="C61" s="243" t="s">
        <v>150</v>
      </c>
      <c r="D61" s="225">
        <v>294.02</v>
      </c>
      <c r="E61" s="225"/>
      <c r="F61" s="225"/>
      <c r="G61" s="225"/>
      <c r="H61" s="245"/>
      <c r="I61" s="245">
        <v>151.8</v>
      </c>
      <c r="J61" s="245"/>
      <c r="K61" s="245">
        <v>141.47</v>
      </c>
      <c r="L61" s="245"/>
      <c r="M61" s="245">
        <v>85.97</v>
      </c>
      <c r="N61" s="245"/>
      <c r="O61" s="245">
        <v>73.99</v>
      </c>
      <c r="P61" s="245"/>
      <c r="Q61" s="245">
        <v>77.26</v>
      </c>
      <c r="R61" s="245"/>
      <c r="S61" s="245">
        <v>137.11</v>
      </c>
      <c r="T61" s="245"/>
      <c r="U61" s="245">
        <v>96.31</v>
      </c>
      <c r="V61" s="245"/>
      <c r="W61" s="245">
        <v>77.26</v>
      </c>
      <c r="X61" s="245"/>
      <c r="Y61" s="245">
        <v>65.29</v>
      </c>
      <c r="Z61" s="245"/>
      <c r="AA61" s="245">
        <v>118.61</v>
      </c>
      <c r="AB61" s="245"/>
      <c r="AC61" s="245">
        <f t="shared" si="5"/>
        <v>1025.07</v>
      </c>
      <c r="AD61" s="245">
        <f t="shared" si="6"/>
        <v>0</v>
      </c>
      <c r="AE61" s="112">
        <f t="shared" si="7"/>
        <v>-731.05</v>
      </c>
      <c r="AF61" s="1">
        <f t="shared" si="0"/>
        <v>357.47</v>
      </c>
      <c r="AG61" s="1">
        <f t="shared" si="1"/>
        <v>0</v>
      </c>
      <c r="AI61" s="1" t="e">
        <f>#REF!-U61+V61-W61+X61-Y61+Z61-AA61+AB61</f>
        <v>#REF!</v>
      </c>
    </row>
    <row r="62" s="1" customFormat="1" customHeight="1" spans="1:35">
      <c r="A62" s="242">
        <v>58</v>
      </c>
      <c r="B62" s="242" t="s">
        <v>151</v>
      </c>
      <c r="C62" s="243" t="s">
        <v>152</v>
      </c>
      <c r="D62" s="225">
        <v>300</v>
      </c>
      <c r="E62" s="225"/>
      <c r="F62" s="225"/>
      <c r="G62" s="225"/>
      <c r="H62" s="245"/>
      <c r="I62" s="245"/>
      <c r="J62" s="245"/>
      <c r="K62" s="245">
        <v>1.63</v>
      </c>
      <c r="L62" s="245"/>
      <c r="M62" s="245">
        <v>2.18</v>
      </c>
      <c r="N62" s="245"/>
      <c r="O62" s="245">
        <v>2.17</v>
      </c>
      <c r="P62" s="245"/>
      <c r="Q62" s="245"/>
      <c r="R62" s="245"/>
      <c r="S62" s="245">
        <v>0.54</v>
      </c>
      <c r="T62" s="245"/>
      <c r="U62" s="245">
        <v>1.09</v>
      </c>
      <c r="V62" s="245"/>
      <c r="W62" s="245">
        <v>3.26</v>
      </c>
      <c r="X62" s="245"/>
      <c r="Y62" s="245">
        <v>4.9</v>
      </c>
      <c r="Z62" s="245"/>
      <c r="AA62" s="245">
        <v>29.93</v>
      </c>
      <c r="AB62" s="245"/>
      <c r="AC62" s="245">
        <f t="shared" si="5"/>
        <v>45.7</v>
      </c>
      <c r="AD62" s="245">
        <f t="shared" si="6"/>
        <v>0</v>
      </c>
      <c r="AE62" s="112">
        <f t="shared" si="7"/>
        <v>254.3</v>
      </c>
      <c r="AF62" s="1">
        <f t="shared" si="0"/>
        <v>39.18</v>
      </c>
      <c r="AG62" s="1">
        <f t="shared" si="1"/>
        <v>0</v>
      </c>
      <c r="AI62" s="1" t="e">
        <f>#REF!-U62+V62-W62+X62-Y62+Z62-AA62+AB62</f>
        <v>#REF!</v>
      </c>
    </row>
    <row r="63" s="1" customFormat="1" customHeight="1" spans="1:35">
      <c r="A63" s="242">
        <v>59</v>
      </c>
      <c r="B63" s="242" t="s">
        <v>153</v>
      </c>
      <c r="C63" s="243" t="s">
        <v>154</v>
      </c>
      <c r="D63" s="225">
        <v>284.22</v>
      </c>
      <c r="E63" s="225"/>
      <c r="F63" s="225"/>
      <c r="G63" s="225">
        <v>45.16</v>
      </c>
      <c r="H63" s="245"/>
      <c r="I63" s="245">
        <v>19.59</v>
      </c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>
        <v>0.54</v>
      </c>
      <c r="V63" s="245"/>
      <c r="W63" s="245">
        <v>21.76</v>
      </c>
      <c r="X63" s="245"/>
      <c r="Y63" s="245">
        <v>21.76</v>
      </c>
      <c r="Z63" s="245"/>
      <c r="AA63" s="245">
        <v>40.81</v>
      </c>
      <c r="AB63" s="245"/>
      <c r="AC63" s="245">
        <f t="shared" si="5"/>
        <v>149.62</v>
      </c>
      <c r="AD63" s="245">
        <f t="shared" si="6"/>
        <v>0</v>
      </c>
      <c r="AE63" s="112">
        <f t="shared" si="7"/>
        <v>134.6</v>
      </c>
      <c r="AF63" s="1">
        <f t="shared" si="0"/>
        <v>84.87</v>
      </c>
      <c r="AG63" s="1">
        <f t="shared" si="1"/>
        <v>0</v>
      </c>
      <c r="AI63" s="1" t="e">
        <f>#REF!-U63+V63-W63+X63-Y63+Z63-AA63+AB63</f>
        <v>#REF!</v>
      </c>
    </row>
    <row r="64" s="1" customFormat="1" customHeight="1" spans="1:35">
      <c r="A64" s="242">
        <v>60</v>
      </c>
      <c r="B64" s="242" t="s">
        <v>155</v>
      </c>
      <c r="C64" s="243" t="s">
        <v>156</v>
      </c>
      <c r="D64" s="225">
        <v>203.15</v>
      </c>
      <c r="E64" s="225">
        <v>58.22</v>
      </c>
      <c r="F64" s="225"/>
      <c r="G64" s="225">
        <v>207.3</v>
      </c>
      <c r="H64" s="245"/>
      <c r="I64" s="245">
        <v>123.51</v>
      </c>
      <c r="J64" s="245"/>
      <c r="K64" s="245">
        <v>136.57</v>
      </c>
      <c r="L64" s="245"/>
      <c r="M64" s="245">
        <v>113.17</v>
      </c>
      <c r="N64" s="245"/>
      <c r="O64" s="245">
        <v>88.14</v>
      </c>
      <c r="P64" s="245"/>
      <c r="Q64" s="245">
        <v>95.21</v>
      </c>
      <c r="R64" s="245">
        <v>1000</v>
      </c>
      <c r="S64" s="245">
        <v>114.81</v>
      </c>
      <c r="T64" s="245"/>
      <c r="U64" s="245">
        <v>116.44</v>
      </c>
      <c r="V64" s="245"/>
      <c r="W64" s="245">
        <v>113.17</v>
      </c>
      <c r="X64" s="245"/>
      <c r="Y64" s="245">
        <v>130.58</v>
      </c>
      <c r="Z64" s="245"/>
      <c r="AA64" s="245">
        <v>116.44</v>
      </c>
      <c r="AB64" s="245"/>
      <c r="AC64" s="245">
        <f t="shared" si="5"/>
        <v>1413.56</v>
      </c>
      <c r="AD64" s="245">
        <f t="shared" si="6"/>
        <v>1000</v>
      </c>
      <c r="AE64" s="112">
        <f t="shared" si="7"/>
        <v>-210.41</v>
      </c>
      <c r="AF64" s="1">
        <f t="shared" si="0"/>
        <v>476.63</v>
      </c>
      <c r="AG64" s="1">
        <f t="shared" si="1"/>
        <v>0</v>
      </c>
      <c r="AI64" s="1" t="e">
        <f>#REF!-U64+V64-W64+X64-Y64+Z64-AA64+AB64</f>
        <v>#REF!</v>
      </c>
    </row>
    <row r="65" s="1" customFormat="1" customHeight="1" spans="1:35">
      <c r="A65" s="242">
        <v>61</v>
      </c>
      <c r="B65" s="242" t="s">
        <v>157</v>
      </c>
      <c r="C65" s="243" t="s">
        <v>158</v>
      </c>
      <c r="D65" s="225">
        <v>0</v>
      </c>
      <c r="E65" s="225"/>
      <c r="F65" s="225"/>
      <c r="G65" s="22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>
        <v>300</v>
      </c>
      <c r="U65" s="245"/>
      <c r="V65" s="245"/>
      <c r="W65" s="245">
        <v>1.63</v>
      </c>
      <c r="X65" s="245"/>
      <c r="Y65" s="245">
        <v>3.26</v>
      </c>
      <c r="Z65" s="245"/>
      <c r="AA65" s="245">
        <v>14.15</v>
      </c>
      <c r="AB65" s="245"/>
      <c r="AC65" s="245">
        <f t="shared" si="5"/>
        <v>19.04</v>
      </c>
      <c r="AD65" s="245">
        <f t="shared" si="6"/>
        <v>300</v>
      </c>
      <c r="AE65" s="112">
        <f t="shared" si="7"/>
        <v>280.96</v>
      </c>
      <c r="AF65" s="1">
        <f t="shared" si="0"/>
        <v>19.04</v>
      </c>
      <c r="AG65" s="1">
        <f t="shared" si="1"/>
        <v>0</v>
      </c>
      <c r="AI65" s="1" t="e">
        <f>#REF!-U65+V65-W65+X65-Y65+Z65-AA65+AB65</f>
        <v>#REF!</v>
      </c>
    </row>
    <row r="66" s="1" customFormat="1" customHeight="1" spans="1:35">
      <c r="A66" s="242">
        <v>62</v>
      </c>
      <c r="B66" s="242" t="s">
        <v>159</v>
      </c>
      <c r="C66" s="243" t="s">
        <v>160</v>
      </c>
      <c r="D66" s="225">
        <v>-143.47</v>
      </c>
      <c r="E66" s="225">
        <v>134.4</v>
      </c>
      <c r="F66" s="225"/>
      <c r="G66" s="225">
        <v>173.02</v>
      </c>
      <c r="H66" s="245"/>
      <c r="I66" s="245">
        <v>145.82</v>
      </c>
      <c r="J66" s="245">
        <v>500</v>
      </c>
      <c r="K66" s="245">
        <v>145.28</v>
      </c>
      <c r="L66" s="245"/>
      <c r="M66" s="245">
        <v>155.07</v>
      </c>
      <c r="N66" s="245"/>
      <c r="O66" s="245">
        <v>136.56</v>
      </c>
      <c r="P66" s="245">
        <v>1300</v>
      </c>
      <c r="Q66" s="245">
        <v>148.53</v>
      </c>
      <c r="R66" s="245"/>
      <c r="S66" s="245">
        <v>236.68</v>
      </c>
      <c r="T66" s="245"/>
      <c r="U66" s="245">
        <v>223.08</v>
      </c>
      <c r="V66" s="245"/>
      <c r="W66" s="245">
        <v>164.86</v>
      </c>
      <c r="X66" s="245"/>
      <c r="Y66" s="245">
        <v>144.19</v>
      </c>
      <c r="Z66" s="245"/>
      <c r="AA66" s="245">
        <v>142.01</v>
      </c>
      <c r="AB66" s="245">
        <v>800</v>
      </c>
      <c r="AC66" s="245">
        <f t="shared" si="5"/>
        <v>1949.5</v>
      </c>
      <c r="AD66" s="245">
        <f t="shared" si="6"/>
        <v>2600</v>
      </c>
      <c r="AE66" s="112">
        <f t="shared" si="7"/>
        <v>507.03</v>
      </c>
      <c r="AF66" s="1">
        <f t="shared" si="0"/>
        <v>674.14</v>
      </c>
      <c r="AG66" s="1">
        <f t="shared" si="1"/>
        <v>800</v>
      </c>
      <c r="AI66" s="1" t="e">
        <f>#REF!-U66+V66-W66+X66-Y66+Z66-AA66+AB66</f>
        <v>#REF!</v>
      </c>
    </row>
    <row r="67" s="1" customFormat="1" customHeight="1" spans="1:35">
      <c r="A67" s="242">
        <v>63</v>
      </c>
      <c r="B67" s="242" t="s">
        <v>161</v>
      </c>
      <c r="C67" s="243" t="s">
        <v>162</v>
      </c>
      <c r="D67" s="225">
        <v>645.99</v>
      </c>
      <c r="E67" s="225">
        <v>153.44</v>
      </c>
      <c r="F67" s="225"/>
      <c r="G67" s="225">
        <v>440.72</v>
      </c>
      <c r="H67" s="245"/>
      <c r="I67" s="245">
        <v>338.43</v>
      </c>
      <c r="J67" s="245">
        <v>1000</v>
      </c>
      <c r="K67" s="245">
        <v>159.97</v>
      </c>
      <c r="L67" s="245">
        <v>1000</v>
      </c>
      <c r="M67" s="245">
        <v>229.07</v>
      </c>
      <c r="N67" s="245"/>
      <c r="O67" s="245">
        <v>184.45</v>
      </c>
      <c r="P67" s="245"/>
      <c r="Q67" s="245">
        <v>80.52</v>
      </c>
      <c r="R67" s="245">
        <v>1000</v>
      </c>
      <c r="S67" s="245">
        <v>138.75</v>
      </c>
      <c r="T67" s="245"/>
      <c r="U67" s="245">
        <v>161.05</v>
      </c>
      <c r="V67" s="245"/>
      <c r="W67" s="245">
        <v>202.95</v>
      </c>
      <c r="X67" s="245"/>
      <c r="Y67" s="245">
        <v>102.29</v>
      </c>
      <c r="Z67" s="245"/>
      <c r="AA67" s="245">
        <v>104.47</v>
      </c>
      <c r="AB67" s="245"/>
      <c r="AC67" s="245">
        <f t="shared" si="5"/>
        <v>2296.11</v>
      </c>
      <c r="AD67" s="245">
        <f t="shared" si="6"/>
        <v>3000</v>
      </c>
      <c r="AE67" s="112">
        <f t="shared" si="7"/>
        <v>1349.88</v>
      </c>
      <c r="AF67" s="1">
        <f t="shared" si="0"/>
        <v>570.76</v>
      </c>
      <c r="AG67" s="1">
        <f t="shared" si="1"/>
        <v>0</v>
      </c>
      <c r="AI67" s="1" t="e">
        <f>#REF!-U67+V67-W67+X67-Y67+Z67-AA67+AB67</f>
        <v>#REF!</v>
      </c>
    </row>
    <row r="68" s="1" customFormat="1" customHeight="1" spans="1:35">
      <c r="A68" s="242">
        <v>64</v>
      </c>
      <c r="B68" s="242" t="s">
        <v>163</v>
      </c>
      <c r="C68" s="243" t="s">
        <v>164</v>
      </c>
      <c r="D68" s="225">
        <v>109.02</v>
      </c>
      <c r="E68" s="225">
        <v>159.42</v>
      </c>
      <c r="F68" s="225"/>
      <c r="G68" s="225">
        <v>193.16</v>
      </c>
      <c r="H68" s="245"/>
      <c r="I68" s="245">
        <v>130.04</v>
      </c>
      <c r="J68" s="245">
        <v>1000</v>
      </c>
      <c r="K68" s="245">
        <v>141.47</v>
      </c>
      <c r="L68" s="245"/>
      <c r="M68" s="245">
        <v>129.5</v>
      </c>
      <c r="N68" s="245"/>
      <c r="O68" s="245">
        <v>102.83</v>
      </c>
      <c r="P68" s="245"/>
      <c r="Q68" s="245">
        <v>95.21</v>
      </c>
      <c r="R68" s="245"/>
      <c r="S68" s="245">
        <v>101.2</v>
      </c>
      <c r="T68" s="245"/>
      <c r="U68" s="245">
        <v>93.04</v>
      </c>
      <c r="V68" s="245"/>
      <c r="W68" s="245">
        <v>97.39</v>
      </c>
      <c r="X68" s="245">
        <v>1000</v>
      </c>
      <c r="Y68" s="245">
        <v>119.7</v>
      </c>
      <c r="Z68" s="245"/>
      <c r="AA68" s="245">
        <v>137.11</v>
      </c>
      <c r="AB68" s="245"/>
      <c r="AC68" s="245">
        <f t="shared" si="5"/>
        <v>1500.07</v>
      </c>
      <c r="AD68" s="245">
        <f t="shared" si="6"/>
        <v>2000</v>
      </c>
      <c r="AE68" s="112">
        <f t="shared" si="7"/>
        <v>608.95</v>
      </c>
      <c r="AF68" s="1">
        <f t="shared" si="0"/>
        <v>447.24</v>
      </c>
      <c r="AG68" s="1">
        <f t="shared" si="1"/>
        <v>1000</v>
      </c>
      <c r="AI68" s="1" t="e">
        <f>#REF!-U68+V68-W68+X68-Y68+Z68-AA68+AB68</f>
        <v>#REF!</v>
      </c>
    </row>
    <row r="69" s="1" customFormat="1" customHeight="1" spans="1:35">
      <c r="A69" s="242">
        <v>65</v>
      </c>
      <c r="B69" s="242"/>
      <c r="C69" s="108" t="s">
        <v>165</v>
      </c>
      <c r="D69" s="225">
        <v>1706.19</v>
      </c>
      <c r="E69" s="225"/>
      <c r="F69" s="225"/>
      <c r="G69" s="225"/>
      <c r="H69" s="245"/>
      <c r="I69" s="245"/>
      <c r="J69" s="245"/>
      <c r="K69" s="245"/>
      <c r="L69" s="245"/>
      <c r="M69" s="245">
        <v>32.65</v>
      </c>
      <c r="N69" s="245"/>
      <c r="O69" s="245">
        <v>132.76</v>
      </c>
      <c r="P69" s="245"/>
      <c r="Q69" s="245"/>
      <c r="R69" s="245"/>
      <c r="S69" s="245"/>
      <c r="T69" s="245"/>
      <c r="U69" s="245">
        <v>226.89</v>
      </c>
      <c r="V69" s="245"/>
      <c r="W69" s="245">
        <v>33.19</v>
      </c>
      <c r="X69" s="245"/>
      <c r="Y69" s="245">
        <v>44.07</v>
      </c>
      <c r="Z69" s="245"/>
      <c r="AA69" s="245">
        <v>11.43</v>
      </c>
      <c r="AB69" s="245"/>
      <c r="AC69" s="245">
        <f t="shared" si="5"/>
        <v>480.99</v>
      </c>
      <c r="AD69" s="245">
        <f t="shared" si="6"/>
        <v>0</v>
      </c>
      <c r="AE69" s="112">
        <f t="shared" si="7"/>
        <v>1225.2</v>
      </c>
      <c r="AF69" s="1">
        <f t="shared" ref="AF69:AF132" si="8">U69+W69+Y69+AA69</f>
        <v>315.58</v>
      </c>
      <c r="AG69" s="1">
        <f t="shared" ref="AG69:AG132" si="9">V69+X69+Z69+AB69</f>
        <v>0</v>
      </c>
      <c r="AI69" s="1" t="e">
        <f>#REF!-U69+V69-W69+X69-Y69+Z69-AA69+AB69</f>
        <v>#REF!</v>
      </c>
    </row>
    <row r="70" s="239" customFormat="1" customHeight="1" spans="1:35">
      <c r="A70" s="242">
        <v>66</v>
      </c>
      <c r="B70" s="242"/>
      <c r="C70" s="108" t="s">
        <v>166</v>
      </c>
      <c r="D70" s="225">
        <v>-62.03</v>
      </c>
      <c r="E70" s="225">
        <v>57.13</v>
      </c>
      <c r="F70" s="225"/>
      <c r="G70" s="225"/>
      <c r="H70" s="245"/>
      <c r="I70" s="245">
        <v>44.53</v>
      </c>
      <c r="J70" s="245"/>
      <c r="K70" s="245">
        <v>38.34</v>
      </c>
      <c r="L70" s="245"/>
      <c r="M70" s="245">
        <v>28.34</v>
      </c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>
        <v>143.32</v>
      </c>
      <c r="Z70" s="245"/>
      <c r="AA70" s="245">
        <v>8.1</v>
      </c>
      <c r="AB70" s="245"/>
      <c r="AC70" s="245">
        <f t="shared" ref="AC70:AC101" si="10">AA70+Y70+W70+U70+S70+Q70+O70+M70+K70+I70+G70+E70</f>
        <v>319.76</v>
      </c>
      <c r="AD70" s="245">
        <f t="shared" ref="AD70:AD101" si="11">AB70+Z70+X70+V70+T70+R70+P70+N70+L70+J70+H70+F70</f>
        <v>0</v>
      </c>
      <c r="AE70" s="112">
        <f t="shared" ref="AE70:AE101" si="12">D70+AD70-AC70</f>
        <v>-381.79</v>
      </c>
      <c r="AF70" s="1">
        <f t="shared" si="8"/>
        <v>151.42</v>
      </c>
      <c r="AG70" s="1">
        <f t="shared" si="9"/>
        <v>0</v>
      </c>
      <c r="AI70" s="1" t="e">
        <f>#REF!-U70+V70-W70+X70-Y70+Z70-AA70+AB70</f>
        <v>#REF!</v>
      </c>
    </row>
    <row r="71" customHeight="1" spans="1:35">
      <c r="A71" s="242">
        <v>67</v>
      </c>
      <c r="B71" s="242" t="s">
        <v>167</v>
      </c>
      <c r="C71" s="243" t="s">
        <v>168</v>
      </c>
      <c r="D71" s="225">
        <v>287.03</v>
      </c>
      <c r="E71" s="225">
        <v>63.66</v>
      </c>
      <c r="F71" s="225"/>
      <c r="G71" s="225">
        <v>79.44</v>
      </c>
      <c r="H71" s="245"/>
      <c r="I71" s="245">
        <v>68.56</v>
      </c>
      <c r="J71" s="245"/>
      <c r="K71" s="245">
        <v>71.82</v>
      </c>
      <c r="L71" s="245"/>
      <c r="M71" s="245">
        <v>65.84</v>
      </c>
      <c r="N71" s="245"/>
      <c r="O71" s="245">
        <v>49.51</v>
      </c>
      <c r="P71" s="245">
        <v>300</v>
      </c>
      <c r="Q71" s="245">
        <v>47.33</v>
      </c>
      <c r="R71" s="245"/>
      <c r="S71" s="245">
        <v>57.64</v>
      </c>
      <c r="T71" s="245"/>
      <c r="U71" s="245">
        <v>61.48</v>
      </c>
      <c r="V71" s="245"/>
      <c r="W71" s="245">
        <v>53.87</v>
      </c>
      <c r="X71" s="245"/>
      <c r="Y71" s="245">
        <v>63.12</v>
      </c>
      <c r="Z71" s="245">
        <v>300</v>
      </c>
      <c r="AA71" s="245">
        <v>111</v>
      </c>
      <c r="AB71" s="245"/>
      <c r="AC71" s="245">
        <f t="shared" si="10"/>
        <v>793.27</v>
      </c>
      <c r="AD71" s="245">
        <f t="shared" si="11"/>
        <v>600</v>
      </c>
      <c r="AE71" s="112">
        <f t="shared" si="12"/>
        <v>93.7600000000001</v>
      </c>
      <c r="AF71" s="1">
        <f t="shared" si="8"/>
        <v>289.47</v>
      </c>
      <c r="AG71" s="1">
        <f t="shared" si="9"/>
        <v>300</v>
      </c>
      <c r="AI71" s="1" t="e">
        <f>#REF!-U71+V71-W71+X71-Y71+Z71-AA71+AB71</f>
        <v>#REF!</v>
      </c>
    </row>
    <row r="72" customHeight="1" spans="1:35">
      <c r="A72" s="242">
        <v>68</v>
      </c>
      <c r="B72" s="242" t="s">
        <v>169</v>
      </c>
      <c r="C72" s="243" t="s">
        <v>170</v>
      </c>
      <c r="D72" s="225">
        <v>234.71</v>
      </c>
      <c r="E72" s="225"/>
      <c r="F72" s="225"/>
      <c r="G72" s="225"/>
      <c r="H72" s="245"/>
      <c r="I72" s="245">
        <v>14.69</v>
      </c>
      <c r="J72" s="245"/>
      <c r="K72" s="245">
        <v>3.27</v>
      </c>
      <c r="L72" s="245"/>
      <c r="M72" s="245">
        <v>3.81</v>
      </c>
      <c r="N72" s="245"/>
      <c r="O72" s="245"/>
      <c r="P72" s="245"/>
      <c r="Q72" s="245">
        <v>1.08</v>
      </c>
      <c r="R72" s="245">
        <v>500</v>
      </c>
      <c r="S72" s="245">
        <v>3.27</v>
      </c>
      <c r="T72" s="245"/>
      <c r="U72" s="245">
        <v>7.07</v>
      </c>
      <c r="V72" s="245"/>
      <c r="W72" s="245">
        <v>4.35</v>
      </c>
      <c r="X72" s="245"/>
      <c r="Y72" s="245">
        <v>18.5</v>
      </c>
      <c r="Z72" s="245"/>
      <c r="AA72" s="245">
        <v>52.23</v>
      </c>
      <c r="AB72" s="245"/>
      <c r="AC72" s="245">
        <f t="shared" si="10"/>
        <v>108.27</v>
      </c>
      <c r="AD72" s="245">
        <f t="shared" si="11"/>
        <v>500</v>
      </c>
      <c r="AE72" s="112">
        <f t="shared" si="12"/>
        <v>626.44</v>
      </c>
      <c r="AF72" s="1">
        <f t="shared" si="8"/>
        <v>82.15</v>
      </c>
      <c r="AG72" s="1">
        <f t="shared" si="9"/>
        <v>0</v>
      </c>
      <c r="AI72" s="1" t="e">
        <f>#REF!-U72+V72-W72+X72-Y72+Z72-AA72+AB72</f>
        <v>#REF!</v>
      </c>
    </row>
    <row r="73" customHeight="1" spans="1:35">
      <c r="A73" s="242">
        <v>69</v>
      </c>
      <c r="B73" s="242" t="s">
        <v>171</v>
      </c>
      <c r="C73" s="243" t="s">
        <v>172</v>
      </c>
      <c r="D73" s="225">
        <v>29.58</v>
      </c>
      <c r="E73" s="225">
        <v>129.35</v>
      </c>
      <c r="F73" s="225"/>
      <c r="G73" s="225">
        <v>135.48</v>
      </c>
      <c r="H73" s="245">
        <v>2000</v>
      </c>
      <c r="I73" s="245">
        <v>126.23</v>
      </c>
      <c r="J73" s="245"/>
      <c r="K73" s="245">
        <v>143.64</v>
      </c>
      <c r="L73" s="245"/>
      <c r="M73" s="245">
        <v>137.66</v>
      </c>
      <c r="N73" s="245"/>
      <c r="O73" s="245">
        <v>194.61</v>
      </c>
      <c r="P73" s="245"/>
      <c r="Q73" s="245">
        <v>256.1</v>
      </c>
      <c r="R73" s="245"/>
      <c r="S73" s="245">
        <v>408.62</v>
      </c>
      <c r="T73" s="245"/>
      <c r="U73" s="245">
        <v>352</v>
      </c>
      <c r="V73" s="245"/>
      <c r="W73" s="245">
        <v>186.12</v>
      </c>
      <c r="X73" s="245">
        <v>1000</v>
      </c>
      <c r="Y73" s="245">
        <v>148</v>
      </c>
      <c r="Z73" s="245"/>
      <c r="AA73" s="245">
        <v>155.07</v>
      </c>
      <c r="AB73" s="245"/>
      <c r="AC73" s="245">
        <f t="shared" si="10"/>
        <v>2372.88</v>
      </c>
      <c r="AD73" s="245">
        <f t="shared" si="11"/>
        <v>3000</v>
      </c>
      <c r="AE73" s="112">
        <f t="shared" si="12"/>
        <v>656.7</v>
      </c>
      <c r="AF73" s="1">
        <f t="shared" si="8"/>
        <v>841.19</v>
      </c>
      <c r="AG73" s="1">
        <f t="shared" si="9"/>
        <v>1000</v>
      </c>
      <c r="AI73" s="1" t="e">
        <f>#REF!-U73+V73-W73+X73-Y73+Z73-AA73+AB73</f>
        <v>#REF!</v>
      </c>
    </row>
    <row r="74" customHeight="1" spans="1:35">
      <c r="A74" s="242">
        <v>70</v>
      </c>
      <c r="B74" s="242" t="s">
        <v>173</v>
      </c>
      <c r="C74" s="243" t="s">
        <v>174</v>
      </c>
      <c r="D74" s="225">
        <v>298.91</v>
      </c>
      <c r="E74" s="225"/>
      <c r="F74" s="225"/>
      <c r="G74" s="22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>
        <f t="shared" si="10"/>
        <v>0</v>
      </c>
      <c r="AD74" s="245">
        <f t="shared" si="11"/>
        <v>0</v>
      </c>
      <c r="AE74" s="112">
        <f t="shared" si="12"/>
        <v>298.91</v>
      </c>
      <c r="AF74" s="1">
        <f t="shared" si="8"/>
        <v>0</v>
      </c>
      <c r="AG74" s="1">
        <f t="shared" si="9"/>
        <v>0</v>
      </c>
      <c r="AI74" s="1" t="e">
        <f>#REF!-U74+V74-W74+X74-Y74+Z74-AA74+AB74</f>
        <v>#REF!</v>
      </c>
    </row>
    <row r="75" customHeight="1" spans="1:35">
      <c r="A75" s="242">
        <v>71</v>
      </c>
      <c r="B75" s="242" t="s">
        <v>175</v>
      </c>
      <c r="C75" s="243" t="s">
        <v>176</v>
      </c>
      <c r="D75" s="225">
        <v>34.97</v>
      </c>
      <c r="E75" s="225">
        <v>108.82</v>
      </c>
      <c r="F75" s="225"/>
      <c r="G75" s="225">
        <v>140.92</v>
      </c>
      <c r="H75" s="245"/>
      <c r="I75" s="245">
        <v>125.14</v>
      </c>
      <c r="J75" s="245"/>
      <c r="K75" s="245">
        <v>125.14</v>
      </c>
      <c r="L75" s="245">
        <v>659.2</v>
      </c>
      <c r="M75" s="245">
        <v>110.45</v>
      </c>
      <c r="N75" s="245"/>
      <c r="O75" s="245">
        <v>87.05</v>
      </c>
      <c r="P75" s="245">
        <v>125.14</v>
      </c>
      <c r="Q75" s="245">
        <v>84.33</v>
      </c>
      <c r="R75" s="245">
        <v>300</v>
      </c>
      <c r="S75" s="245">
        <v>135.48</v>
      </c>
      <c r="T75" s="245"/>
      <c r="U75" s="245">
        <v>107.19</v>
      </c>
      <c r="V75" s="245"/>
      <c r="W75" s="245">
        <v>93.04</v>
      </c>
      <c r="X75" s="245"/>
      <c r="Y75" s="245">
        <v>92.5</v>
      </c>
      <c r="Z75" s="245"/>
      <c r="AA75" s="245">
        <v>80.53</v>
      </c>
      <c r="AB75" s="245">
        <v>600</v>
      </c>
      <c r="AC75" s="245">
        <f t="shared" si="10"/>
        <v>1290.59</v>
      </c>
      <c r="AD75" s="245">
        <f t="shared" si="11"/>
        <v>1684.34</v>
      </c>
      <c r="AE75" s="112">
        <f t="shared" si="12"/>
        <v>428.72</v>
      </c>
      <c r="AF75" s="1">
        <f t="shared" si="8"/>
        <v>373.26</v>
      </c>
      <c r="AG75" s="1">
        <f t="shared" si="9"/>
        <v>600</v>
      </c>
      <c r="AI75" s="1" t="e">
        <f>#REF!-U75+V75-W75+X75-Y75+Z75-AA75+AB75</f>
        <v>#REF!</v>
      </c>
    </row>
    <row r="76" customHeight="1" spans="1:35">
      <c r="A76" s="242">
        <v>72</v>
      </c>
      <c r="B76" s="242" t="s">
        <v>177</v>
      </c>
      <c r="C76" s="243" t="s">
        <v>178</v>
      </c>
      <c r="D76" s="225">
        <v>0</v>
      </c>
      <c r="E76" s="225"/>
      <c r="F76" s="225"/>
      <c r="G76" s="225"/>
      <c r="H76" s="245"/>
      <c r="I76" s="245"/>
      <c r="J76" s="245"/>
      <c r="K76" s="245">
        <v>3.81</v>
      </c>
      <c r="L76" s="245">
        <v>300</v>
      </c>
      <c r="M76" s="245">
        <v>7.07</v>
      </c>
      <c r="N76" s="245"/>
      <c r="O76" s="245">
        <v>7.07</v>
      </c>
      <c r="P76" s="245"/>
      <c r="Q76" s="245">
        <v>15.23</v>
      </c>
      <c r="R76" s="245"/>
      <c r="S76" s="245">
        <v>22.3</v>
      </c>
      <c r="T76" s="245"/>
      <c r="U76" s="245">
        <v>41.35</v>
      </c>
      <c r="V76" s="245"/>
      <c r="W76" s="245">
        <v>17.41</v>
      </c>
      <c r="X76" s="245"/>
      <c r="Y76" s="245">
        <v>293.27</v>
      </c>
      <c r="Z76" s="245"/>
      <c r="AA76" s="245"/>
      <c r="AB76" s="245">
        <v>500</v>
      </c>
      <c r="AC76" s="245">
        <f t="shared" si="10"/>
        <v>407.51</v>
      </c>
      <c r="AD76" s="245">
        <f t="shared" si="11"/>
        <v>800</v>
      </c>
      <c r="AE76" s="112">
        <f t="shared" si="12"/>
        <v>392.49</v>
      </c>
      <c r="AF76" s="1">
        <f t="shared" si="8"/>
        <v>352.03</v>
      </c>
      <c r="AG76" s="1">
        <f t="shared" si="9"/>
        <v>500</v>
      </c>
      <c r="AI76" s="1" t="e">
        <f>#REF!-U76+V76-W76+X76-Y76+Z76-AA76+AB76</f>
        <v>#REF!</v>
      </c>
    </row>
    <row r="77" customHeight="1" spans="1:35">
      <c r="A77" s="242">
        <v>73</v>
      </c>
      <c r="B77" s="242" t="s">
        <v>179</v>
      </c>
      <c r="C77" s="243" t="s">
        <v>180</v>
      </c>
      <c r="D77" s="225">
        <v>286.94</v>
      </c>
      <c r="E77" s="225">
        <v>25.03</v>
      </c>
      <c r="F77" s="225"/>
      <c r="G77" s="225">
        <v>1.09</v>
      </c>
      <c r="H77" s="245"/>
      <c r="I77" s="245">
        <v>2.72</v>
      </c>
      <c r="J77" s="245"/>
      <c r="K77" s="245">
        <v>14.69</v>
      </c>
      <c r="L77" s="245"/>
      <c r="M77" s="245">
        <v>3.81</v>
      </c>
      <c r="N77" s="245"/>
      <c r="O77" s="245">
        <v>3.8</v>
      </c>
      <c r="P77" s="245">
        <v>500</v>
      </c>
      <c r="Q77" s="245">
        <v>99.57</v>
      </c>
      <c r="R77" s="245"/>
      <c r="S77" s="245">
        <v>85.42</v>
      </c>
      <c r="T77" s="245"/>
      <c r="U77" s="245">
        <v>83.79</v>
      </c>
      <c r="V77" s="245"/>
      <c r="W77" s="245">
        <v>64.2</v>
      </c>
      <c r="X77" s="245"/>
      <c r="Y77" s="245">
        <v>77.26</v>
      </c>
      <c r="Z77" s="245"/>
      <c r="AA77" s="245">
        <v>97.39</v>
      </c>
      <c r="AB77" s="245"/>
      <c r="AC77" s="245">
        <f t="shared" si="10"/>
        <v>558.77</v>
      </c>
      <c r="AD77" s="245">
        <f t="shared" si="11"/>
        <v>500</v>
      </c>
      <c r="AE77" s="112">
        <f t="shared" si="12"/>
        <v>228.17</v>
      </c>
      <c r="AF77" s="1">
        <f t="shared" si="8"/>
        <v>322.64</v>
      </c>
      <c r="AG77" s="1">
        <f t="shared" si="9"/>
        <v>0</v>
      </c>
      <c r="AI77" s="1" t="e">
        <f>#REF!-U77+V77-W77+X77-Y77+Z77-AA77+AB77</f>
        <v>#REF!</v>
      </c>
    </row>
    <row r="78" customHeight="1" spans="1:35">
      <c r="A78" s="242">
        <v>74</v>
      </c>
      <c r="B78" s="242" t="s">
        <v>181</v>
      </c>
      <c r="C78" s="243" t="s">
        <v>182</v>
      </c>
      <c r="D78" s="225">
        <v>298.91</v>
      </c>
      <c r="E78" s="225"/>
      <c r="F78" s="225"/>
      <c r="G78" s="22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>
        <f t="shared" si="10"/>
        <v>0</v>
      </c>
      <c r="AD78" s="245">
        <f t="shared" si="11"/>
        <v>0</v>
      </c>
      <c r="AE78" s="112">
        <f t="shared" si="12"/>
        <v>298.91</v>
      </c>
      <c r="AF78" s="1">
        <f t="shared" si="8"/>
        <v>0</v>
      </c>
      <c r="AG78" s="1">
        <f t="shared" si="9"/>
        <v>0</v>
      </c>
      <c r="AI78" s="1" t="e">
        <f>#REF!-U78+V78-W78+X78-Y78+Z78-AA78+AB78</f>
        <v>#REF!</v>
      </c>
    </row>
    <row r="79" customHeight="1" spans="1:35">
      <c r="A79" s="242">
        <v>75</v>
      </c>
      <c r="B79" s="242" t="s">
        <v>183</v>
      </c>
      <c r="C79" s="243" t="s">
        <v>184</v>
      </c>
      <c r="D79" s="225">
        <v>275.51</v>
      </c>
      <c r="E79" s="225">
        <v>19.04</v>
      </c>
      <c r="F79" s="225"/>
      <c r="G79" s="225">
        <v>19.59</v>
      </c>
      <c r="H79" s="245"/>
      <c r="I79" s="245">
        <v>248.11</v>
      </c>
      <c r="J79" s="245">
        <v>1000</v>
      </c>
      <c r="K79" s="245">
        <v>263.89</v>
      </c>
      <c r="L79" s="245"/>
      <c r="M79" s="245">
        <v>274.23</v>
      </c>
      <c r="N79" s="245"/>
      <c r="O79" s="245">
        <v>229.61</v>
      </c>
      <c r="P79" s="245"/>
      <c r="Q79" s="245">
        <v>207.3</v>
      </c>
      <c r="R79" s="245"/>
      <c r="S79" s="245">
        <v>304.15</v>
      </c>
      <c r="T79" s="245"/>
      <c r="U79" s="245">
        <v>272.05</v>
      </c>
      <c r="V79" s="245">
        <v>1000</v>
      </c>
      <c r="W79" s="245">
        <v>258.99</v>
      </c>
      <c r="X79" s="245"/>
      <c r="Y79" s="245">
        <v>201.86</v>
      </c>
      <c r="Z79" s="245"/>
      <c r="AA79" s="245">
        <v>193.16</v>
      </c>
      <c r="AB79" s="245"/>
      <c r="AC79" s="245">
        <f t="shared" si="10"/>
        <v>2491.98</v>
      </c>
      <c r="AD79" s="245">
        <f t="shared" si="11"/>
        <v>2000</v>
      </c>
      <c r="AE79" s="112">
        <f t="shared" si="12"/>
        <v>-216.47</v>
      </c>
      <c r="AF79" s="1">
        <f t="shared" si="8"/>
        <v>926.06</v>
      </c>
      <c r="AG79" s="1">
        <f t="shared" si="9"/>
        <v>1000</v>
      </c>
      <c r="AI79" s="1" t="e">
        <f>#REF!-U79+V79-W79+X79-Y79+Z79-AA79+AB79</f>
        <v>#REF!</v>
      </c>
    </row>
    <row r="80" customHeight="1" spans="1:35">
      <c r="A80" s="242">
        <v>76</v>
      </c>
      <c r="B80" s="242" t="s">
        <v>185</v>
      </c>
      <c r="C80" s="243" t="s">
        <v>186</v>
      </c>
      <c r="D80" s="225">
        <v>278.24</v>
      </c>
      <c r="E80" s="225">
        <v>19.04</v>
      </c>
      <c r="F80" s="225"/>
      <c r="G80" s="225">
        <v>0.54</v>
      </c>
      <c r="H80" s="245"/>
      <c r="I80" s="245">
        <v>1.63</v>
      </c>
      <c r="J80" s="245"/>
      <c r="K80" s="245">
        <v>7.07</v>
      </c>
      <c r="L80" s="245"/>
      <c r="M80" s="245">
        <v>8.71</v>
      </c>
      <c r="N80" s="245"/>
      <c r="O80" s="245"/>
      <c r="P80" s="245"/>
      <c r="Q80" s="245"/>
      <c r="R80" s="245"/>
      <c r="S80" s="245"/>
      <c r="T80" s="245"/>
      <c r="U80" s="245"/>
      <c r="V80" s="245"/>
      <c r="W80" s="245">
        <v>51.15</v>
      </c>
      <c r="X80" s="245"/>
      <c r="Y80" s="245">
        <v>56.59</v>
      </c>
      <c r="Z80" s="245"/>
      <c r="AA80" s="245">
        <v>42.44</v>
      </c>
      <c r="AB80" s="245"/>
      <c r="AC80" s="245">
        <f t="shared" si="10"/>
        <v>187.17</v>
      </c>
      <c r="AD80" s="245">
        <f t="shared" si="11"/>
        <v>0</v>
      </c>
      <c r="AE80" s="112">
        <f t="shared" si="12"/>
        <v>91.07</v>
      </c>
      <c r="AF80" s="1">
        <f t="shared" si="8"/>
        <v>150.18</v>
      </c>
      <c r="AG80" s="1">
        <f t="shared" si="9"/>
        <v>0</v>
      </c>
      <c r="AI80" s="1" t="e">
        <f>#REF!-U80+V80-W80+X80-Y80+Z80-AA80+AB80</f>
        <v>#REF!</v>
      </c>
    </row>
    <row r="81" customHeight="1" spans="1:35">
      <c r="A81" s="242">
        <v>77</v>
      </c>
      <c r="B81" s="242" t="s">
        <v>187</v>
      </c>
      <c r="C81" s="247" t="s">
        <v>188</v>
      </c>
      <c r="D81" s="225">
        <v>-840.43</v>
      </c>
      <c r="E81" s="225">
        <v>306.33</v>
      </c>
      <c r="F81" s="225"/>
      <c r="G81" s="225">
        <v>331.36</v>
      </c>
      <c r="H81" s="245"/>
      <c r="I81" s="245">
        <v>231.88</v>
      </c>
      <c r="J81" s="245"/>
      <c r="K81" s="245">
        <v>202.95</v>
      </c>
      <c r="L81" s="245"/>
      <c r="M81" s="245">
        <v>180.1</v>
      </c>
      <c r="N81" s="245"/>
      <c r="O81" s="245">
        <v>121.33</v>
      </c>
      <c r="P81" s="245">
        <v>2000</v>
      </c>
      <c r="Q81" s="245">
        <v>108.82</v>
      </c>
      <c r="R81" s="245"/>
      <c r="S81" s="245">
        <v>149.63</v>
      </c>
      <c r="T81" s="245"/>
      <c r="U81" s="245">
        <v>132.22</v>
      </c>
      <c r="V81" s="245"/>
      <c r="W81" s="245">
        <v>115.89</v>
      </c>
      <c r="X81" s="245"/>
      <c r="Y81" s="245">
        <v>156.16</v>
      </c>
      <c r="Z81" s="245"/>
      <c r="AA81" s="245">
        <v>165.41</v>
      </c>
      <c r="AB81" s="245">
        <v>2000</v>
      </c>
      <c r="AC81" s="245">
        <f t="shared" si="10"/>
        <v>2202.08</v>
      </c>
      <c r="AD81" s="245">
        <f t="shared" si="11"/>
        <v>4000</v>
      </c>
      <c r="AE81" s="112">
        <f t="shared" si="12"/>
        <v>957.49</v>
      </c>
      <c r="AF81" s="1">
        <f t="shared" si="8"/>
        <v>569.68</v>
      </c>
      <c r="AG81" s="1">
        <f t="shared" si="9"/>
        <v>2000</v>
      </c>
      <c r="AI81" s="1" t="e">
        <f>#REF!-U81+V81-W81+X81-Y81+Z81-AA81+AB81</f>
        <v>#REF!</v>
      </c>
    </row>
    <row r="82" customHeight="1" spans="1:35">
      <c r="A82" s="242">
        <v>78</v>
      </c>
      <c r="B82" s="242" t="s">
        <v>189</v>
      </c>
      <c r="C82" s="243" t="s">
        <v>190</v>
      </c>
      <c r="D82" s="225">
        <v>276.06</v>
      </c>
      <c r="E82" s="225">
        <v>1.63</v>
      </c>
      <c r="F82" s="225"/>
      <c r="G82" s="225"/>
      <c r="H82" s="245"/>
      <c r="I82" s="245"/>
      <c r="J82" s="245"/>
      <c r="K82" s="245"/>
      <c r="L82" s="245"/>
      <c r="M82" s="245">
        <v>63.66</v>
      </c>
      <c r="N82" s="245"/>
      <c r="O82" s="245">
        <v>117.52</v>
      </c>
      <c r="P82" s="245"/>
      <c r="Q82" s="245">
        <v>118.07</v>
      </c>
      <c r="R82" s="245"/>
      <c r="S82" s="245">
        <v>311.77</v>
      </c>
      <c r="T82" s="245"/>
      <c r="U82" s="245">
        <v>242.67</v>
      </c>
      <c r="V82" s="245"/>
      <c r="W82" s="245">
        <v>192.07</v>
      </c>
      <c r="X82" s="245"/>
      <c r="Y82" s="245">
        <v>189.89</v>
      </c>
      <c r="Z82" s="245"/>
      <c r="AA82" s="245">
        <v>230.15</v>
      </c>
      <c r="AB82" s="245"/>
      <c r="AC82" s="245">
        <f t="shared" si="10"/>
        <v>1467.43</v>
      </c>
      <c r="AD82" s="245">
        <f t="shared" si="11"/>
        <v>0</v>
      </c>
      <c r="AE82" s="112">
        <f t="shared" si="12"/>
        <v>-1191.37</v>
      </c>
      <c r="AF82" s="1">
        <f t="shared" si="8"/>
        <v>854.78</v>
      </c>
      <c r="AG82" s="1">
        <f t="shared" si="9"/>
        <v>0</v>
      </c>
      <c r="AI82" s="1" t="e">
        <f>#REF!-U82+V82-W82+X82-Y82+Z82-AA82+AB82</f>
        <v>#REF!</v>
      </c>
    </row>
    <row r="83" customHeight="1" spans="1:35">
      <c r="A83" s="242">
        <v>79</v>
      </c>
      <c r="B83" s="242" t="s">
        <v>191</v>
      </c>
      <c r="C83" s="243" t="s">
        <v>192</v>
      </c>
      <c r="D83" s="225">
        <v>289.12</v>
      </c>
      <c r="E83" s="225">
        <v>1.63</v>
      </c>
      <c r="F83" s="225"/>
      <c r="G83" s="225">
        <v>2.18</v>
      </c>
      <c r="H83" s="245"/>
      <c r="I83" s="245"/>
      <c r="J83" s="245"/>
      <c r="K83" s="245">
        <v>12.51</v>
      </c>
      <c r="L83" s="245"/>
      <c r="M83" s="245">
        <v>0.54</v>
      </c>
      <c r="N83" s="245"/>
      <c r="O83" s="245">
        <v>1.08</v>
      </c>
      <c r="P83" s="245"/>
      <c r="Q83" s="245">
        <v>1.63</v>
      </c>
      <c r="R83" s="245"/>
      <c r="S83" s="245">
        <v>2.18</v>
      </c>
      <c r="T83" s="245"/>
      <c r="U83" s="245">
        <v>5.44</v>
      </c>
      <c r="V83" s="245"/>
      <c r="W83" s="245">
        <v>2.72</v>
      </c>
      <c r="X83" s="245"/>
      <c r="Y83" s="245">
        <v>40.26</v>
      </c>
      <c r="Z83" s="245"/>
      <c r="AA83" s="245">
        <v>200.23</v>
      </c>
      <c r="AB83" s="245"/>
      <c r="AC83" s="245">
        <f t="shared" si="10"/>
        <v>270.4</v>
      </c>
      <c r="AD83" s="245">
        <f t="shared" si="11"/>
        <v>0</v>
      </c>
      <c r="AE83" s="112">
        <f t="shared" si="12"/>
        <v>18.72</v>
      </c>
      <c r="AF83" s="1">
        <f t="shared" si="8"/>
        <v>248.65</v>
      </c>
      <c r="AG83" s="1">
        <f t="shared" si="9"/>
        <v>0</v>
      </c>
      <c r="AI83" s="1" t="e">
        <f>#REF!-U83+V83-W83+X83-Y83+Z83-AA83+AB83</f>
        <v>#REF!</v>
      </c>
    </row>
    <row r="84" customHeight="1" spans="1:35">
      <c r="A84" s="242">
        <v>80</v>
      </c>
      <c r="B84" s="242" t="s">
        <v>193</v>
      </c>
      <c r="C84" s="243" t="s">
        <v>194</v>
      </c>
      <c r="D84" s="225">
        <v>300</v>
      </c>
      <c r="E84" s="225"/>
      <c r="F84" s="225"/>
      <c r="G84" s="22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>
        <f t="shared" si="10"/>
        <v>0</v>
      </c>
      <c r="AD84" s="245">
        <f t="shared" si="11"/>
        <v>0</v>
      </c>
      <c r="AE84" s="112">
        <f t="shared" si="12"/>
        <v>300</v>
      </c>
      <c r="AF84" s="1">
        <f t="shared" si="8"/>
        <v>0</v>
      </c>
      <c r="AG84" s="1">
        <f t="shared" si="9"/>
        <v>0</v>
      </c>
      <c r="AI84" s="1" t="e">
        <f>#REF!-U84+V84-W84+X84-Y84+Z84-AA84+AB84</f>
        <v>#REF!</v>
      </c>
    </row>
    <row r="85" customHeight="1" spans="1:35">
      <c r="A85" s="242">
        <v>81</v>
      </c>
      <c r="B85" s="242" t="s">
        <v>195</v>
      </c>
      <c r="C85" s="243" t="s">
        <v>196</v>
      </c>
      <c r="D85" s="225">
        <v>282.59</v>
      </c>
      <c r="E85" s="225"/>
      <c r="F85" s="225"/>
      <c r="G85" s="225"/>
      <c r="H85" s="245"/>
      <c r="I85" s="245"/>
      <c r="J85" s="245"/>
      <c r="K85" s="245"/>
      <c r="L85" s="245"/>
      <c r="M85" s="245">
        <v>0.54</v>
      </c>
      <c r="N85" s="245"/>
      <c r="O85" s="245"/>
      <c r="P85" s="245"/>
      <c r="Q85" s="245"/>
      <c r="R85" s="245"/>
      <c r="S85" s="245"/>
      <c r="T85" s="245"/>
      <c r="U85" s="245"/>
      <c r="V85" s="245"/>
      <c r="W85" s="245">
        <v>0.54</v>
      </c>
      <c r="X85" s="245"/>
      <c r="Y85" s="245">
        <v>78.35</v>
      </c>
      <c r="Z85" s="245">
        <v>1000</v>
      </c>
      <c r="AA85" s="245">
        <v>28.84</v>
      </c>
      <c r="AB85" s="245"/>
      <c r="AC85" s="245">
        <f t="shared" si="10"/>
        <v>108.27</v>
      </c>
      <c r="AD85" s="245">
        <f t="shared" si="11"/>
        <v>1000</v>
      </c>
      <c r="AE85" s="112">
        <f t="shared" si="12"/>
        <v>1174.32</v>
      </c>
      <c r="AF85" s="1">
        <f t="shared" si="8"/>
        <v>107.73</v>
      </c>
      <c r="AG85" s="1">
        <f t="shared" si="9"/>
        <v>1000</v>
      </c>
      <c r="AI85" s="1" t="e">
        <f>#REF!-U85+V85-W85+X85-Y85+Z85-AA85+AB85</f>
        <v>#REF!</v>
      </c>
    </row>
    <row r="86" customHeight="1" spans="1:35">
      <c r="A86" s="242">
        <v>82</v>
      </c>
      <c r="B86" s="242" t="s">
        <v>197</v>
      </c>
      <c r="C86" s="243" t="s">
        <v>198</v>
      </c>
      <c r="D86" s="225">
        <v>2198.25</v>
      </c>
      <c r="E86" s="225">
        <v>25.57</v>
      </c>
      <c r="F86" s="225"/>
      <c r="G86" s="225">
        <v>274.23</v>
      </c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>
        <v>5.44</v>
      </c>
      <c r="V86" s="245"/>
      <c r="W86" s="245">
        <v>63.12</v>
      </c>
      <c r="X86" s="245"/>
      <c r="Y86" s="245">
        <v>82.7</v>
      </c>
      <c r="Z86" s="245"/>
      <c r="AA86" s="245">
        <v>102.29</v>
      </c>
      <c r="AB86" s="245"/>
      <c r="AC86" s="245">
        <f t="shared" si="10"/>
        <v>553.35</v>
      </c>
      <c r="AD86" s="245">
        <f t="shared" si="11"/>
        <v>0</v>
      </c>
      <c r="AE86" s="112">
        <f t="shared" si="12"/>
        <v>1644.9</v>
      </c>
      <c r="AF86" s="1">
        <f t="shared" si="8"/>
        <v>253.55</v>
      </c>
      <c r="AG86" s="1">
        <f t="shared" si="9"/>
        <v>0</v>
      </c>
      <c r="AI86" s="1" t="e">
        <f>#REF!-U86+V86-W86+X86-Y86+Z86-AA86+AB86</f>
        <v>#REF!</v>
      </c>
    </row>
    <row r="87" customHeight="1" spans="1:35">
      <c r="A87" s="242">
        <v>83</v>
      </c>
      <c r="B87" s="242" t="s">
        <v>199</v>
      </c>
      <c r="C87" s="243" t="s">
        <v>200</v>
      </c>
      <c r="D87" s="225">
        <v>62.23</v>
      </c>
      <c r="E87" s="225">
        <v>11.97</v>
      </c>
      <c r="F87" s="225"/>
      <c r="G87" s="225">
        <v>19.04</v>
      </c>
      <c r="H87" s="245"/>
      <c r="I87" s="245">
        <v>13.06</v>
      </c>
      <c r="J87" s="245"/>
      <c r="K87" s="245">
        <v>39.18</v>
      </c>
      <c r="L87" s="245"/>
      <c r="M87" s="245">
        <v>54.95</v>
      </c>
      <c r="N87" s="245">
        <v>500</v>
      </c>
      <c r="O87" s="245">
        <v>52.77</v>
      </c>
      <c r="P87" s="245"/>
      <c r="Q87" s="245">
        <v>35.91</v>
      </c>
      <c r="R87" s="245"/>
      <c r="S87" s="245">
        <v>66.92</v>
      </c>
      <c r="T87" s="245"/>
      <c r="U87" s="245">
        <v>67.47</v>
      </c>
      <c r="V87" s="245"/>
      <c r="W87" s="245">
        <v>25.03</v>
      </c>
      <c r="X87" s="245"/>
      <c r="Y87" s="245">
        <v>52.78</v>
      </c>
      <c r="Z87" s="245"/>
      <c r="AA87" s="245">
        <v>44.07</v>
      </c>
      <c r="AB87" s="245"/>
      <c r="AC87" s="245">
        <f t="shared" si="10"/>
        <v>483.15</v>
      </c>
      <c r="AD87" s="245">
        <f t="shared" si="11"/>
        <v>500</v>
      </c>
      <c r="AE87" s="112">
        <f t="shared" si="12"/>
        <v>79.08</v>
      </c>
      <c r="AF87" s="1">
        <f t="shared" si="8"/>
        <v>189.35</v>
      </c>
      <c r="AG87" s="1">
        <f t="shared" si="9"/>
        <v>0</v>
      </c>
      <c r="AI87" s="1" t="e">
        <f>#REF!-U87+V87-W87+X87-Y87+Z87-AA87+AB87</f>
        <v>#REF!</v>
      </c>
    </row>
    <row r="88" customHeight="1" spans="1:35">
      <c r="A88" s="242">
        <v>84</v>
      </c>
      <c r="B88" s="242" t="s">
        <v>201</v>
      </c>
      <c r="C88" s="243" t="s">
        <v>202</v>
      </c>
      <c r="D88" s="225">
        <v>292.93</v>
      </c>
      <c r="E88" s="225">
        <v>4.35</v>
      </c>
      <c r="F88" s="225"/>
      <c r="G88" s="225">
        <v>3.27</v>
      </c>
      <c r="H88" s="245"/>
      <c r="I88" s="245">
        <v>3.27</v>
      </c>
      <c r="J88" s="245"/>
      <c r="K88" s="245">
        <v>34.82</v>
      </c>
      <c r="L88" s="245"/>
      <c r="M88" s="245">
        <v>12.51</v>
      </c>
      <c r="N88" s="245"/>
      <c r="O88" s="245">
        <v>1.63</v>
      </c>
      <c r="P88" s="245"/>
      <c r="Q88" s="245">
        <v>0.54</v>
      </c>
      <c r="R88" s="245"/>
      <c r="S88" s="245">
        <v>0.54</v>
      </c>
      <c r="T88" s="245"/>
      <c r="U88" s="245"/>
      <c r="V88" s="245"/>
      <c r="W88" s="245"/>
      <c r="X88" s="245"/>
      <c r="Y88" s="245">
        <v>0.54</v>
      </c>
      <c r="Z88" s="245"/>
      <c r="AA88" s="245"/>
      <c r="AB88" s="245"/>
      <c r="AC88" s="245">
        <f t="shared" si="10"/>
        <v>61.47</v>
      </c>
      <c r="AD88" s="245">
        <f t="shared" si="11"/>
        <v>0</v>
      </c>
      <c r="AE88" s="112">
        <f t="shared" si="12"/>
        <v>231.46</v>
      </c>
      <c r="AF88" s="1">
        <f t="shared" si="8"/>
        <v>0.54</v>
      </c>
      <c r="AG88" s="1">
        <f t="shared" si="9"/>
        <v>0</v>
      </c>
      <c r="AI88" s="1" t="e">
        <f>#REF!-U88+V88-W88+X88-Y88+Z88-AA88+AB88</f>
        <v>#REF!</v>
      </c>
    </row>
    <row r="89" customHeight="1" spans="1:35">
      <c r="A89" s="242">
        <v>85</v>
      </c>
      <c r="B89" s="242" t="s">
        <v>203</v>
      </c>
      <c r="C89" s="243" t="s">
        <v>204</v>
      </c>
      <c r="D89" s="225">
        <v>-38.97</v>
      </c>
      <c r="E89" s="225">
        <v>47.88</v>
      </c>
      <c r="F89" s="225"/>
      <c r="G89" s="225">
        <v>93.58</v>
      </c>
      <c r="H89" s="245"/>
      <c r="I89" s="245">
        <v>42.44</v>
      </c>
      <c r="J89" s="245"/>
      <c r="K89" s="245">
        <v>63.66</v>
      </c>
      <c r="L89" s="245">
        <v>400</v>
      </c>
      <c r="M89" s="245">
        <v>59.85</v>
      </c>
      <c r="N89" s="245"/>
      <c r="O89" s="245">
        <v>49.51</v>
      </c>
      <c r="P89" s="245"/>
      <c r="Q89" s="245">
        <v>42.98</v>
      </c>
      <c r="R89" s="245"/>
      <c r="S89" s="245">
        <v>71.82</v>
      </c>
      <c r="T89" s="245"/>
      <c r="U89" s="245">
        <v>70.19</v>
      </c>
      <c r="V89" s="245">
        <v>1000</v>
      </c>
      <c r="W89" s="245">
        <v>72.37</v>
      </c>
      <c r="X89" s="245"/>
      <c r="Y89" s="245">
        <v>76.72</v>
      </c>
      <c r="Z89" s="245"/>
      <c r="AA89" s="245">
        <v>81.07</v>
      </c>
      <c r="AB89" s="245"/>
      <c r="AC89" s="245">
        <f t="shared" si="10"/>
        <v>772.07</v>
      </c>
      <c r="AD89" s="245">
        <f t="shared" si="11"/>
        <v>1400</v>
      </c>
      <c r="AE89" s="112">
        <f t="shared" si="12"/>
        <v>588.96</v>
      </c>
      <c r="AF89" s="1">
        <f t="shared" si="8"/>
        <v>300.35</v>
      </c>
      <c r="AG89" s="1">
        <f t="shared" si="9"/>
        <v>1000</v>
      </c>
      <c r="AI89" s="1" t="e">
        <f>#REF!-U89+V89-W89+X89-Y89+Z89-AA89+AB89</f>
        <v>#REF!</v>
      </c>
    </row>
    <row r="90" customHeight="1" spans="1:35">
      <c r="A90" s="242">
        <v>86</v>
      </c>
      <c r="B90" s="242" t="s">
        <v>205</v>
      </c>
      <c r="C90" s="243" t="s">
        <v>206</v>
      </c>
      <c r="D90" s="225">
        <v>-65.64</v>
      </c>
      <c r="E90" s="225">
        <v>276.4</v>
      </c>
      <c r="F90" s="225"/>
      <c r="G90" s="225">
        <v>146.36</v>
      </c>
      <c r="H90" s="245"/>
      <c r="I90" s="245">
        <v>146.91</v>
      </c>
      <c r="J90" s="245">
        <v>1000</v>
      </c>
      <c r="K90" s="245">
        <v>145.28</v>
      </c>
      <c r="L90" s="245"/>
      <c r="M90" s="245">
        <v>138.75</v>
      </c>
      <c r="N90" s="245"/>
      <c r="O90" s="245">
        <v>118.61</v>
      </c>
      <c r="P90" s="245"/>
      <c r="Q90" s="245">
        <v>95.76</v>
      </c>
      <c r="R90" s="245">
        <v>1000</v>
      </c>
      <c r="S90" s="245">
        <v>137.66</v>
      </c>
      <c r="T90" s="245"/>
      <c r="U90" s="245">
        <v>131.67</v>
      </c>
      <c r="V90" s="245"/>
      <c r="W90" s="245">
        <v>107.19</v>
      </c>
      <c r="X90" s="245"/>
      <c r="Y90" s="245">
        <v>113.17</v>
      </c>
      <c r="Z90" s="245"/>
      <c r="AA90" s="245">
        <v>146.36</v>
      </c>
      <c r="AB90" s="245"/>
      <c r="AC90" s="245">
        <f t="shared" si="10"/>
        <v>1704.12</v>
      </c>
      <c r="AD90" s="245">
        <f t="shared" si="11"/>
        <v>2000</v>
      </c>
      <c r="AE90" s="112">
        <f t="shared" si="12"/>
        <v>230.24</v>
      </c>
      <c r="AF90" s="1">
        <f t="shared" si="8"/>
        <v>498.39</v>
      </c>
      <c r="AG90" s="1">
        <f t="shared" si="9"/>
        <v>0</v>
      </c>
      <c r="AI90" s="1" t="e">
        <f>#REF!-U90+V90-W90+X90-Y90+Z90-AA90+AB90</f>
        <v>#REF!</v>
      </c>
    </row>
    <row r="91" customHeight="1" spans="1:35">
      <c r="A91" s="242">
        <v>87</v>
      </c>
      <c r="B91" s="242" t="s">
        <v>207</v>
      </c>
      <c r="C91" s="243" t="s">
        <v>208</v>
      </c>
      <c r="D91" s="225">
        <v>177.03</v>
      </c>
      <c r="E91" s="225">
        <v>115.89</v>
      </c>
      <c r="F91" s="225"/>
      <c r="G91" s="225">
        <v>121.88</v>
      </c>
      <c r="H91" s="245"/>
      <c r="I91" s="245">
        <v>94.13</v>
      </c>
      <c r="J91" s="245">
        <v>1000</v>
      </c>
      <c r="K91" s="245">
        <v>99.57</v>
      </c>
      <c r="L91" s="245"/>
      <c r="M91" s="245">
        <v>70.19</v>
      </c>
      <c r="N91" s="245"/>
      <c r="O91" s="245">
        <v>96.3</v>
      </c>
      <c r="P91" s="245"/>
      <c r="Q91" s="245">
        <v>85.42</v>
      </c>
      <c r="R91" s="245"/>
      <c r="S91" s="245">
        <v>138.75</v>
      </c>
      <c r="T91" s="245"/>
      <c r="U91" s="245">
        <v>114.26</v>
      </c>
      <c r="V91" s="245"/>
      <c r="W91" s="245">
        <v>105.56</v>
      </c>
      <c r="X91" s="245"/>
      <c r="Y91" s="245">
        <v>72.37</v>
      </c>
      <c r="Z91" s="245"/>
      <c r="AA91" s="245">
        <v>102.29</v>
      </c>
      <c r="AB91" s="245">
        <v>1000</v>
      </c>
      <c r="AC91" s="245">
        <f t="shared" si="10"/>
        <v>1216.61</v>
      </c>
      <c r="AD91" s="245">
        <f t="shared" si="11"/>
        <v>2000</v>
      </c>
      <c r="AE91" s="112">
        <f t="shared" si="12"/>
        <v>960.42</v>
      </c>
      <c r="AF91" s="1">
        <f t="shared" si="8"/>
        <v>394.48</v>
      </c>
      <c r="AG91" s="1">
        <f t="shared" si="9"/>
        <v>1000</v>
      </c>
      <c r="AI91" s="1" t="e">
        <f>#REF!-U91+V91-W91+X91-Y91+Z91-AA91+AB91</f>
        <v>#REF!</v>
      </c>
    </row>
    <row r="92" customHeight="1" spans="1:35">
      <c r="A92" s="242">
        <v>88</v>
      </c>
      <c r="B92" s="242" t="s">
        <v>209</v>
      </c>
      <c r="C92" s="243" t="s">
        <v>210</v>
      </c>
      <c r="D92" s="225">
        <v>283.14</v>
      </c>
      <c r="E92" s="225"/>
      <c r="F92" s="225"/>
      <c r="G92" s="225"/>
      <c r="H92" s="245"/>
      <c r="I92" s="245">
        <v>10.88</v>
      </c>
      <c r="J92" s="245"/>
      <c r="K92" s="245">
        <v>1.63</v>
      </c>
      <c r="L92" s="245"/>
      <c r="M92" s="245">
        <v>2.72</v>
      </c>
      <c r="N92" s="245"/>
      <c r="O92" s="245">
        <v>3.8</v>
      </c>
      <c r="P92" s="245"/>
      <c r="Q92" s="245">
        <v>0.54</v>
      </c>
      <c r="R92" s="245"/>
      <c r="S92" s="245">
        <v>4.9</v>
      </c>
      <c r="T92" s="245"/>
      <c r="U92" s="245">
        <v>17.96</v>
      </c>
      <c r="V92" s="245"/>
      <c r="W92" s="245">
        <v>22.31</v>
      </c>
      <c r="X92" s="245"/>
      <c r="Y92" s="245">
        <v>43.53</v>
      </c>
      <c r="Z92" s="245"/>
      <c r="AA92" s="245">
        <v>40.81</v>
      </c>
      <c r="AB92" s="245"/>
      <c r="AC92" s="245">
        <f t="shared" si="10"/>
        <v>149.08</v>
      </c>
      <c r="AD92" s="245">
        <f t="shared" si="11"/>
        <v>0</v>
      </c>
      <c r="AE92" s="112">
        <f t="shared" si="12"/>
        <v>134.06</v>
      </c>
      <c r="AF92" s="1">
        <f t="shared" si="8"/>
        <v>124.61</v>
      </c>
      <c r="AG92" s="1">
        <f t="shared" si="9"/>
        <v>0</v>
      </c>
      <c r="AI92" s="1" t="e">
        <f>#REF!-U92+V92-W92+X92-Y92+Z92-AA92+AB92</f>
        <v>#REF!</v>
      </c>
    </row>
    <row r="93" customHeight="1" spans="1:35">
      <c r="A93" s="242">
        <v>89</v>
      </c>
      <c r="B93" s="242" t="s">
        <v>211</v>
      </c>
      <c r="C93" s="243" t="s">
        <v>212</v>
      </c>
      <c r="D93" s="225">
        <v>149.28</v>
      </c>
      <c r="E93" s="225">
        <v>212.2</v>
      </c>
      <c r="F93" s="225"/>
      <c r="G93" s="225">
        <v>242.67</v>
      </c>
      <c r="H93" s="245">
        <v>1000</v>
      </c>
      <c r="I93" s="245">
        <v>189.89</v>
      </c>
      <c r="J93" s="245"/>
      <c r="K93" s="245">
        <v>193.16</v>
      </c>
      <c r="L93" s="245"/>
      <c r="M93" s="245">
        <v>158.88</v>
      </c>
      <c r="N93" s="245"/>
      <c r="O93" s="245">
        <v>139.83</v>
      </c>
      <c r="P93" s="245"/>
      <c r="Q93" s="245">
        <v>106.1</v>
      </c>
      <c r="R93" s="245"/>
      <c r="S93" s="245">
        <v>155.61</v>
      </c>
      <c r="T93" s="245">
        <v>500</v>
      </c>
      <c r="U93" s="245">
        <v>152.89</v>
      </c>
      <c r="V93" s="245"/>
      <c r="W93" s="245">
        <v>105.01</v>
      </c>
      <c r="X93" s="245"/>
      <c r="Y93" s="245">
        <v>132.76</v>
      </c>
      <c r="Z93" s="245"/>
      <c r="AA93" s="245">
        <v>121.88</v>
      </c>
      <c r="AB93" s="245">
        <v>500</v>
      </c>
      <c r="AC93" s="245">
        <f t="shared" si="10"/>
        <v>1910.88</v>
      </c>
      <c r="AD93" s="245">
        <f t="shared" si="11"/>
        <v>2000</v>
      </c>
      <c r="AE93" s="112">
        <f t="shared" si="12"/>
        <v>238.4</v>
      </c>
      <c r="AF93" s="1">
        <f t="shared" si="8"/>
        <v>512.54</v>
      </c>
      <c r="AG93" s="1">
        <f t="shared" si="9"/>
        <v>500</v>
      </c>
      <c r="AI93" s="1" t="e">
        <f>#REF!-U93+V93-W93+X93-Y93+Z93-AA93+AB93</f>
        <v>#REF!</v>
      </c>
    </row>
    <row r="94" customHeight="1" spans="1:35">
      <c r="A94" s="242">
        <v>90</v>
      </c>
      <c r="B94" s="242" t="s">
        <v>213</v>
      </c>
      <c r="C94" s="243" t="s">
        <v>214</v>
      </c>
      <c r="D94" s="225">
        <v>240.15</v>
      </c>
      <c r="E94" s="225">
        <v>23.94</v>
      </c>
      <c r="F94" s="225"/>
      <c r="G94" s="225">
        <v>173.02</v>
      </c>
      <c r="H94" s="245"/>
      <c r="I94" s="245">
        <v>162.14</v>
      </c>
      <c r="J94" s="245"/>
      <c r="K94" s="245">
        <v>168.13</v>
      </c>
      <c r="L94" s="245"/>
      <c r="M94" s="245">
        <v>139.83</v>
      </c>
      <c r="N94" s="245">
        <v>800</v>
      </c>
      <c r="O94" s="245">
        <v>121.33</v>
      </c>
      <c r="P94" s="245"/>
      <c r="Q94" s="245">
        <v>109.9</v>
      </c>
      <c r="R94" s="245"/>
      <c r="S94" s="245">
        <v>131.13</v>
      </c>
      <c r="T94" s="245"/>
      <c r="U94" s="245">
        <v>126.23</v>
      </c>
      <c r="V94" s="245">
        <v>1000</v>
      </c>
      <c r="W94" s="245">
        <v>119.7</v>
      </c>
      <c r="X94" s="245"/>
      <c r="Y94" s="245">
        <v>138.75</v>
      </c>
      <c r="Z94" s="245"/>
      <c r="AA94" s="245">
        <v>190.44</v>
      </c>
      <c r="AB94" s="245"/>
      <c r="AC94" s="245">
        <f t="shared" si="10"/>
        <v>1604.54</v>
      </c>
      <c r="AD94" s="245">
        <f t="shared" si="11"/>
        <v>1800</v>
      </c>
      <c r="AE94" s="112">
        <f t="shared" si="12"/>
        <v>435.61</v>
      </c>
      <c r="AF94" s="1">
        <f t="shared" si="8"/>
        <v>575.12</v>
      </c>
      <c r="AG94" s="1">
        <f t="shared" si="9"/>
        <v>1000</v>
      </c>
      <c r="AI94" s="1" t="e">
        <f>#REF!-U94+V94-W94+X94-Y94+Z94-AA94+AB94</f>
        <v>#REF!</v>
      </c>
    </row>
    <row r="95" customHeight="1" spans="1:35">
      <c r="A95" s="242">
        <v>91</v>
      </c>
      <c r="B95" s="242" t="s">
        <v>215</v>
      </c>
      <c r="C95" s="243" t="s">
        <v>216</v>
      </c>
      <c r="D95" s="225">
        <v>-473.71</v>
      </c>
      <c r="E95" s="225">
        <v>71.28</v>
      </c>
      <c r="F95" s="225"/>
      <c r="G95" s="225">
        <v>90.87</v>
      </c>
      <c r="H95" s="245"/>
      <c r="I95" s="245">
        <v>80.53</v>
      </c>
      <c r="J95" s="245"/>
      <c r="K95" s="245">
        <v>99.57</v>
      </c>
      <c r="L95" s="245"/>
      <c r="M95" s="245">
        <v>108.82</v>
      </c>
      <c r="N95" s="245"/>
      <c r="O95" s="245">
        <v>94.12</v>
      </c>
      <c r="P95" s="245">
        <v>1500</v>
      </c>
      <c r="Q95" s="245">
        <v>99.57</v>
      </c>
      <c r="R95" s="245"/>
      <c r="S95" s="245">
        <v>238.32</v>
      </c>
      <c r="T95" s="245"/>
      <c r="U95" s="245">
        <v>193.16</v>
      </c>
      <c r="V95" s="245"/>
      <c r="W95" s="245">
        <v>112.63</v>
      </c>
      <c r="X95" s="245"/>
      <c r="Y95" s="245">
        <v>76.17</v>
      </c>
      <c r="Z95" s="245"/>
      <c r="AA95" s="245">
        <v>73.45</v>
      </c>
      <c r="AB95" s="245"/>
      <c r="AC95" s="245">
        <f t="shared" si="10"/>
        <v>1338.49</v>
      </c>
      <c r="AD95" s="245">
        <f t="shared" si="11"/>
        <v>1500</v>
      </c>
      <c r="AE95" s="112">
        <f t="shared" si="12"/>
        <v>-312.2</v>
      </c>
      <c r="AF95" s="1">
        <f t="shared" si="8"/>
        <v>455.41</v>
      </c>
      <c r="AG95" s="1">
        <f t="shared" si="9"/>
        <v>0</v>
      </c>
      <c r="AI95" s="1" t="e">
        <f>#REF!-U95+V95-W95+X95-Y95+Z95-AA95+AB95</f>
        <v>#REF!</v>
      </c>
    </row>
    <row r="96" customHeight="1" spans="1:35">
      <c r="A96" s="242">
        <v>92</v>
      </c>
      <c r="B96" s="242" t="s">
        <v>217</v>
      </c>
      <c r="C96" s="243" t="s">
        <v>218</v>
      </c>
      <c r="D96" s="225">
        <v>228.46</v>
      </c>
      <c r="E96" s="225">
        <v>19.59</v>
      </c>
      <c r="F96" s="225"/>
      <c r="G96" s="225">
        <v>21.22</v>
      </c>
      <c r="H96" s="245"/>
      <c r="I96" s="245">
        <v>20.13</v>
      </c>
      <c r="J96" s="245"/>
      <c r="K96" s="245">
        <v>40.26</v>
      </c>
      <c r="L96" s="245"/>
      <c r="M96" s="245">
        <v>110.45</v>
      </c>
      <c r="N96" s="245">
        <v>2000</v>
      </c>
      <c r="O96" s="245">
        <v>102.29</v>
      </c>
      <c r="P96" s="245"/>
      <c r="Q96" s="245">
        <v>79.98</v>
      </c>
      <c r="R96" s="245"/>
      <c r="S96" s="245">
        <v>109.36</v>
      </c>
      <c r="T96" s="245"/>
      <c r="U96" s="245">
        <v>124.6</v>
      </c>
      <c r="V96" s="245"/>
      <c r="W96" s="245">
        <v>91.41</v>
      </c>
      <c r="X96" s="245"/>
      <c r="Y96" s="245">
        <v>98.48</v>
      </c>
      <c r="Z96" s="245"/>
      <c r="AA96" s="245">
        <v>127.86</v>
      </c>
      <c r="AB96" s="245"/>
      <c r="AC96" s="245">
        <f t="shared" si="10"/>
        <v>945.63</v>
      </c>
      <c r="AD96" s="245">
        <f t="shared" si="11"/>
        <v>2000</v>
      </c>
      <c r="AE96" s="112">
        <f t="shared" si="12"/>
        <v>1282.83</v>
      </c>
      <c r="AF96" s="1">
        <f t="shared" si="8"/>
        <v>442.35</v>
      </c>
      <c r="AG96" s="1">
        <f t="shared" si="9"/>
        <v>0</v>
      </c>
      <c r="AI96" s="1" t="e">
        <f>#REF!-U96+V96-W96+X96-Y96+Z96-AA96+AB96</f>
        <v>#REF!</v>
      </c>
    </row>
    <row r="97" customHeight="1" spans="1:35">
      <c r="A97" s="242">
        <v>93</v>
      </c>
      <c r="B97" s="242" t="s">
        <v>219</v>
      </c>
      <c r="C97" s="243" t="s">
        <v>220</v>
      </c>
      <c r="D97" s="225">
        <v>300</v>
      </c>
      <c r="E97" s="225"/>
      <c r="F97" s="225"/>
      <c r="G97" s="22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>
        <f t="shared" si="10"/>
        <v>0</v>
      </c>
      <c r="AD97" s="245">
        <f t="shared" si="11"/>
        <v>0</v>
      </c>
      <c r="AE97" s="112">
        <f t="shared" si="12"/>
        <v>300</v>
      </c>
      <c r="AF97" s="1">
        <f t="shared" si="8"/>
        <v>0</v>
      </c>
      <c r="AG97" s="1">
        <f t="shared" si="9"/>
        <v>0</v>
      </c>
      <c r="AI97" s="1" t="e">
        <f>#REF!-U97+V97-W97+X97-Y97+Z97-AA97+AB97</f>
        <v>#REF!</v>
      </c>
    </row>
    <row r="98" customHeight="1" spans="1:35">
      <c r="A98" s="242">
        <v>94</v>
      </c>
      <c r="B98" s="242" t="s">
        <v>221</v>
      </c>
      <c r="C98" s="243" t="s">
        <v>222</v>
      </c>
      <c r="D98" s="225">
        <v>300</v>
      </c>
      <c r="E98" s="225"/>
      <c r="F98" s="225"/>
      <c r="G98" s="225"/>
      <c r="H98" s="245"/>
      <c r="I98" s="245"/>
      <c r="J98" s="245"/>
      <c r="K98" s="245"/>
      <c r="L98" s="245"/>
      <c r="M98" s="245">
        <v>1.63</v>
      </c>
      <c r="N98" s="245"/>
      <c r="O98" s="245">
        <v>11.97</v>
      </c>
      <c r="P98" s="245"/>
      <c r="Q98" s="245">
        <v>5.44</v>
      </c>
      <c r="R98" s="245"/>
      <c r="S98" s="245">
        <v>8.71</v>
      </c>
      <c r="T98" s="245"/>
      <c r="U98" s="245">
        <v>60.4</v>
      </c>
      <c r="V98" s="245"/>
      <c r="W98" s="245">
        <v>91.95</v>
      </c>
      <c r="X98" s="245"/>
      <c r="Y98" s="245">
        <v>131.13</v>
      </c>
      <c r="Z98" s="245"/>
      <c r="AA98" s="245">
        <v>132.22</v>
      </c>
      <c r="AB98" s="245">
        <v>600</v>
      </c>
      <c r="AC98" s="245">
        <f t="shared" si="10"/>
        <v>443.45</v>
      </c>
      <c r="AD98" s="245">
        <f t="shared" si="11"/>
        <v>600</v>
      </c>
      <c r="AE98" s="112">
        <f t="shared" si="12"/>
        <v>456.55</v>
      </c>
      <c r="AF98" s="1">
        <f t="shared" si="8"/>
        <v>415.7</v>
      </c>
      <c r="AG98" s="1">
        <f t="shared" si="9"/>
        <v>600</v>
      </c>
      <c r="AI98" s="1" t="e">
        <f>#REF!-U98+V98-W98+X98-Y98+Z98-AA98+AB98</f>
        <v>#REF!</v>
      </c>
    </row>
    <row r="99" customHeight="1" spans="1:35">
      <c r="A99" s="242">
        <v>95</v>
      </c>
      <c r="B99" s="242" t="s">
        <v>223</v>
      </c>
      <c r="C99" s="243" t="s">
        <v>224</v>
      </c>
      <c r="D99" s="225">
        <v>-102.09</v>
      </c>
      <c r="E99" s="225">
        <v>51.15</v>
      </c>
      <c r="F99" s="225"/>
      <c r="G99" s="225">
        <v>85.97</v>
      </c>
      <c r="H99" s="245"/>
      <c r="I99" s="245">
        <v>6.53</v>
      </c>
      <c r="J99" s="245"/>
      <c r="K99" s="245">
        <v>88.14</v>
      </c>
      <c r="L99" s="245">
        <v>300</v>
      </c>
      <c r="M99" s="245">
        <v>46.79</v>
      </c>
      <c r="N99" s="245"/>
      <c r="O99" s="245">
        <v>50.05</v>
      </c>
      <c r="P99" s="245"/>
      <c r="Q99" s="245">
        <v>40.8</v>
      </c>
      <c r="R99" s="245"/>
      <c r="S99" s="245">
        <v>118.07</v>
      </c>
      <c r="T99" s="245">
        <v>500</v>
      </c>
      <c r="U99" s="245">
        <v>81.62</v>
      </c>
      <c r="V99" s="245"/>
      <c r="W99" s="245">
        <v>90.32</v>
      </c>
      <c r="X99" s="245"/>
      <c r="Y99" s="245">
        <v>42.44</v>
      </c>
      <c r="Z99" s="245"/>
      <c r="AA99" s="245">
        <v>48.42</v>
      </c>
      <c r="AB99" s="245"/>
      <c r="AC99" s="245">
        <f t="shared" si="10"/>
        <v>750.3</v>
      </c>
      <c r="AD99" s="245">
        <f t="shared" si="11"/>
        <v>800</v>
      </c>
      <c r="AE99" s="112">
        <f t="shared" si="12"/>
        <v>-52.39</v>
      </c>
      <c r="AF99" s="1">
        <f t="shared" si="8"/>
        <v>262.8</v>
      </c>
      <c r="AG99" s="1">
        <f t="shared" si="9"/>
        <v>0</v>
      </c>
      <c r="AI99" s="1" t="e">
        <f>#REF!-U99+V99-W99+X99-Y99+Z99-AA99+AB99</f>
        <v>#REF!</v>
      </c>
    </row>
    <row r="100" customHeight="1" spans="1:35">
      <c r="A100" s="242">
        <v>96</v>
      </c>
      <c r="B100" s="242" t="s">
        <v>225</v>
      </c>
      <c r="C100" s="243" t="s">
        <v>226</v>
      </c>
      <c r="D100" s="225">
        <v>254.3</v>
      </c>
      <c r="E100" s="225">
        <v>173.57</v>
      </c>
      <c r="F100" s="225">
        <v>500</v>
      </c>
      <c r="G100" s="225">
        <v>217.1</v>
      </c>
      <c r="H100" s="245"/>
      <c r="I100" s="245">
        <v>204.58</v>
      </c>
      <c r="J100" s="245"/>
      <c r="K100" s="245">
        <v>168.67</v>
      </c>
      <c r="L100" s="245">
        <v>500</v>
      </c>
      <c r="M100" s="245">
        <v>159.97</v>
      </c>
      <c r="N100" s="245"/>
      <c r="O100" s="245">
        <v>142.01</v>
      </c>
      <c r="P100" s="245"/>
      <c r="Q100" s="245">
        <v>145.27</v>
      </c>
      <c r="R100" s="245">
        <v>500</v>
      </c>
      <c r="S100" s="245">
        <v>186.63</v>
      </c>
      <c r="T100" s="245"/>
      <c r="U100" s="245">
        <v>244.85</v>
      </c>
      <c r="V100" s="245"/>
      <c r="W100" s="245">
        <v>178.46</v>
      </c>
      <c r="X100" s="245"/>
      <c r="Y100" s="245">
        <v>144.73</v>
      </c>
      <c r="Z100" s="245">
        <v>300</v>
      </c>
      <c r="AA100" s="245">
        <v>153.98</v>
      </c>
      <c r="AB100" s="245"/>
      <c r="AC100" s="245">
        <f t="shared" si="10"/>
        <v>2119.82</v>
      </c>
      <c r="AD100" s="245">
        <f t="shared" si="11"/>
        <v>1800</v>
      </c>
      <c r="AE100" s="112">
        <f t="shared" si="12"/>
        <v>-65.52</v>
      </c>
      <c r="AF100" s="1">
        <f t="shared" si="8"/>
        <v>722.02</v>
      </c>
      <c r="AG100" s="1">
        <f t="shared" si="9"/>
        <v>300</v>
      </c>
      <c r="AI100" s="1" t="e">
        <f>#REF!-U100+V100-W100+X100-Y100+Z100-AA100+AB100</f>
        <v>#REF!</v>
      </c>
    </row>
    <row r="101" customHeight="1" spans="1:35">
      <c r="A101" s="242">
        <v>97</v>
      </c>
      <c r="B101" s="242" t="s">
        <v>227</v>
      </c>
      <c r="C101" s="243" t="s">
        <v>228</v>
      </c>
      <c r="D101" s="225">
        <v>283.13</v>
      </c>
      <c r="E101" s="225">
        <v>6.53</v>
      </c>
      <c r="F101" s="225"/>
      <c r="G101" s="225">
        <v>0.54</v>
      </c>
      <c r="H101" s="245"/>
      <c r="I101" s="245">
        <v>1.09</v>
      </c>
      <c r="J101" s="245"/>
      <c r="K101" s="245">
        <v>2.72</v>
      </c>
      <c r="L101" s="245"/>
      <c r="M101" s="245">
        <v>1.09</v>
      </c>
      <c r="N101" s="245"/>
      <c r="O101" s="245"/>
      <c r="P101" s="245"/>
      <c r="Q101" s="245"/>
      <c r="R101" s="245"/>
      <c r="S101" s="245"/>
      <c r="T101" s="245"/>
      <c r="U101" s="245"/>
      <c r="V101" s="245">
        <v>200</v>
      </c>
      <c r="W101" s="245"/>
      <c r="X101" s="245"/>
      <c r="Y101" s="245"/>
      <c r="Z101" s="245"/>
      <c r="AA101" s="245"/>
      <c r="AB101" s="245"/>
      <c r="AC101" s="245">
        <f t="shared" si="10"/>
        <v>11.97</v>
      </c>
      <c r="AD101" s="245">
        <f t="shared" si="11"/>
        <v>200</v>
      </c>
      <c r="AE101" s="112">
        <f t="shared" si="12"/>
        <v>471.16</v>
      </c>
      <c r="AF101" s="1">
        <f t="shared" si="8"/>
        <v>0</v>
      </c>
      <c r="AG101" s="1">
        <f t="shared" si="9"/>
        <v>200</v>
      </c>
      <c r="AI101" s="1" t="e">
        <f>#REF!-U101+V101-W101+X101-Y101+Z101-AA101+AB101</f>
        <v>#REF!</v>
      </c>
    </row>
    <row r="102" customHeight="1" spans="1:35">
      <c r="A102" s="242">
        <v>98</v>
      </c>
      <c r="B102" s="242" t="s">
        <v>229</v>
      </c>
      <c r="C102" s="243" t="s">
        <v>230</v>
      </c>
      <c r="D102" s="225">
        <v>236.88</v>
      </c>
      <c r="E102" s="225">
        <v>184.99</v>
      </c>
      <c r="F102" s="225"/>
      <c r="G102" s="225">
        <v>274.77</v>
      </c>
      <c r="H102" s="245"/>
      <c r="I102" s="245">
        <v>225.26</v>
      </c>
      <c r="J102" s="245"/>
      <c r="K102" s="245">
        <v>196.96</v>
      </c>
      <c r="L102" s="245">
        <v>500</v>
      </c>
      <c r="M102" s="245">
        <v>168.67</v>
      </c>
      <c r="N102" s="245"/>
      <c r="O102" s="245">
        <v>184.45</v>
      </c>
      <c r="P102" s="245">
        <v>1000</v>
      </c>
      <c r="Q102" s="245">
        <v>115.89</v>
      </c>
      <c r="R102" s="245"/>
      <c r="S102" s="245">
        <v>217.64</v>
      </c>
      <c r="T102" s="245"/>
      <c r="U102" s="245">
        <v>167.58</v>
      </c>
      <c r="V102" s="245"/>
      <c r="W102" s="245">
        <v>145.27</v>
      </c>
      <c r="X102" s="245"/>
      <c r="Y102" s="245">
        <v>143.1</v>
      </c>
      <c r="Z102" s="245"/>
      <c r="AA102" s="245">
        <v>188.8</v>
      </c>
      <c r="AB102" s="245"/>
      <c r="AC102" s="245">
        <f t="shared" ref="AC102:AC136" si="13">AA102+Y102+W102+U102+S102+Q102+O102+M102+K102+I102+G102+E102</f>
        <v>2213.38</v>
      </c>
      <c r="AD102" s="245">
        <f t="shared" ref="AD102:AD136" si="14">AB102+Z102+X102+V102+T102+R102+P102+N102+L102+J102+H102+F102</f>
        <v>1500</v>
      </c>
      <c r="AE102" s="112">
        <f t="shared" ref="AE102:AE136" si="15">D102+AD102-AC102</f>
        <v>-476.5</v>
      </c>
      <c r="AF102" s="1">
        <f t="shared" si="8"/>
        <v>644.75</v>
      </c>
      <c r="AG102" s="1">
        <f t="shared" si="9"/>
        <v>0</v>
      </c>
      <c r="AI102" s="1" t="e">
        <f>#REF!-U102+V102-W102+X102-Y102+Z102-AA102+AB102</f>
        <v>#REF!</v>
      </c>
    </row>
    <row r="103" customHeight="1" spans="1:35">
      <c r="A103" s="242">
        <v>99</v>
      </c>
      <c r="B103" s="242" t="s">
        <v>231</v>
      </c>
      <c r="C103" s="243" t="s">
        <v>232</v>
      </c>
      <c r="D103" s="225">
        <v>384.22</v>
      </c>
      <c r="E103" s="225"/>
      <c r="F103" s="225"/>
      <c r="G103" s="225"/>
      <c r="H103" s="245"/>
      <c r="I103" s="245"/>
      <c r="J103" s="245"/>
      <c r="K103" s="245">
        <v>10.88</v>
      </c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>
        <v>100</v>
      </c>
      <c r="Y103" s="245"/>
      <c r="Z103" s="245"/>
      <c r="AA103" s="245"/>
      <c r="AB103" s="245">
        <v>300</v>
      </c>
      <c r="AC103" s="245">
        <f t="shared" si="13"/>
        <v>10.88</v>
      </c>
      <c r="AD103" s="245">
        <f t="shared" si="14"/>
        <v>400</v>
      </c>
      <c r="AE103" s="112">
        <f t="shared" si="15"/>
        <v>773.34</v>
      </c>
      <c r="AF103" s="1">
        <f t="shared" si="8"/>
        <v>0</v>
      </c>
      <c r="AG103" s="1">
        <f t="shared" si="9"/>
        <v>400</v>
      </c>
      <c r="AI103" s="1" t="e">
        <f>#REF!-U103+V103-W103+X103-Y103+Z103-AA103+AB103</f>
        <v>#REF!</v>
      </c>
    </row>
    <row r="104" customHeight="1" spans="1:35">
      <c r="A104" s="242">
        <v>100</v>
      </c>
      <c r="B104" s="242" t="s">
        <v>233</v>
      </c>
      <c r="C104" s="243" t="s">
        <v>234</v>
      </c>
      <c r="D104" s="225">
        <v>84.54</v>
      </c>
      <c r="E104" s="225">
        <v>80.53</v>
      </c>
      <c r="F104" s="225"/>
      <c r="G104" s="225">
        <v>74</v>
      </c>
      <c r="H104" s="245">
        <v>1000</v>
      </c>
      <c r="I104" s="245">
        <v>76.17</v>
      </c>
      <c r="J104" s="245"/>
      <c r="K104" s="245">
        <v>81.07</v>
      </c>
      <c r="L104" s="245"/>
      <c r="M104" s="245">
        <v>84.34</v>
      </c>
      <c r="N104" s="245"/>
      <c r="O104" s="245">
        <v>64.74</v>
      </c>
      <c r="P104" s="245"/>
      <c r="Q104" s="245">
        <v>53.86</v>
      </c>
      <c r="R104" s="245"/>
      <c r="S104" s="245">
        <v>69.1</v>
      </c>
      <c r="T104" s="245"/>
      <c r="U104" s="245">
        <v>27.21</v>
      </c>
      <c r="V104" s="245"/>
      <c r="W104" s="245">
        <v>136.03</v>
      </c>
      <c r="X104" s="245"/>
      <c r="Y104" s="245">
        <v>92.5</v>
      </c>
      <c r="Z104" s="245"/>
      <c r="AA104" s="245">
        <v>143.1</v>
      </c>
      <c r="AB104" s="245"/>
      <c r="AC104" s="245">
        <f t="shared" si="13"/>
        <v>982.65</v>
      </c>
      <c r="AD104" s="245">
        <f t="shared" si="14"/>
        <v>1000</v>
      </c>
      <c r="AE104" s="112">
        <f t="shared" si="15"/>
        <v>101.89</v>
      </c>
      <c r="AF104" s="1">
        <f t="shared" si="8"/>
        <v>398.84</v>
      </c>
      <c r="AG104" s="1">
        <f t="shared" si="9"/>
        <v>0</v>
      </c>
      <c r="AI104" s="1" t="e">
        <f>#REF!-U104+V104-W104+X104-Y104+Z104-AA104+AB104</f>
        <v>#REF!</v>
      </c>
    </row>
    <row r="105" customHeight="1" spans="1:35">
      <c r="A105" s="242">
        <v>101</v>
      </c>
      <c r="B105" s="242" t="s">
        <v>235</v>
      </c>
      <c r="C105" s="243" t="s">
        <v>236</v>
      </c>
      <c r="D105" s="225">
        <v>379.38</v>
      </c>
      <c r="E105" s="225">
        <v>269.87</v>
      </c>
      <c r="F105" s="225"/>
      <c r="G105" s="225">
        <v>230.7</v>
      </c>
      <c r="H105" s="245"/>
      <c r="I105" s="245">
        <v>221.99</v>
      </c>
      <c r="J105" s="245">
        <v>1000</v>
      </c>
      <c r="K105" s="245">
        <v>247.57</v>
      </c>
      <c r="L105" s="245"/>
      <c r="M105" s="245">
        <v>185.54</v>
      </c>
      <c r="N105" s="245"/>
      <c r="O105" s="245">
        <v>164.31</v>
      </c>
      <c r="P105" s="245"/>
      <c r="Q105" s="245">
        <v>155.61</v>
      </c>
      <c r="R105" s="245"/>
      <c r="S105" s="245">
        <v>136.57</v>
      </c>
      <c r="T105" s="245"/>
      <c r="U105" s="245">
        <v>190.98</v>
      </c>
      <c r="V105" s="245">
        <v>2000</v>
      </c>
      <c r="W105" s="245">
        <v>183.36</v>
      </c>
      <c r="X105" s="245"/>
      <c r="Y105" s="245">
        <v>211.11</v>
      </c>
      <c r="Z105" s="245"/>
      <c r="AA105" s="245">
        <v>167.58</v>
      </c>
      <c r="AB105" s="245"/>
      <c r="AC105" s="245">
        <f t="shared" si="13"/>
        <v>2365.19</v>
      </c>
      <c r="AD105" s="245">
        <f t="shared" si="14"/>
        <v>3000</v>
      </c>
      <c r="AE105" s="112">
        <f t="shared" si="15"/>
        <v>1014.19</v>
      </c>
      <c r="AF105" s="1">
        <f t="shared" si="8"/>
        <v>753.03</v>
      </c>
      <c r="AG105" s="1">
        <f t="shared" si="9"/>
        <v>2000</v>
      </c>
      <c r="AI105" s="1" t="e">
        <f>#REF!-U105+V105-W105+X105-Y105+Z105-AA105+AB105</f>
        <v>#REF!</v>
      </c>
    </row>
    <row r="106" customHeight="1" spans="1:35">
      <c r="A106" s="242">
        <v>102</v>
      </c>
      <c r="B106" s="242" t="s">
        <v>237</v>
      </c>
      <c r="C106" s="243" t="s">
        <v>238</v>
      </c>
      <c r="D106" s="225">
        <v>300</v>
      </c>
      <c r="E106" s="225"/>
      <c r="F106" s="225"/>
      <c r="G106" s="22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>
        <f t="shared" si="13"/>
        <v>0</v>
      </c>
      <c r="AD106" s="245">
        <f t="shared" si="14"/>
        <v>0</v>
      </c>
      <c r="AE106" s="112">
        <f t="shared" si="15"/>
        <v>300</v>
      </c>
      <c r="AF106" s="1">
        <f t="shared" si="8"/>
        <v>0</v>
      </c>
      <c r="AG106" s="1">
        <f t="shared" si="9"/>
        <v>0</v>
      </c>
      <c r="AI106" s="1" t="e">
        <f>#REF!-U106+V106-W106+X106-Y106+Z106-AA106+AB106</f>
        <v>#REF!</v>
      </c>
    </row>
    <row r="107" customHeight="1" spans="1:35">
      <c r="A107" s="242">
        <v>103</v>
      </c>
      <c r="B107" s="242" t="s">
        <v>239</v>
      </c>
      <c r="C107" s="243" t="s">
        <v>240</v>
      </c>
      <c r="D107" s="225">
        <v>272.8</v>
      </c>
      <c r="E107" s="225">
        <v>1.63</v>
      </c>
      <c r="F107" s="225"/>
      <c r="G107" s="225">
        <v>109.91</v>
      </c>
      <c r="H107" s="245"/>
      <c r="I107" s="245">
        <v>132.22</v>
      </c>
      <c r="J107" s="245"/>
      <c r="K107" s="245">
        <v>147.45</v>
      </c>
      <c r="L107" s="245">
        <v>1000</v>
      </c>
      <c r="M107" s="245">
        <v>134.94</v>
      </c>
      <c r="N107" s="245"/>
      <c r="O107" s="245">
        <v>92.49</v>
      </c>
      <c r="P107" s="245">
        <v>351.88</v>
      </c>
      <c r="Q107" s="245">
        <v>83.79</v>
      </c>
      <c r="R107" s="245"/>
      <c r="S107" s="245">
        <v>60.94</v>
      </c>
      <c r="T107" s="245"/>
      <c r="U107" s="245">
        <v>83.79</v>
      </c>
      <c r="V107" s="245"/>
      <c r="W107" s="245">
        <v>102.29</v>
      </c>
      <c r="X107" s="245"/>
      <c r="Y107" s="245">
        <v>109.91</v>
      </c>
      <c r="Z107" s="245"/>
      <c r="AA107" s="245">
        <v>89.78</v>
      </c>
      <c r="AB107" s="245"/>
      <c r="AC107" s="245">
        <f t="shared" si="13"/>
        <v>1149.14</v>
      </c>
      <c r="AD107" s="245">
        <f t="shared" si="14"/>
        <v>1351.88</v>
      </c>
      <c r="AE107" s="112">
        <f t="shared" si="15"/>
        <v>475.54</v>
      </c>
      <c r="AF107" s="1">
        <f t="shared" si="8"/>
        <v>385.77</v>
      </c>
      <c r="AG107" s="1">
        <f t="shared" si="9"/>
        <v>0</v>
      </c>
      <c r="AI107" s="1" t="e">
        <f>#REF!-U107+V107-W107+X107-Y107+Z107-AA107+AB107</f>
        <v>#REF!</v>
      </c>
    </row>
    <row r="108" customHeight="1" spans="1:35">
      <c r="A108" s="242">
        <v>104</v>
      </c>
      <c r="B108" s="242" t="s">
        <v>241</v>
      </c>
      <c r="C108" s="243" t="s">
        <v>242</v>
      </c>
      <c r="D108" s="225">
        <v>267.9</v>
      </c>
      <c r="E108" s="225">
        <v>31.56</v>
      </c>
      <c r="F108" s="225"/>
      <c r="G108" s="225">
        <v>42.44</v>
      </c>
      <c r="H108" s="245"/>
      <c r="I108" s="245">
        <v>17.96</v>
      </c>
      <c r="J108" s="245"/>
      <c r="K108" s="245">
        <v>42.98</v>
      </c>
      <c r="L108" s="245"/>
      <c r="M108" s="245">
        <v>25.57</v>
      </c>
      <c r="N108" s="245"/>
      <c r="O108" s="245">
        <v>27.74</v>
      </c>
      <c r="P108" s="245">
        <v>200</v>
      </c>
      <c r="Q108" s="245">
        <v>38.63</v>
      </c>
      <c r="R108" s="245"/>
      <c r="S108" s="245">
        <v>66.38</v>
      </c>
      <c r="T108" s="245">
        <v>200</v>
      </c>
      <c r="U108" s="245">
        <v>74</v>
      </c>
      <c r="V108" s="245"/>
      <c r="W108" s="245">
        <v>73.45</v>
      </c>
      <c r="X108" s="245"/>
      <c r="Y108" s="245"/>
      <c r="Z108" s="245">
        <v>500</v>
      </c>
      <c r="AA108" s="245"/>
      <c r="AB108" s="245"/>
      <c r="AC108" s="245">
        <f t="shared" si="13"/>
        <v>440.71</v>
      </c>
      <c r="AD108" s="245">
        <f t="shared" si="14"/>
        <v>900</v>
      </c>
      <c r="AE108" s="112">
        <f t="shared" si="15"/>
        <v>727.19</v>
      </c>
      <c r="AF108" s="1">
        <f t="shared" si="8"/>
        <v>147.45</v>
      </c>
      <c r="AG108" s="1">
        <f t="shared" si="9"/>
        <v>500</v>
      </c>
      <c r="AI108" s="1" t="e">
        <f>#REF!-U108+V108-W108+X108-Y108+Z108-AA108+AB108</f>
        <v>#REF!</v>
      </c>
    </row>
    <row r="109" customHeight="1" spans="1:35">
      <c r="A109" s="242">
        <v>105</v>
      </c>
      <c r="B109" s="242" t="s">
        <v>243</v>
      </c>
      <c r="C109" s="243" t="s">
        <v>244</v>
      </c>
      <c r="D109" s="225">
        <v>234.71</v>
      </c>
      <c r="E109" s="225">
        <v>7.07</v>
      </c>
      <c r="F109" s="225"/>
      <c r="G109" s="225">
        <v>45.7</v>
      </c>
      <c r="H109" s="245"/>
      <c r="I109" s="245">
        <v>77.26</v>
      </c>
      <c r="J109" s="245"/>
      <c r="K109" s="245">
        <v>65.29</v>
      </c>
      <c r="L109" s="245"/>
      <c r="M109" s="245">
        <v>200.23</v>
      </c>
      <c r="N109" s="245"/>
      <c r="O109" s="245">
        <v>192.06</v>
      </c>
      <c r="P109" s="245">
        <v>300</v>
      </c>
      <c r="Q109" s="245">
        <v>114.8</v>
      </c>
      <c r="R109" s="245">
        <v>500</v>
      </c>
      <c r="S109" s="245">
        <v>39.18</v>
      </c>
      <c r="T109" s="245"/>
      <c r="U109" s="245">
        <v>16.87</v>
      </c>
      <c r="V109" s="245"/>
      <c r="W109" s="245">
        <v>65.29</v>
      </c>
      <c r="X109" s="245"/>
      <c r="Y109" s="245">
        <v>28.84</v>
      </c>
      <c r="Z109" s="245"/>
      <c r="AA109" s="245">
        <v>20.13</v>
      </c>
      <c r="AB109" s="245"/>
      <c r="AC109" s="245">
        <f t="shared" si="13"/>
        <v>872.72</v>
      </c>
      <c r="AD109" s="245">
        <f t="shared" si="14"/>
        <v>800</v>
      </c>
      <c r="AE109" s="112">
        <f t="shared" si="15"/>
        <v>161.99</v>
      </c>
      <c r="AF109" s="1">
        <f t="shared" si="8"/>
        <v>131.13</v>
      </c>
      <c r="AG109" s="1">
        <f t="shared" si="9"/>
        <v>0</v>
      </c>
      <c r="AI109" s="1" t="e">
        <f>#REF!-U109+V109-W109+X109-Y109+Z109-AA109+AB109</f>
        <v>#REF!</v>
      </c>
    </row>
    <row r="110" customHeight="1" spans="1:35">
      <c r="A110" s="242">
        <v>106</v>
      </c>
      <c r="B110" s="242" t="s">
        <v>245</v>
      </c>
      <c r="C110" s="243" t="s">
        <v>246</v>
      </c>
      <c r="D110" s="225">
        <v>-359.99</v>
      </c>
      <c r="E110" s="225">
        <v>96.4</v>
      </c>
      <c r="F110" s="225"/>
      <c r="G110" s="225">
        <v>276.4</v>
      </c>
      <c r="H110" s="245"/>
      <c r="I110" s="245">
        <v>104.47</v>
      </c>
      <c r="J110" s="245"/>
      <c r="K110" s="245">
        <v>189.89</v>
      </c>
      <c r="L110" s="245"/>
      <c r="M110" s="245">
        <v>130.58</v>
      </c>
      <c r="N110" s="245"/>
      <c r="O110" s="245">
        <v>171.39</v>
      </c>
      <c r="P110" s="245">
        <v>1100</v>
      </c>
      <c r="Q110" s="245">
        <v>208.39</v>
      </c>
      <c r="R110" s="245">
        <v>300</v>
      </c>
      <c r="S110" s="245">
        <v>228.52</v>
      </c>
      <c r="T110" s="245">
        <v>230</v>
      </c>
      <c r="U110" s="245">
        <v>218.73</v>
      </c>
      <c r="V110" s="245">
        <v>400</v>
      </c>
      <c r="W110" s="245">
        <v>190.44</v>
      </c>
      <c r="X110" s="245"/>
      <c r="Y110" s="245">
        <v>187.17</v>
      </c>
      <c r="Z110" s="245">
        <v>220</v>
      </c>
      <c r="AA110" s="245">
        <v>249.2</v>
      </c>
      <c r="AB110" s="245">
        <v>440</v>
      </c>
      <c r="AC110" s="245">
        <f t="shared" si="13"/>
        <v>2251.58</v>
      </c>
      <c r="AD110" s="245">
        <f t="shared" si="14"/>
        <v>2690</v>
      </c>
      <c r="AE110" s="112">
        <f t="shared" si="15"/>
        <v>78.4300000000007</v>
      </c>
      <c r="AF110" s="1">
        <f t="shared" si="8"/>
        <v>845.54</v>
      </c>
      <c r="AG110" s="1">
        <f t="shared" si="9"/>
        <v>1060</v>
      </c>
      <c r="AI110" s="1" t="e">
        <f>#REF!-U110+V110-W110+X110-Y110+Z110-AA110+AB110</f>
        <v>#REF!</v>
      </c>
    </row>
    <row r="111" customHeight="1" spans="1:35">
      <c r="A111" s="242">
        <v>107</v>
      </c>
      <c r="B111" s="242" t="s">
        <v>247</v>
      </c>
      <c r="C111" s="243" t="s">
        <v>248</v>
      </c>
      <c r="D111" s="225">
        <v>281.5</v>
      </c>
      <c r="E111" s="225">
        <v>6.53</v>
      </c>
      <c r="F111" s="225"/>
      <c r="G111" s="225">
        <v>1.09</v>
      </c>
      <c r="H111" s="245"/>
      <c r="I111" s="245"/>
      <c r="J111" s="245"/>
      <c r="K111" s="245">
        <v>0.54</v>
      </c>
      <c r="L111" s="245"/>
      <c r="M111" s="245"/>
      <c r="N111" s="245"/>
      <c r="O111" s="245">
        <v>0.54</v>
      </c>
      <c r="P111" s="245"/>
      <c r="Q111" s="245"/>
      <c r="R111" s="245"/>
      <c r="S111" s="245"/>
      <c r="T111" s="245"/>
      <c r="U111" s="245">
        <v>5.99</v>
      </c>
      <c r="V111" s="245"/>
      <c r="W111" s="245">
        <v>1.09</v>
      </c>
      <c r="X111" s="245"/>
      <c r="Y111" s="245"/>
      <c r="Z111" s="245"/>
      <c r="AA111" s="245"/>
      <c r="AB111" s="245"/>
      <c r="AC111" s="245">
        <f t="shared" si="13"/>
        <v>15.78</v>
      </c>
      <c r="AD111" s="245">
        <f t="shared" si="14"/>
        <v>0</v>
      </c>
      <c r="AE111" s="112">
        <f t="shared" si="15"/>
        <v>265.72</v>
      </c>
      <c r="AF111" s="1">
        <f t="shared" si="8"/>
        <v>7.08</v>
      </c>
      <c r="AG111" s="1">
        <f t="shared" si="9"/>
        <v>0</v>
      </c>
      <c r="AI111" s="1" t="e">
        <f>#REF!-U111+V111-W111+X111-Y111+Z111-AA111+AB111</f>
        <v>#REF!</v>
      </c>
    </row>
    <row r="112" customHeight="1" spans="1:35">
      <c r="A112" s="242">
        <v>108</v>
      </c>
      <c r="B112" s="242" t="s">
        <v>249</v>
      </c>
      <c r="C112" s="243" t="s">
        <v>250</v>
      </c>
      <c r="D112" s="225">
        <v>115.01</v>
      </c>
      <c r="E112" s="225">
        <v>96.31</v>
      </c>
      <c r="F112" s="225"/>
      <c r="G112" s="225">
        <v>207.3</v>
      </c>
      <c r="H112" s="245"/>
      <c r="I112" s="245">
        <v>87.06</v>
      </c>
      <c r="J112" s="245"/>
      <c r="K112" s="245">
        <v>125.69</v>
      </c>
      <c r="L112" s="245"/>
      <c r="M112" s="245">
        <v>136.03</v>
      </c>
      <c r="N112" s="245"/>
      <c r="O112" s="245">
        <v>68.55</v>
      </c>
      <c r="P112" s="245">
        <v>1000</v>
      </c>
      <c r="Q112" s="245">
        <v>108.82</v>
      </c>
      <c r="R112" s="245"/>
      <c r="S112" s="245">
        <v>179.55</v>
      </c>
      <c r="T112" s="245"/>
      <c r="U112" s="245">
        <v>211.11</v>
      </c>
      <c r="V112" s="245"/>
      <c r="W112" s="245">
        <v>155.07</v>
      </c>
      <c r="X112" s="245"/>
      <c r="Y112" s="245">
        <v>174.66</v>
      </c>
      <c r="Z112" s="245">
        <v>1000</v>
      </c>
      <c r="AA112" s="245">
        <v>172.48</v>
      </c>
      <c r="AB112" s="245"/>
      <c r="AC112" s="245">
        <f t="shared" si="13"/>
        <v>1722.63</v>
      </c>
      <c r="AD112" s="245">
        <f t="shared" si="14"/>
        <v>2000</v>
      </c>
      <c r="AE112" s="112">
        <f t="shared" si="15"/>
        <v>392.380000000001</v>
      </c>
      <c r="AF112" s="1">
        <f t="shared" si="8"/>
        <v>713.32</v>
      </c>
      <c r="AG112" s="1">
        <f t="shared" si="9"/>
        <v>1000</v>
      </c>
      <c r="AI112" s="1" t="e">
        <f>#REF!-U112+V112-W112+X112-Y112+Z112-AA112+AB112</f>
        <v>#REF!</v>
      </c>
    </row>
    <row r="113" customHeight="1" spans="1:35">
      <c r="A113" s="242">
        <v>109</v>
      </c>
      <c r="B113" s="242" t="s">
        <v>251</v>
      </c>
      <c r="C113" s="243" t="s">
        <v>252</v>
      </c>
      <c r="D113" s="225">
        <v>300</v>
      </c>
      <c r="E113" s="225"/>
      <c r="F113" s="225"/>
      <c r="G113" s="225"/>
      <c r="H113" s="245"/>
      <c r="I113" s="245"/>
      <c r="J113" s="245"/>
      <c r="K113" s="245">
        <v>2.72</v>
      </c>
      <c r="L113" s="245"/>
      <c r="M113" s="245">
        <v>10.34</v>
      </c>
      <c r="N113" s="245"/>
      <c r="O113" s="245">
        <v>1.08</v>
      </c>
      <c r="P113" s="245"/>
      <c r="Q113" s="245">
        <v>2.72</v>
      </c>
      <c r="R113" s="245"/>
      <c r="S113" s="245"/>
      <c r="T113" s="245"/>
      <c r="U113" s="245">
        <v>16.32</v>
      </c>
      <c r="V113" s="245"/>
      <c r="W113" s="245">
        <v>3.81</v>
      </c>
      <c r="X113" s="245"/>
      <c r="Y113" s="245">
        <v>3.26</v>
      </c>
      <c r="Z113" s="245"/>
      <c r="AA113" s="245">
        <v>1.63</v>
      </c>
      <c r="AB113" s="245"/>
      <c r="AC113" s="245">
        <f t="shared" si="13"/>
        <v>41.88</v>
      </c>
      <c r="AD113" s="245">
        <f t="shared" si="14"/>
        <v>0</v>
      </c>
      <c r="AE113" s="112">
        <f t="shared" si="15"/>
        <v>258.12</v>
      </c>
      <c r="AF113" s="1">
        <f t="shared" si="8"/>
        <v>25.02</v>
      </c>
      <c r="AG113" s="1">
        <f t="shared" si="9"/>
        <v>0</v>
      </c>
      <c r="AI113" s="1" t="e">
        <f>#REF!-U113+V113-W113+X113-Y113+Z113-AA113+AB113</f>
        <v>#REF!</v>
      </c>
    </row>
    <row r="114" customHeight="1" spans="1:35">
      <c r="A114" s="242">
        <v>110</v>
      </c>
      <c r="B114" s="242" t="s">
        <v>253</v>
      </c>
      <c r="C114" s="243" t="s">
        <v>254</v>
      </c>
      <c r="D114" s="225">
        <v>270.07</v>
      </c>
      <c r="E114" s="225">
        <v>8.71</v>
      </c>
      <c r="F114" s="225"/>
      <c r="G114" s="225">
        <v>152.35</v>
      </c>
      <c r="H114" s="245"/>
      <c r="I114" s="245">
        <v>125.69</v>
      </c>
      <c r="J114" s="245"/>
      <c r="K114" s="245">
        <v>84.34</v>
      </c>
      <c r="L114" s="245"/>
      <c r="M114" s="245">
        <v>42.98</v>
      </c>
      <c r="N114" s="245"/>
      <c r="O114" s="245">
        <v>47.88</v>
      </c>
      <c r="P114" s="245">
        <v>300</v>
      </c>
      <c r="Q114" s="245">
        <v>49.51</v>
      </c>
      <c r="R114" s="245"/>
      <c r="S114" s="245">
        <v>101.2</v>
      </c>
      <c r="T114" s="245"/>
      <c r="U114" s="245">
        <v>3.26</v>
      </c>
      <c r="V114" s="245"/>
      <c r="W114" s="245">
        <v>26.12</v>
      </c>
      <c r="X114" s="245"/>
      <c r="Y114" s="245">
        <v>17.96</v>
      </c>
      <c r="Z114" s="245"/>
      <c r="AA114" s="245">
        <v>26.12</v>
      </c>
      <c r="AB114" s="245"/>
      <c r="AC114" s="245">
        <f t="shared" si="13"/>
        <v>686.12</v>
      </c>
      <c r="AD114" s="245">
        <f t="shared" si="14"/>
        <v>300</v>
      </c>
      <c r="AE114" s="112">
        <f t="shared" si="15"/>
        <v>-116.05</v>
      </c>
      <c r="AF114" s="1">
        <f t="shared" si="8"/>
        <v>73.46</v>
      </c>
      <c r="AG114" s="1">
        <f t="shared" si="9"/>
        <v>0</v>
      </c>
      <c r="AI114" s="1" t="e">
        <f>#REF!-U114+V114-W114+X114-Y114+Z114-AA114+AB114</f>
        <v>#REF!</v>
      </c>
    </row>
    <row r="115" customHeight="1" spans="1:35">
      <c r="A115" s="242">
        <v>111</v>
      </c>
      <c r="B115" s="242" t="s">
        <v>255</v>
      </c>
      <c r="C115" s="243" t="s">
        <v>256</v>
      </c>
      <c r="D115" s="225">
        <v>282.59</v>
      </c>
      <c r="E115" s="225">
        <v>4.35</v>
      </c>
      <c r="F115" s="225"/>
      <c r="G115" s="225">
        <v>0.54</v>
      </c>
      <c r="H115" s="245"/>
      <c r="I115" s="245">
        <v>0.544</v>
      </c>
      <c r="J115" s="245"/>
      <c r="K115" s="245">
        <v>1.09</v>
      </c>
      <c r="L115" s="245"/>
      <c r="M115" s="245"/>
      <c r="N115" s="245"/>
      <c r="O115" s="245">
        <v>1.63</v>
      </c>
      <c r="P115" s="245"/>
      <c r="Q115" s="245"/>
      <c r="R115" s="245"/>
      <c r="S115" s="245"/>
      <c r="T115" s="245"/>
      <c r="U115" s="245">
        <v>10.88</v>
      </c>
      <c r="V115" s="245"/>
      <c r="W115" s="245">
        <v>5.44</v>
      </c>
      <c r="X115" s="245"/>
      <c r="Y115" s="245">
        <v>3.81</v>
      </c>
      <c r="Z115" s="245"/>
      <c r="AA115" s="245">
        <v>5.44</v>
      </c>
      <c r="AB115" s="245"/>
      <c r="AC115" s="245">
        <f t="shared" si="13"/>
        <v>33.724</v>
      </c>
      <c r="AD115" s="245">
        <f t="shared" si="14"/>
        <v>0</v>
      </c>
      <c r="AE115" s="112">
        <f t="shared" si="15"/>
        <v>248.866</v>
      </c>
      <c r="AF115" s="1">
        <f t="shared" si="8"/>
        <v>25.57</v>
      </c>
      <c r="AG115" s="1">
        <f t="shared" si="9"/>
        <v>0</v>
      </c>
      <c r="AI115" s="1" t="e">
        <f>#REF!-U115+V115-W115+X115-Y115+Z115-AA115+AB115</f>
        <v>#REF!</v>
      </c>
    </row>
    <row r="116" customHeight="1" spans="1:35">
      <c r="A116" s="242">
        <v>112</v>
      </c>
      <c r="B116" s="242" t="s">
        <v>257</v>
      </c>
      <c r="C116" s="243" t="s">
        <v>258</v>
      </c>
      <c r="D116" s="225">
        <v>240.64</v>
      </c>
      <c r="E116" s="225">
        <v>236.14</v>
      </c>
      <c r="F116" s="225"/>
      <c r="G116" s="225">
        <v>306.87</v>
      </c>
      <c r="H116" s="245"/>
      <c r="I116" s="245">
        <v>186.08</v>
      </c>
      <c r="J116" s="245"/>
      <c r="K116" s="245">
        <v>204.58</v>
      </c>
      <c r="L116" s="245"/>
      <c r="M116" s="245">
        <v>171.39</v>
      </c>
      <c r="N116" s="245"/>
      <c r="O116" s="245">
        <v>137.11</v>
      </c>
      <c r="P116" s="245">
        <v>800</v>
      </c>
      <c r="Q116" s="245">
        <v>113.17</v>
      </c>
      <c r="R116" s="245"/>
      <c r="S116" s="245">
        <v>116.44</v>
      </c>
      <c r="T116" s="245"/>
      <c r="U116" s="245">
        <v>125.69</v>
      </c>
      <c r="V116" s="245"/>
      <c r="W116" s="245">
        <v>128.95</v>
      </c>
      <c r="X116" s="245"/>
      <c r="Y116" s="245">
        <v>196.96</v>
      </c>
      <c r="Z116" s="245"/>
      <c r="AA116" s="245">
        <v>217.1</v>
      </c>
      <c r="AB116" s="245"/>
      <c r="AC116" s="245">
        <f t="shared" si="13"/>
        <v>2140.48</v>
      </c>
      <c r="AD116" s="245">
        <f t="shared" si="14"/>
        <v>800</v>
      </c>
      <c r="AE116" s="112">
        <f t="shared" si="15"/>
        <v>-1099.84</v>
      </c>
      <c r="AF116" s="1">
        <f t="shared" si="8"/>
        <v>668.7</v>
      </c>
      <c r="AG116" s="1">
        <f t="shared" si="9"/>
        <v>0</v>
      </c>
      <c r="AI116" s="1" t="e">
        <f>#REF!-U116+V116-W116+X116-Y116+Z116-AA116+AB116</f>
        <v>#REF!</v>
      </c>
    </row>
    <row r="117" customHeight="1" spans="1:35">
      <c r="A117" s="242">
        <v>113</v>
      </c>
      <c r="B117" s="242" t="s">
        <v>259</v>
      </c>
      <c r="C117" s="243" t="s">
        <v>260</v>
      </c>
      <c r="D117" s="225">
        <v>300</v>
      </c>
      <c r="E117" s="225"/>
      <c r="F117" s="225"/>
      <c r="G117" s="225"/>
      <c r="H117" s="245"/>
      <c r="I117" s="245">
        <v>4.9</v>
      </c>
      <c r="J117" s="245"/>
      <c r="K117" s="245">
        <v>2.72</v>
      </c>
      <c r="L117" s="245"/>
      <c r="M117" s="245"/>
      <c r="N117" s="245"/>
      <c r="O117" s="245"/>
      <c r="P117" s="245"/>
      <c r="Q117" s="245">
        <v>2.72</v>
      </c>
      <c r="R117" s="245"/>
      <c r="S117" s="245">
        <v>1.63</v>
      </c>
      <c r="T117" s="245"/>
      <c r="U117" s="245"/>
      <c r="V117" s="245"/>
      <c r="W117" s="245">
        <v>1.63</v>
      </c>
      <c r="X117" s="245"/>
      <c r="Y117" s="245">
        <v>0.54</v>
      </c>
      <c r="Z117" s="245"/>
      <c r="AA117" s="245">
        <v>42.44</v>
      </c>
      <c r="AB117" s="245"/>
      <c r="AC117" s="245">
        <f t="shared" si="13"/>
        <v>56.58</v>
      </c>
      <c r="AD117" s="245">
        <f t="shared" si="14"/>
        <v>0</v>
      </c>
      <c r="AE117" s="112">
        <f t="shared" si="15"/>
        <v>243.42</v>
      </c>
      <c r="AF117" s="1">
        <f t="shared" si="8"/>
        <v>44.61</v>
      </c>
      <c r="AG117" s="1">
        <f t="shared" si="9"/>
        <v>0</v>
      </c>
      <c r="AI117" s="1" t="e">
        <f>#REF!-U117+V117-W117+X117-Y117+Z117-AA117+AB117</f>
        <v>#REF!</v>
      </c>
    </row>
    <row r="118" customHeight="1" spans="1:35">
      <c r="A118" s="242">
        <v>114</v>
      </c>
      <c r="B118" s="242" t="s">
        <v>261</v>
      </c>
      <c r="C118" s="243" t="s">
        <v>262</v>
      </c>
      <c r="D118" s="225">
        <v>-5.24000000000001</v>
      </c>
      <c r="E118" s="225">
        <v>195.88</v>
      </c>
      <c r="F118" s="225"/>
      <c r="G118" s="225">
        <v>230.15</v>
      </c>
      <c r="H118" s="245"/>
      <c r="I118" s="245">
        <v>44.07</v>
      </c>
      <c r="J118" s="245"/>
      <c r="K118" s="245">
        <v>29.93</v>
      </c>
      <c r="L118" s="245"/>
      <c r="M118" s="245">
        <v>34.82</v>
      </c>
      <c r="N118" s="245"/>
      <c r="O118" s="245">
        <v>57.67</v>
      </c>
      <c r="P118" s="245"/>
      <c r="Q118" s="245">
        <v>254.63</v>
      </c>
      <c r="R118" s="245"/>
      <c r="S118" s="245">
        <v>440.72</v>
      </c>
      <c r="T118" s="245"/>
      <c r="U118" s="245">
        <v>460.31</v>
      </c>
      <c r="V118" s="245"/>
      <c r="W118" s="245">
        <v>194.24</v>
      </c>
      <c r="X118" s="245">
        <v>600</v>
      </c>
      <c r="Y118" s="245">
        <v>209.48</v>
      </c>
      <c r="Z118" s="245"/>
      <c r="AA118" s="245">
        <v>242.67</v>
      </c>
      <c r="AB118" s="245"/>
      <c r="AC118" s="245">
        <f t="shared" si="13"/>
        <v>2394.57</v>
      </c>
      <c r="AD118" s="245">
        <f t="shared" si="14"/>
        <v>600</v>
      </c>
      <c r="AE118" s="112">
        <f t="shared" si="15"/>
        <v>-1799.81</v>
      </c>
      <c r="AF118" s="1">
        <f t="shared" si="8"/>
        <v>1106.7</v>
      </c>
      <c r="AG118" s="1">
        <f t="shared" si="9"/>
        <v>600</v>
      </c>
      <c r="AI118" s="1" t="e">
        <f>#REF!-U118+V118-W118+X118-Y118+Z118-AA118+AB118</f>
        <v>#REF!</v>
      </c>
    </row>
    <row r="119" customHeight="1" spans="1:35">
      <c r="A119" s="242">
        <v>115</v>
      </c>
      <c r="B119" s="242" t="s">
        <v>263</v>
      </c>
      <c r="C119" s="243" t="s">
        <v>264</v>
      </c>
      <c r="D119" s="225">
        <v>-112.43</v>
      </c>
      <c r="E119" s="225">
        <v>83.79</v>
      </c>
      <c r="F119" s="225"/>
      <c r="G119" s="225">
        <v>26.66</v>
      </c>
      <c r="H119" s="245"/>
      <c r="I119" s="245">
        <v>98.48</v>
      </c>
      <c r="J119" s="245"/>
      <c r="K119" s="245">
        <v>132.22</v>
      </c>
      <c r="L119" s="245"/>
      <c r="M119" s="245">
        <v>102.84</v>
      </c>
      <c r="N119" s="245">
        <v>700</v>
      </c>
      <c r="O119" s="245">
        <v>93.04</v>
      </c>
      <c r="P119" s="245"/>
      <c r="Q119" s="245">
        <v>75.08</v>
      </c>
      <c r="R119" s="245"/>
      <c r="S119" s="245">
        <v>107.19</v>
      </c>
      <c r="T119" s="245"/>
      <c r="U119" s="245">
        <v>124.6</v>
      </c>
      <c r="V119" s="245"/>
      <c r="W119" s="245">
        <v>88.14</v>
      </c>
      <c r="X119" s="245"/>
      <c r="Y119" s="245">
        <v>109.36</v>
      </c>
      <c r="Z119" s="245"/>
      <c r="AA119" s="245">
        <v>122.97</v>
      </c>
      <c r="AB119" s="245"/>
      <c r="AC119" s="245">
        <f t="shared" si="13"/>
        <v>1164.37</v>
      </c>
      <c r="AD119" s="245">
        <f t="shared" si="14"/>
        <v>700</v>
      </c>
      <c r="AE119" s="112">
        <f t="shared" si="15"/>
        <v>-576.8</v>
      </c>
      <c r="AF119" s="1">
        <f t="shared" si="8"/>
        <v>445.07</v>
      </c>
      <c r="AG119" s="1">
        <f t="shared" si="9"/>
        <v>0</v>
      </c>
      <c r="AI119" s="1" t="e">
        <f>#REF!-U119+V119-W119+X119-Y119+Z119-AA119+AB119</f>
        <v>#REF!</v>
      </c>
    </row>
    <row r="120" customHeight="1" spans="1:35">
      <c r="A120" s="242">
        <v>116</v>
      </c>
      <c r="B120" s="242" t="s">
        <v>265</v>
      </c>
      <c r="C120" s="243" t="s">
        <v>266</v>
      </c>
      <c r="D120" s="225">
        <v>299.46</v>
      </c>
      <c r="E120" s="225"/>
      <c r="F120" s="225"/>
      <c r="G120" s="22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>
        <f t="shared" si="13"/>
        <v>0</v>
      </c>
      <c r="AD120" s="245">
        <f t="shared" si="14"/>
        <v>0</v>
      </c>
      <c r="AE120" s="112">
        <f t="shared" si="15"/>
        <v>299.46</v>
      </c>
      <c r="AF120" s="1">
        <f t="shared" si="8"/>
        <v>0</v>
      </c>
      <c r="AG120" s="1">
        <f t="shared" si="9"/>
        <v>0</v>
      </c>
      <c r="AI120" s="1" t="e">
        <f>#REF!-U120+V120-W120+X120-Y120+Z120-AA120+AB120</f>
        <v>#REF!</v>
      </c>
    </row>
    <row r="121" customHeight="1" spans="1:35">
      <c r="A121" s="242">
        <v>117</v>
      </c>
      <c r="B121" s="242" t="s">
        <v>267</v>
      </c>
      <c r="C121" s="243" t="s">
        <v>268</v>
      </c>
      <c r="D121" s="225">
        <v>-150.16</v>
      </c>
      <c r="E121" s="225">
        <v>92.5</v>
      </c>
      <c r="F121" s="225"/>
      <c r="G121" s="225">
        <v>160.51</v>
      </c>
      <c r="H121" s="245"/>
      <c r="I121" s="245">
        <v>159.42</v>
      </c>
      <c r="J121" s="245"/>
      <c r="K121" s="245">
        <v>174.11</v>
      </c>
      <c r="L121" s="245">
        <v>159.42</v>
      </c>
      <c r="M121" s="245">
        <v>148.54</v>
      </c>
      <c r="N121" s="245"/>
      <c r="O121" s="245">
        <v>132.76</v>
      </c>
      <c r="P121" s="245">
        <v>580</v>
      </c>
      <c r="Q121" s="245">
        <v>73.45</v>
      </c>
      <c r="R121" s="245"/>
      <c r="S121" s="245">
        <v>118.07</v>
      </c>
      <c r="T121" s="245">
        <v>336.94</v>
      </c>
      <c r="U121" s="245">
        <v>111.54</v>
      </c>
      <c r="V121" s="245">
        <v>191.52</v>
      </c>
      <c r="W121" s="245">
        <v>116.44</v>
      </c>
      <c r="X121" s="245"/>
      <c r="Y121" s="245">
        <v>95.76</v>
      </c>
      <c r="Z121" s="245">
        <v>227.98</v>
      </c>
      <c r="AA121" s="245">
        <v>109.91</v>
      </c>
      <c r="AB121" s="245"/>
      <c r="AC121" s="245">
        <f t="shared" si="13"/>
        <v>1493.01</v>
      </c>
      <c r="AD121" s="245">
        <f t="shared" si="14"/>
        <v>1495.86</v>
      </c>
      <c r="AE121" s="112">
        <f t="shared" si="15"/>
        <v>-147.31</v>
      </c>
      <c r="AF121" s="1">
        <f t="shared" si="8"/>
        <v>433.65</v>
      </c>
      <c r="AG121" s="1">
        <f t="shared" si="9"/>
        <v>419.5</v>
      </c>
      <c r="AI121" s="1" t="e">
        <f>#REF!-U121+V121-W121+X121-Y121+Z121-AA121+AB121</f>
        <v>#REF!</v>
      </c>
    </row>
    <row r="122" customHeight="1" spans="1:35">
      <c r="A122" s="242">
        <v>118</v>
      </c>
      <c r="B122" s="242" t="s">
        <v>269</v>
      </c>
      <c r="C122" s="243" t="s">
        <v>270</v>
      </c>
      <c r="D122" s="225">
        <v>872.88</v>
      </c>
      <c r="E122" s="225">
        <v>83.25</v>
      </c>
      <c r="F122" s="225"/>
      <c r="G122" s="225">
        <v>108.82</v>
      </c>
      <c r="H122" s="245"/>
      <c r="I122" s="245">
        <v>134.94</v>
      </c>
      <c r="J122" s="245"/>
      <c r="K122" s="245">
        <v>138.2</v>
      </c>
      <c r="L122" s="245"/>
      <c r="M122" s="245">
        <v>133.31</v>
      </c>
      <c r="N122" s="245"/>
      <c r="O122" s="245">
        <v>83.79</v>
      </c>
      <c r="P122" s="245"/>
      <c r="Q122" s="245">
        <v>85.42</v>
      </c>
      <c r="R122" s="245"/>
      <c r="S122" s="245">
        <v>110.45</v>
      </c>
      <c r="T122" s="245"/>
      <c r="U122" s="245">
        <v>96.85</v>
      </c>
      <c r="V122" s="245"/>
      <c r="W122" s="245">
        <v>87.06</v>
      </c>
      <c r="X122" s="245">
        <v>1000</v>
      </c>
      <c r="Y122" s="245">
        <v>108.82</v>
      </c>
      <c r="Z122" s="245"/>
      <c r="AA122" s="245">
        <v>107.73</v>
      </c>
      <c r="AB122" s="245"/>
      <c r="AC122" s="245">
        <f t="shared" si="13"/>
        <v>1278.64</v>
      </c>
      <c r="AD122" s="245">
        <f t="shared" si="14"/>
        <v>1000</v>
      </c>
      <c r="AE122" s="112">
        <f t="shared" si="15"/>
        <v>594.24</v>
      </c>
      <c r="AF122" s="1">
        <f t="shared" si="8"/>
        <v>400.46</v>
      </c>
      <c r="AG122" s="1">
        <f t="shared" si="9"/>
        <v>1000</v>
      </c>
      <c r="AI122" s="1" t="e">
        <f>#REF!-U122+V122-W122+X122-Y122+Z122-AA122+AB122</f>
        <v>#REF!</v>
      </c>
    </row>
    <row r="123" customHeight="1" spans="1:35">
      <c r="A123" s="242">
        <v>119</v>
      </c>
      <c r="B123" s="242" t="s">
        <v>271</v>
      </c>
      <c r="C123" s="243" t="s">
        <v>272</v>
      </c>
      <c r="D123" s="225">
        <v>235.25</v>
      </c>
      <c r="E123" s="225">
        <v>2.18</v>
      </c>
      <c r="F123" s="225">
        <v>600</v>
      </c>
      <c r="G123" s="225">
        <v>1.63</v>
      </c>
      <c r="H123" s="245"/>
      <c r="I123" s="245">
        <v>4.9</v>
      </c>
      <c r="J123" s="245"/>
      <c r="K123" s="245">
        <v>4.35</v>
      </c>
      <c r="L123" s="245"/>
      <c r="M123" s="245">
        <v>4.9</v>
      </c>
      <c r="N123" s="245"/>
      <c r="O123" s="245">
        <v>3.26</v>
      </c>
      <c r="P123" s="245"/>
      <c r="Q123" s="245">
        <v>2.17</v>
      </c>
      <c r="R123" s="245"/>
      <c r="S123" s="245">
        <v>3.8</v>
      </c>
      <c r="T123" s="245"/>
      <c r="U123" s="245">
        <v>1.09</v>
      </c>
      <c r="V123" s="245"/>
      <c r="W123" s="245">
        <v>1.09</v>
      </c>
      <c r="X123" s="245"/>
      <c r="Y123" s="245">
        <v>2.18</v>
      </c>
      <c r="Z123" s="245"/>
      <c r="AA123" s="245">
        <v>8.16</v>
      </c>
      <c r="AB123" s="245"/>
      <c r="AC123" s="245">
        <f t="shared" si="13"/>
        <v>39.71</v>
      </c>
      <c r="AD123" s="245">
        <f t="shared" si="14"/>
        <v>600</v>
      </c>
      <c r="AE123" s="112">
        <f t="shared" si="15"/>
        <v>795.54</v>
      </c>
      <c r="AF123" s="1">
        <f t="shared" si="8"/>
        <v>12.52</v>
      </c>
      <c r="AG123" s="1">
        <f t="shared" si="9"/>
        <v>0</v>
      </c>
      <c r="AI123" s="1" t="e">
        <f>#REF!-U123+V123-W123+X123-Y123+Z123-AA123+AB123</f>
        <v>#REF!</v>
      </c>
    </row>
    <row r="124" customHeight="1" spans="1:35">
      <c r="A124" s="242">
        <v>120</v>
      </c>
      <c r="B124" s="242" t="s">
        <v>273</v>
      </c>
      <c r="C124" s="243" t="s">
        <v>274</v>
      </c>
      <c r="D124" s="225">
        <v>-403.52</v>
      </c>
      <c r="E124" s="225">
        <v>157.79</v>
      </c>
      <c r="F124" s="225"/>
      <c r="G124" s="225">
        <v>115.35</v>
      </c>
      <c r="H124" s="245">
        <v>700</v>
      </c>
      <c r="I124" s="245">
        <v>93.04</v>
      </c>
      <c r="J124" s="245"/>
      <c r="K124" s="245">
        <v>128.95</v>
      </c>
      <c r="L124" s="245">
        <v>300</v>
      </c>
      <c r="M124" s="245">
        <v>155.61</v>
      </c>
      <c r="N124" s="245"/>
      <c r="O124" s="245">
        <v>148.53</v>
      </c>
      <c r="P124" s="245"/>
      <c r="Q124" s="245">
        <v>108.27</v>
      </c>
      <c r="R124" s="245"/>
      <c r="S124" s="245">
        <v>141.47</v>
      </c>
      <c r="T124" s="245">
        <v>500</v>
      </c>
      <c r="U124" s="245">
        <v>146.36</v>
      </c>
      <c r="V124" s="245"/>
      <c r="W124" s="245">
        <v>183.36</v>
      </c>
      <c r="X124" s="245"/>
      <c r="Y124" s="245">
        <v>221.45</v>
      </c>
      <c r="Z124" s="245"/>
      <c r="AA124" s="245">
        <v>217.1</v>
      </c>
      <c r="AB124" s="245"/>
      <c r="AC124" s="245">
        <f t="shared" si="13"/>
        <v>1817.28</v>
      </c>
      <c r="AD124" s="245">
        <f t="shared" si="14"/>
        <v>1500</v>
      </c>
      <c r="AE124" s="112">
        <f t="shared" si="15"/>
        <v>-720.8</v>
      </c>
      <c r="AF124" s="1">
        <f t="shared" si="8"/>
        <v>768.27</v>
      </c>
      <c r="AG124" s="1">
        <f t="shared" si="9"/>
        <v>0</v>
      </c>
      <c r="AI124" s="1" t="e">
        <f>#REF!-U124+V124-W124+X124-Y124+Z124-AA124+AB124</f>
        <v>#REF!</v>
      </c>
    </row>
    <row r="125" customHeight="1" spans="1:35">
      <c r="A125" s="242">
        <v>121</v>
      </c>
      <c r="B125" s="242" t="s">
        <v>275</v>
      </c>
      <c r="C125" s="243" t="s">
        <v>276</v>
      </c>
      <c r="D125" s="225">
        <v>264.09</v>
      </c>
      <c r="E125" s="225">
        <v>0.54</v>
      </c>
      <c r="F125" s="225"/>
      <c r="G125" s="225">
        <v>66.92</v>
      </c>
      <c r="H125" s="245"/>
      <c r="I125" s="245">
        <v>167.04</v>
      </c>
      <c r="J125" s="245"/>
      <c r="K125" s="245">
        <v>209.48</v>
      </c>
      <c r="L125" s="245"/>
      <c r="M125" s="245">
        <v>143.1</v>
      </c>
      <c r="N125" s="245"/>
      <c r="O125" s="245">
        <v>62.02</v>
      </c>
      <c r="P125" s="245">
        <v>183.65</v>
      </c>
      <c r="Q125" s="245">
        <v>68.55</v>
      </c>
      <c r="R125" s="245"/>
      <c r="S125" s="245">
        <v>66.92</v>
      </c>
      <c r="T125" s="245">
        <v>333</v>
      </c>
      <c r="U125" s="245">
        <v>74.54</v>
      </c>
      <c r="V125" s="245"/>
      <c r="W125" s="245">
        <v>62.03</v>
      </c>
      <c r="X125" s="245"/>
      <c r="Y125" s="245">
        <v>82.7</v>
      </c>
      <c r="Z125" s="245"/>
      <c r="AA125" s="245">
        <v>85.97</v>
      </c>
      <c r="AB125" s="245">
        <v>200</v>
      </c>
      <c r="AC125" s="245">
        <f t="shared" si="13"/>
        <v>1089.81</v>
      </c>
      <c r="AD125" s="245">
        <f t="shared" si="14"/>
        <v>716.65</v>
      </c>
      <c r="AE125" s="112">
        <f t="shared" si="15"/>
        <v>-109.07</v>
      </c>
      <c r="AF125" s="1">
        <f t="shared" si="8"/>
        <v>305.24</v>
      </c>
      <c r="AG125" s="1">
        <f t="shared" si="9"/>
        <v>200</v>
      </c>
      <c r="AI125" s="1" t="e">
        <f>#REF!-U125+V125-W125+X125-Y125+Z125-AA125+AB125</f>
        <v>#REF!</v>
      </c>
    </row>
    <row r="126" customHeight="1" spans="1:35">
      <c r="A126" s="242">
        <v>122</v>
      </c>
      <c r="B126" s="242" t="s">
        <v>277</v>
      </c>
      <c r="C126" s="243" t="s">
        <v>278</v>
      </c>
      <c r="D126" s="225">
        <v>250.49</v>
      </c>
      <c r="E126" s="225">
        <v>270.96</v>
      </c>
      <c r="F126" s="225"/>
      <c r="G126" s="225">
        <v>177.38</v>
      </c>
      <c r="H126" s="245"/>
      <c r="I126" s="245">
        <v>110.45</v>
      </c>
      <c r="J126" s="245"/>
      <c r="K126" s="245">
        <v>115.89</v>
      </c>
      <c r="L126" s="245"/>
      <c r="M126" s="245">
        <v>133.85</v>
      </c>
      <c r="N126" s="245"/>
      <c r="O126" s="245">
        <v>88.68</v>
      </c>
      <c r="P126" s="245">
        <v>1500</v>
      </c>
      <c r="Q126" s="245">
        <v>93.04</v>
      </c>
      <c r="R126" s="245"/>
      <c r="S126" s="245">
        <v>204.04</v>
      </c>
      <c r="T126" s="245"/>
      <c r="U126" s="245">
        <v>160.51</v>
      </c>
      <c r="V126" s="245"/>
      <c r="W126" s="245">
        <v>135.48</v>
      </c>
      <c r="X126" s="245"/>
      <c r="Y126" s="245">
        <v>164.32</v>
      </c>
      <c r="Z126" s="245"/>
      <c r="AA126" s="245">
        <v>166.49</v>
      </c>
      <c r="AB126" s="245"/>
      <c r="AC126" s="245">
        <f t="shared" si="13"/>
        <v>1821.09</v>
      </c>
      <c r="AD126" s="245">
        <f t="shared" si="14"/>
        <v>1500</v>
      </c>
      <c r="AE126" s="112">
        <f t="shared" si="15"/>
        <v>-70.6000000000001</v>
      </c>
      <c r="AF126" s="1">
        <f t="shared" si="8"/>
        <v>626.8</v>
      </c>
      <c r="AG126" s="1">
        <f t="shared" si="9"/>
        <v>0</v>
      </c>
      <c r="AI126" s="1" t="e">
        <f>#REF!-U126+V126-W126+X126-Y126+Z126-AA126+AB126</f>
        <v>#REF!</v>
      </c>
    </row>
    <row r="127" customHeight="1" spans="1:35">
      <c r="A127" s="242">
        <v>123</v>
      </c>
      <c r="B127" s="242" t="s">
        <v>279</v>
      </c>
      <c r="C127" s="243" t="s">
        <v>280</v>
      </c>
      <c r="D127" s="225">
        <v>283.68</v>
      </c>
      <c r="E127" s="225"/>
      <c r="F127" s="225"/>
      <c r="G127" s="225">
        <v>19.04</v>
      </c>
      <c r="H127" s="245"/>
      <c r="I127" s="245">
        <v>7.07</v>
      </c>
      <c r="J127" s="245"/>
      <c r="K127" s="245">
        <v>2.72</v>
      </c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>
        <v>0.54</v>
      </c>
      <c r="X127" s="245"/>
      <c r="Y127" s="245">
        <v>0.54</v>
      </c>
      <c r="Z127" s="245"/>
      <c r="AA127" s="245"/>
      <c r="AB127" s="245"/>
      <c r="AC127" s="245">
        <f t="shared" si="13"/>
        <v>29.91</v>
      </c>
      <c r="AD127" s="245">
        <f t="shared" si="14"/>
        <v>0</v>
      </c>
      <c r="AE127" s="112">
        <f t="shared" si="15"/>
        <v>253.77</v>
      </c>
      <c r="AF127" s="1">
        <f t="shared" si="8"/>
        <v>1.08</v>
      </c>
      <c r="AG127" s="1">
        <f t="shared" si="9"/>
        <v>0</v>
      </c>
      <c r="AI127" s="1" t="e">
        <f>#REF!-U127+V127-W127+X127-Y127+Z127-AA127+AB127</f>
        <v>#REF!</v>
      </c>
    </row>
    <row r="128" customHeight="1" spans="1:35">
      <c r="A128" s="242">
        <v>124</v>
      </c>
      <c r="B128" s="242" t="s">
        <v>281</v>
      </c>
      <c r="C128" s="243" t="s">
        <v>282</v>
      </c>
      <c r="D128" s="225">
        <v>286.94</v>
      </c>
      <c r="E128" s="225"/>
      <c r="F128" s="225"/>
      <c r="G128" s="225"/>
      <c r="H128" s="245"/>
      <c r="I128" s="245">
        <v>3.27</v>
      </c>
      <c r="J128" s="245"/>
      <c r="K128" s="245"/>
      <c r="L128" s="245"/>
      <c r="M128" s="245">
        <v>1.63</v>
      </c>
      <c r="N128" s="245"/>
      <c r="O128" s="245">
        <v>1.08</v>
      </c>
      <c r="P128" s="245"/>
      <c r="Q128" s="245">
        <v>1.08</v>
      </c>
      <c r="R128" s="245"/>
      <c r="S128" s="245"/>
      <c r="T128" s="245"/>
      <c r="U128" s="245">
        <v>5.44</v>
      </c>
      <c r="V128" s="245"/>
      <c r="W128" s="245"/>
      <c r="X128" s="245"/>
      <c r="Y128" s="245"/>
      <c r="Z128" s="245"/>
      <c r="AA128" s="245"/>
      <c r="AB128" s="245"/>
      <c r="AC128" s="245">
        <f t="shared" si="13"/>
        <v>12.5</v>
      </c>
      <c r="AD128" s="245">
        <f t="shared" si="14"/>
        <v>0</v>
      </c>
      <c r="AE128" s="112">
        <f t="shared" si="15"/>
        <v>274.44</v>
      </c>
      <c r="AF128" s="1">
        <f t="shared" si="8"/>
        <v>5.44</v>
      </c>
      <c r="AG128" s="1">
        <f t="shared" si="9"/>
        <v>0</v>
      </c>
      <c r="AI128" s="1" t="e">
        <f>#REF!-U128+V128-W128+X128-Y128+Z128-AA128+AB128</f>
        <v>#REF!</v>
      </c>
    </row>
    <row r="129" customHeight="1" spans="1:35">
      <c r="A129" s="242">
        <v>125</v>
      </c>
      <c r="B129" s="242" t="s">
        <v>283</v>
      </c>
      <c r="C129" s="243" t="s">
        <v>284</v>
      </c>
      <c r="D129" s="225">
        <v>163.43</v>
      </c>
      <c r="E129" s="225">
        <v>121.33</v>
      </c>
      <c r="F129" s="225"/>
      <c r="G129" s="225">
        <v>310.68</v>
      </c>
      <c r="H129" s="245"/>
      <c r="I129" s="245">
        <v>101.2</v>
      </c>
      <c r="J129" s="245"/>
      <c r="K129" s="245">
        <v>105.56</v>
      </c>
      <c r="L129" s="245"/>
      <c r="M129" s="245">
        <v>115.35</v>
      </c>
      <c r="N129" s="245"/>
      <c r="O129" s="245">
        <v>92.49</v>
      </c>
      <c r="P129" s="245">
        <v>800</v>
      </c>
      <c r="Q129" s="245">
        <v>125.68</v>
      </c>
      <c r="R129" s="245"/>
      <c r="S129" s="245">
        <v>144.19</v>
      </c>
      <c r="T129" s="245"/>
      <c r="U129" s="245">
        <v>169.22</v>
      </c>
      <c r="V129" s="245"/>
      <c r="W129" s="245">
        <v>152.89</v>
      </c>
      <c r="X129" s="245"/>
      <c r="Y129" s="245">
        <v>168.13</v>
      </c>
      <c r="Z129" s="245"/>
      <c r="AA129" s="245">
        <v>185.54</v>
      </c>
      <c r="AB129" s="245"/>
      <c r="AC129" s="245">
        <f t="shared" si="13"/>
        <v>1792.26</v>
      </c>
      <c r="AD129" s="245">
        <f t="shared" si="14"/>
        <v>800</v>
      </c>
      <c r="AE129" s="112">
        <f t="shared" si="15"/>
        <v>-828.83</v>
      </c>
      <c r="AF129" s="1">
        <f t="shared" si="8"/>
        <v>675.78</v>
      </c>
      <c r="AG129" s="1">
        <f t="shared" si="9"/>
        <v>0</v>
      </c>
      <c r="AI129" s="1" t="e">
        <f>#REF!-U129+V129-W129+X129-Y129+Z129-AA129+AB129</f>
        <v>#REF!</v>
      </c>
    </row>
    <row r="130" customHeight="1" spans="1:35">
      <c r="A130" s="242">
        <v>126</v>
      </c>
      <c r="B130" s="242" t="s">
        <v>285</v>
      </c>
      <c r="C130" s="243" t="s">
        <v>286</v>
      </c>
      <c r="D130" s="225">
        <v>272.8</v>
      </c>
      <c r="E130" s="225">
        <v>26.66</v>
      </c>
      <c r="F130" s="225"/>
      <c r="G130" s="225">
        <v>75.63</v>
      </c>
      <c r="H130" s="245"/>
      <c r="I130" s="245">
        <v>51.15</v>
      </c>
      <c r="J130" s="245"/>
      <c r="K130" s="245">
        <v>62.57</v>
      </c>
      <c r="L130" s="245"/>
      <c r="M130" s="245">
        <v>64.2</v>
      </c>
      <c r="N130" s="245"/>
      <c r="O130" s="245">
        <v>72.9</v>
      </c>
      <c r="P130" s="245"/>
      <c r="Q130" s="245">
        <v>87.6</v>
      </c>
      <c r="R130" s="245"/>
      <c r="S130" s="245">
        <v>59.31</v>
      </c>
      <c r="T130" s="245"/>
      <c r="U130" s="245">
        <v>31.56</v>
      </c>
      <c r="V130" s="245">
        <v>400</v>
      </c>
      <c r="W130" s="245">
        <v>33.73</v>
      </c>
      <c r="X130" s="245"/>
      <c r="Y130" s="245">
        <v>50.06</v>
      </c>
      <c r="Z130" s="245"/>
      <c r="AA130" s="245">
        <v>47.34</v>
      </c>
      <c r="AB130" s="245"/>
      <c r="AC130" s="245">
        <f t="shared" si="13"/>
        <v>662.71</v>
      </c>
      <c r="AD130" s="245">
        <f t="shared" si="14"/>
        <v>400</v>
      </c>
      <c r="AE130" s="112">
        <f t="shared" si="15"/>
        <v>10.09</v>
      </c>
      <c r="AF130" s="1">
        <f t="shared" si="8"/>
        <v>162.69</v>
      </c>
      <c r="AG130" s="1">
        <f t="shared" si="9"/>
        <v>400</v>
      </c>
      <c r="AI130" s="1" t="e">
        <f>#REF!-U130+V130-W130+X130-Y130+Z130-AA130+AB130</f>
        <v>#REF!</v>
      </c>
    </row>
    <row r="131" customHeight="1" spans="1:35">
      <c r="A131" s="242">
        <v>127</v>
      </c>
      <c r="B131" s="242" t="s">
        <v>287</v>
      </c>
      <c r="C131" s="243" t="s">
        <v>288</v>
      </c>
      <c r="D131" s="225">
        <v>186.83</v>
      </c>
      <c r="E131" s="225">
        <v>38.09</v>
      </c>
      <c r="F131" s="225"/>
      <c r="G131" s="225">
        <v>87.06</v>
      </c>
      <c r="H131" s="245"/>
      <c r="I131" s="245">
        <v>56.04</v>
      </c>
      <c r="J131" s="245"/>
      <c r="K131" s="245">
        <v>88.14</v>
      </c>
      <c r="L131" s="245">
        <v>300</v>
      </c>
      <c r="M131" s="245">
        <v>89.23</v>
      </c>
      <c r="N131" s="245"/>
      <c r="O131" s="245">
        <v>70.73</v>
      </c>
      <c r="P131" s="245"/>
      <c r="Q131" s="245">
        <v>58.76</v>
      </c>
      <c r="R131" s="245"/>
      <c r="S131" s="245">
        <v>65.84</v>
      </c>
      <c r="T131" s="245">
        <v>500</v>
      </c>
      <c r="U131" s="245">
        <v>40.81</v>
      </c>
      <c r="V131" s="245"/>
      <c r="W131" s="245">
        <v>101.2</v>
      </c>
      <c r="X131" s="245"/>
      <c r="Y131" s="245">
        <v>73.45</v>
      </c>
      <c r="Z131" s="245"/>
      <c r="AA131" s="245">
        <v>56.04</v>
      </c>
      <c r="AB131" s="245"/>
      <c r="AC131" s="245">
        <f t="shared" si="13"/>
        <v>825.39</v>
      </c>
      <c r="AD131" s="245">
        <f t="shared" si="14"/>
        <v>800</v>
      </c>
      <c r="AE131" s="112">
        <f t="shared" si="15"/>
        <v>161.44</v>
      </c>
      <c r="AF131" s="1">
        <f t="shared" si="8"/>
        <v>271.5</v>
      </c>
      <c r="AG131" s="1">
        <f t="shared" si="9"/>
        <v>0</v>
      </c>
      <c r="AI131" s="1" t="e">
        <f>#REF!-U131+V131-W131+X131-Y131+Z131-AA131+AB131</f>
        <v>#REF!</v>
      </c>
    </row>
    <row r="132" customHeight="1" spans="1:35">
      <c r="A132" s="242">
        <v>128</v>
      </c>
      <c r="B132" s="242" t="s">
        <v>289</v>
      </c>
      <c r="C132" s="243" t="s">
        <v>290</v>
      </c>
      <c r="D132" s="225">
        <v>1.06</v>
      </c>
      <c r="E132" s="225">
        <v>52.24</v>
      </c>
      <c r="F132" s="225">
        <v>200</v>
      </c>
      <c r="G132" s="225">
        <v>120.25</v>
      </c>
      <c r="H132" s="245"/>
      <c r="I132" s="245">
        <v>96.85</v>
      </c>
      <c r="J132" s="245"/>
      <c r="K132" s="245">
        <v>90.87</v>
      </c>
      <c r="L132" s="245">
        <v>200</v>
      </c>
      <c r="M132" s="245">
        <v>40.26</v>
      </c>
      <c r="N132" s="245"/>
      <c r="O132" s="245">
        <v>41.35</v>
      </c>
      <c r="P132" s="245">
        <v>200</v>
      </c>
      <c r="Q132" s="245">
        <v>36.99</v>
      </c>
      <c r="R132" s="245"/>
      <c r="S132" s="245">
        <v>66.38</v>
      </c>
      <c r="T132" s="245"/>
      <c r="U132" s="245">
        <v>42.98</v>
      </c>
      <c r="V132" s="245"/>
      <c r="W132" s="245">
        <v>28.29</v>
      </c>
      <c r="X132" s="245">
        <v>200</v>
      </c>
      <c r="Y132" s="245">
        <v>37</v>
      </c>
      <c r="Z132" s="245"/>
      <c r="AA132" s="245">
        <v>58.76</v>
      </c>
      <c r="AB132" s="245">
        <v>100</v>
      </c>
      <c r="AC132" s="245">
        <f t="shared" si="13"/>
        <v>712.22</v>
      </c>
      <c r="AD132" s="245">
        <f t="shared" si="14"/>
        <v>900</v>
      </c>
      <c r="AE132" s="112">
        <f t="shared" si="15"/>
        <v>188.84</v>
      </c>
      <c r="AF132" s="1">
        <f t="shared" si="8"/>
        <v>167.03</v>
      </c>
      <c r="AG132" s="1">
        <f t="shared" si="9"/>
        <v>300</v>
      </c>
      <c r="AI132" s="1" t="e">
        <f>#REF!-U132+V132-W132+X132-Y132+Z132-AA132+AB132</f>
        <v>#REF!</v>
      </c>
    </row>
    <row r="133" customHeight="1" spans="1:35">
      <c r="A133" s="242">
        <v>129</v>
      </c>
      <c r="B133" s="242" t="s">
        <v>291</v>
      </c>
      <c r="C133" s="243" t="s">
        <v>292</v>
      </c>
      <c r="D133" s="225">
        <v>0</v>
      </c>
      <c r="E133" s="225"/>
      <c r="F133" s="225"/>
      <c r="G133" s="22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>
        <v>300</v>
      </c>
      <c r="S133" s="245"/>
      <c r="T133" s="245"/>
      <c r="U133" s="245">
        <v>19.04</v>
      </c>
      <c r="V133" s="245"/>
      <c r="W133" s="245">
        <v>7.62</v>
      </c>
      <c r="X133" s="245"/>
      <c r="Y133" s="245">
        <v>30.47</v>
      </c>
      <c r="Z133" s="245"/>
      <c r="AA133" s="245">
        <v>224.71</v>
      </c>
      <c r="AB133" s="245"/>
      <c r="AC133" s="245">
        <f t="shared" si="13"/>
        <v>281.84</v>
      </c>
      <c r="AD133" s="245">
        <f t="shared" si="14"/>
        <v>300</v>
      </c>
      <c r="AE133" s="112">
        <f t="shared" si="15"/>
        <v>18.16</v>
      </c>
      <c r="AF133" s="1">
        <f>U133+W133+Y133+AA133</f>
        <v>281.84</v>
      </c>
      <c r="AG133" s="1">
        <f>V133+X133+Z133+AB133</f>
        <v>0</v>
      </c>
      <c r="AI133" s="1" t="e">
        <f>#REF!-U133+V133-W133+X133-Y133+Z133-AA133+AB133</f>
        <v>#REF!</v>
      </c>
    </row>
    <row r="134" customHeight="1" spans="1:35">
      <c r="A134" s="242">
        <v>130</v>
      </c>
      <c r="B134" s="108"/>
      <c r="C134" s="108" t="s">
        <v>3</v>
      </c>
      <c r="D134" s="245">
        <f>SUM(D5:D133)</f>
        <v>25222.2</v>
      </c>
      <c r="E134" s="245">
        <f t="shared" ref="E134:AE134" si="16">SUM(E5:E133)</f>
        <v>8610.92</v>
      </c>
      <c r="F134" s="245">
        <f t="shared" si="16"/>
        <v>3300</v>
      </c>
      <c r="G134" s="245">
        <f t="shared" si="16"/>
        <v>11568.14</v>
      </c>
      <c r="H134" s="245">
        <f t="shared" si="16"/>
        <v>9100</v>
      </c>
      <c r="I134" s="245">
        <f t="shared" si="16"/>
        <v>9103.934</v>
      </c>
      <c r="J134" s="245">
        <f t="shared" si="16"/>
        <v>10300</v>
      </c>
      <c r="K134" s="245">
        <f t="shared" si="16"/>
        <v>9584.59</v>
      </c>
      <c r="L134" s="245">
        <f t="shared" si="16"/>
        <v>10918.62</v>
      </c>
      <c r="M134" s="245">
        <f t="shared" si="16"/>
        <v>9383.66</v>
      </c>
      <c r="N134" s="245">
        <f t="shared" si="16"/>
        <v>14300</v>
      </c>
      <c r="O134" s="245">
        <f t="shared" si="16"/>
        <v>8237.68</v>
      </c>
      <c r="P134" s="245">
        <f t="shared" si="16"/>
        <v>23645.67</v>
      </c>
      <c r="Q134" s="245">
        <f t="shared" si="16"/>
        <v>7992.82</v>
      </c>
      <c r="R134" s="245">
        <f t="shared" si="16"/>
        <v>8800</v>
      </c>
      <c r="S134" s="245">
        <f t="shared" si="16"/>
        <v>12140.5</v>
      </c>
      <c r="T134" s="245">
        <f t="shared" si="16"/>
        <v>6769.94</v>
      </c>
      <c r="U134" s="245">
        <f t="shared" si="16"/>
        <v>11495.2</v>
      </c>
      <c r="V134" s="245">
        <f t="shared" si="16"/>
        <v>6791.52</v>
      </c>
      <c r="W134" s="245">
        <f t="shared" si="16"/>
        <v>9951.04</v>
      </c>
      <c r="X134" s="245">
        <f t="shared" si="16"/>
        <v>6000</v>
      </c>
      <c r="Y134" s="245">
        <f t="shared" si="16"/>
        <v>9921.89</v>
      </c>
      <c r="Z134" s="245">
        <f t="shared" si="16"/>
        <v>7957.58</v>
      </c>
      <c r="AA134" s="245">
        <f t="shared" si="16"/>
        <v>11093.09</v>
      </c>
      <c r="AB134" s="245">
        <f t="shared" si="16"/>
        <v>12366.56</v>
      </c>
      <c r="AC134" s="245">
        <f t="shared" si="16"/>
        <v>119083.464</v>
      </c>
      <c r="AD134" s="245">
        <f t="shared" si="16"/>
        <v>120249.89</v>
      </c>
      <c r="AE134" s="245">
        <f t="shared" si="16"/>
        <v>26388.626</v>
      </c>
      <c r="AF134" s="1">
        <f>U134+W134+Y134+AA134</f>
        <v>42461.22</v>
      </c>
      <c r="AG134" s="1">
        <f>V134+X134+Z134+AB134</f>
        <v>33115.66</v>
      </c>
      <c r="AI134" s="1" t="e">
        <f>SUM(AI5:AI133)</f>
        <v>#REF!</v>
      </c>
    </row>
  </sheetData>
  <sheetProtection password="DE10" sheet="1" objects="1"/>
  <mergeCells count="4">
    <mergeCell ref="A1:AE1"/>
    <mergeCell ref="A2:D2"/>
    <mergeCell ref="Z2:AE2"/>
    <mergeCell ref="AF3:AG3"/>
  </mergeCells>
  <conditionalFormatting sqref="C5:C68">
    <cfRule type="cellIs" dxfId="0" priority="4" operator="equal">
      <formula>0</formula>
    </cfRule>
    <cfRule type="duplicateValues" dxfId="1" priority="3"/>
  </conditionalFormatting>
  <conditionalFormatting sqref="C71:C133">
    <cfRule type="cellIs" dxfId="0" priority="2" operator="equal">
      <formula>0</formula>
    </cfRule>
  </conditionalFormatting>
  <pageMargins left="0.393055555555556" right="0.393055555555556" top="0.393055555555556" bottom="0.393055555555556" header="0.298611111111111" footer="0.298611111111111"/>
  <pageSetup paperSize="9" scale="36" fitToHeight="0" orientation="landscape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34"/>
  <sheetViews>
    <sheetView zoomScale="70" zoomScaleNormal="70" workbookViewId="0">
      <selection activeCell="M10" sqref="M10"/>
    </sheetView>
  </sheetViews>
  <sheetFormatPr defaultColWidth="9" defaultRowHeight="35" customHeight="1"/>
  <cols>
    <col min="1" max="2" width="9" style="12"/>
    <col min="3" max="3" width="14.775" style="12" customWidth="1"/>
    <col min="4" max="4" width="18.6666666666667" style="12" customWidth="1"/>
    <col min="5" max="5" width="14.9166666666667" style="12" customWidth="1"/>
    <col min="6" max="28" width="11.8833333333333" style="12" customWidth="1"/>
    <col min="29" max="29" width="13.8083333333333" style="12" customWidth="1"/>
    <col min="30" max="30" width="13.4833333333333" style="12" customWidth="1"/>
    <col min="31" max="31" width="14.5" style="253" customWidth="1"/>
    <col min="32" max="32" width="15.1333333333333" style="11" hidden="1" customWidth="1"/>
    <col min="33" max="33" width="9.38333333333333" style="11" hidden="1" customWidth="1"/>
    <col min="34" max="34" width="9" style="11" hidden="1" customWidth="1"/>
    <col min="35" max="35" width="11.5" style="11" hidden="1" customWidth="1"/>
    <col min="36" max="37" width="9" style="11"/>
    <col min="38" max="16384" width="9" style="1"/>
  </cols>
  <sheetData>
    <row r="1" s="238" customFormat="1" customHeight="1" spans="1:37">
      <c r="A1" s="241" t="s">
        <v>298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54"/>
      <c r="AF1" s="255"/>
      <c r="AG1" s="255"/>
      <c r="AH1" s="255"/>
      <c r="AI1" s="255"/>
      <c r="AJ1" s="255"/>
      <c r="AK1" s="255"/>
    </row>
    <row r="2" s="2" customFormat="1" customHeight="1" spans="1:37">
      <c r="A2" s="45" t="s">
        <v>1</v>
      </c>
      <c r="B2" s="45"/>
      <c r="C2" s="45"/>
      <c r="D2" s="45"/>
      <c r="E2" s="72"/>
      <c r="F2" s="72"/>
      <c r="G2" s="7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74" t="s">
        <v>2</v>
      </c>
      <c r="AA2" s="174"/>
      <c r="AB2" s="174"/>
      <c r="AC2" s="174"/>
      <c r="AD2" s="174"/>
      <c r="AE2" s="256"/>
      <c r="AF2" s="11"/>
      <c r="AG2" s="11"/>
      <c r="AH2" s="11"/>
      <c r="AI2" s="11"/>
      <c r="AJ2" s="11"/>
      <c r="AK2" s="11"/>
    </row>
    <row r="3" s="2" customFormat="1" ht="17" customHeight="1" spans="1:37">
      <c r="A3" s="45"/>
      <c r="B3" s="45"/>
      <c r="C3" s="45"/>
      <c r="D3" s="45"/>
      <c r="E3" s="72"/>
      <c r="F3" s="72"/>
      <c r="G3" s="7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74"/>
      <c r="AA3" s="174"/>
      <c r="AB3" s="174"/>
      <c r="AC3" s="174"/>
      <c r="AD3" s="174"/>
      <c r="AE3" s="256"/>
      <c r="AF3" s="174" t="s">
        <v>3</v>
      </c>
      <c r="AG3" s="174"/>
      <c r="AH3" s="11"/>
      <c r="AI3" s="11"/>
      <c r="AJ3" s="11"/>
      <c r="AK3" s="11"/>
    </row>
    <row r="4" s="3" customFormat="1" ht="56" customHeight="1" spans="1:37">
      <c r="A4" s="48" t="s">
        <v>6</v>
      </c>
      <c r="B4" s="48" t="s">
        <v>7</v>
      </c>
      <c r="C4" s="48" t="s">
        <v>8</v>
      </c>
      <c r="D4" s="209" t="s">
        <v>9</v>
      </c>
      <c r="E4" s="209" t="s">
        <v>299</v>
      </c>
      <c r="F4" s="64" t="s">
        <v>11</v>
      </c>
      <c r="G4" s="64" t="s">
        <v>12</v>
      </c>
      <c r="H4" s="64" t="s">
        <v>13</v>
      </c>
      <c r="I4" s="64" t="s">
        <v>14</v>
      </c>
      <c r="J4" s="64" t="s">
        <v>15</v>
      </c>
      <c r="K4" s="64" t="s">
        <v>16</v>
      </c>
      <c r="L4" s="64" t="s">
        <v>17</v>
      </c>
      <c r="M4" s="64" t="s">
        <v>18</v>
      </c>
      <c r="N4" s="64" t="s">
        <v>19</v>
      </c>
      <c r="O4" s="64" t="s">
        <v>20</v>
      </c>
      <c r="P4" s="64" t="s">
        <v>21</v>
      </c>
      <c r="Q4" s="64" t="s">
        <v>22</v>
      </c>
      <c r="R4" s="64" t="s">
        <v>23</v>
      </c>
      <c r="S4" s="64" t="s">
        <v>24</v>
      </c>
      <c r="T4" s="64" t="s">
        <v>25</v>
      </c>
      <c r="U4" s="64" t="s">
        <v>26</v>
      </c>
      <c r="V4" s="64" t="s">
        <v>27</v>
      </c>
      <c r="W4" s="64" t="s">
        <v>28</v>
      </c>
      <c r="X4" s="64" t="s">
        <v>29</v>
      </c>
      <c r="Y4" s="64" t="s">
        <v>30</v>
      </c>
      <c r="Z4" s="64" t="s">
        <v>31</v>
      </c>
      <c r="AA4" s="209" t="s">
        <v>300</v>
      </c>
      <c r="AB4" s="64" t="s">
        <v>33</v>
      </c>
      <c r="AC4" s="64" t="s">
        <v>301</v>
      </c>
      <c r="AD4" s="64" t="s">
        <v>302</v>
      </c>
      <c r="AE4" s="175" t="s">
        <v>36</v>
      </c>
      <c r="AF4" s="64" t="s">
        <v>4</v>
      </c>
      <c r="AG4" s="64" t="s">
        <v>5</v>
      </c>
      <c r="AH4" s="12"/>
      <c r="AI4" s="12"/>
      <c r="AJ4" s="12"/>
      <c r="AK4" s="12"/>
    </row>
    <row r="5" s="1" customFormat="1" customHeight="1" spans="1:37">
      <c r="A5" s="242">
        <v>1</v>
      </c>
      <c r="B5" s="242" t="s">
        <v>37</v>
      </c>
      <c r="C5" s="243" t="s">
        <v>38</v>
      </c>
      <c r="D5" s="225">
        <v>289.67</v>
      </c>
      <c r="E5" s="225">
        <v>13.6</v>
      </c>
      <c r="F5" s="225"/>
      <c r="G5" s="225">
        <v>46.25</v>
      </c>
      <c r="H5" s="245"/>
      <c r="I5" s="245">
        <v>8.71</v>
      </c>
      <c r="J5" s="245"/>
      <c r="K5" s="245">
        <v>0</v>
      </c>
      <c r="L5" s="245"/>
      <c r="M5" s="245">
        <v>0</v>
      </c>
      <c r="N5" s="245"/>
      <c r="O5" s="245">
        <v>0.54</v>
      </c>
      <c r="P5" s="245"/>
      <c r="Q5" s="245">
        <v>0.54</v>
      </c>
      <c r="R5" s="245"/>
      <c r="S5" s="245"/>
      <c r="T5" s="245"/>
      <c r="U5" s="245">
        <v>0</v>
      </c>
      <c r="V5" s="245"/>
      <c r="W5" s="245">
        <v>0</v>
      </c>
      <c r="X5" s="245"/>
      <c r="Y5" s="245">
        <v>0.54</v>
      </c>
      <c r="Z5" s="245"/>
      <c r="AA5" s="245">
        <v>0</v>
      </c>
      <c r="AB5" s="245"/>
      <c r="AC5" s="245">
        <f>AA5+Y5+W5+U5+S5+Q5+O5+M5+K5+I5+G5+E5</f>
        <v>70.18</v>
      </c>
      <c r="AD5" s="245">
        <f>AB5+Z5+X5+V5+T5+R5+P5+N5+L5+J5+H5+F5</f>
        <v>0</v>
      </c>
      <c r="AE5" s="214">
        <f>D5+AD5-AC5</f>
        <v>219.49</v>
      </c>
      <c r="AF5" s="11">
        <f t="shared" ref="AF5:AF68" si="0">U5+W5+Y5+AA5</f>
        <v>0.54</v>
      </c>
      <c r="AG5" s="11">
        <f t="shared" ref="AG5:AG68" si="1">V5+X5+Z5+AB5</f>
        <v>0</v>
      </c>
      <c r="AH5" s="11"/>
      <c r="AI5" s="11" t="e">
        <f>#REF!-U5+V5-W5+X5-Y5+Z5-AA5+AB5</f>
        <v>#REF!</v>
      </c>
      <c r="AJ5" s="11"/>
      <c r="AK5" s="11"/>
    </row>
    <row r="6" s="1" customFormat="1" customHeight="1" spans="1:37">
      <c r="A6" s="242">
        <v>2</v>
      </c>
      <c r="B6" s="242" t="s">
        <v>39</v>
      </c>
      <c r="C6" s="243" t="s">
        <v>40</v>
      </c>
      <c r="D6" s="225">
        <v>59.51</v>
      </c>
      <c r="E6" s="225">
        <v>13.6</v>
      </c>
      <c r="F6" s="225"/>
      <c r="G6" s="225">
        <v>82.7</v>
      </c>
      <c r="H6" s="245"/>
      <c r="I6" s="245">
        <v>34.28</v>
      </c>
      <c r="J6" s="245"/>
      <c r="K6" s="245">
        <v>9.25</v>
      </c>
      <c r="L6" s="245"/>
      <c r="M6" s="245">
        <v>5.99</v>
      </c>
      <c r="N6" s="245"/>
      <c r="O6" s="245"/>
      <c r="P6" s="245"/>
      <c r="Q6" s="245">
        <v>16.87</v>
      </c>
      <c r="R6" s="245"/>
      <c r="S6" s="245">
        <v>80.53</v>
      </c>
      <c r="T6" s="245">
        <v>1000</v>
      </c>
      <c r="U6" s="245">
        <v>32.65</v>
      </c>
      <c r="V6" s="245"/>
      <c r="W6" s="245">
        <v>35.37</v>
      </c>
      <c r="X6" s="245"/>
      <c r="Y6" s="245">
        <v>35.37</v>
      </c>
      <c r="Z6" s="245"/>
      <c r="AA6" s="245">
        <v>35.37</v>
      </c>
      <c r="AB6" s="245"/>
      <c r="AC6" s="245">
        <f t="shared" ref="AC6:AC37" si="2">AA6+Y6+W6+U6+S6+Q6+O6+M6+K6+I6+G6+E6</f>
        <v>381.98</v>
      </c>
      <c r="AD6" s="245">
        <f t="shared" ref="AD6:AD37" si="3">AB6+Z6+X6+V6+T6+R6+P6+N6+L6+J6+H6+F6</f>
        <v>1000</v>
      </c>
      <c r="AE6" s="214">
        <f t="shared" ref="AE6:AE37" si="4">D6+AD6-AC6</f>
        <v>677.53</v>
      </c>
      <c r="AF6" s="11">
        <f t="shared" si="0"/>
        <v>138.76</v>
      </c>
      <c r="AG6" s="11">
        <f t="shared" si="1"/>
        <v>0</v>
      </c>
      <c r="AH6" s="11"/>
      <c r="AI6" s="11" t="e">
        <f>#REF!-U6+V6-W6+X6-Y6+Z6-AA6+AB6</f>
        <v>#REF!</v>
      </c>
      <c r="AJ6" s="11"/>
      <c r="AK6" s="11"/>
    </row>
    <row r="7" s="1" customFormat="1" customHeight="1" spans="1:37">
      <c r="A7" s="242">
        <v>3</v>
      </c>
      <c r="B7" s="242" t="s">
        <v>41</v>
      </c>
      <c r="C7" s="243" t="s">
        <v>42</v>
      </c>
      <c r="D7" s="225">
        <v>88.34</v>
      </c>
      <c r="E7" s="225">
        <v>0</v>
      </c>
      <c r="F7" s="225"/>
      <c r="G7" s="225">
        <v>113.72</v>
      </c>
      <c r="H7" s="245"/>
      <c r="I7" s="245">
        <v>0</v>
      </c>
      <c r="J7" s="245">
        <v>200</v>
      </c>
      <c r="K7" s="245">
        <v>0</v>
      </c>
      <c r="L7" s="245"/>
      <c r="M7" s="245">
        <v>0</v>
      </c>
      <c r="N7" s="245"/>
      <c r="O7" s="245">
        <v>0</v>
      </c>
      <c r="P7" s="245"/>
      <c r="Q7" s="245">
        <v>651.83</v>
      </c>
      <c r="R7" s="245"/>
      <c r="S7" s="245">
        <v>104.47</v>
      </c>
      <c r="T7" s="245">
        <v>900</v>
      </c>
      <c r="U7" s="245">
        <v>94.13</v>
      </c>
      <c r="V7" s="245"/>
      <c r="W7" s="245">
        <v>40.26</v>
      </c>
      <c r="X7" s="245"/>
      <c r="Y7" s="245">
        <v>51.69</v>
      </c>
      <c r="Z7" s="245"/>
      <c r="AA7" s="245">
        <v>137.11</v>
      </c>
      <c r="AB7" s="245">
        <v>300</v>
      </c>
      <c r="AC7" s="245">
        <f t="shared" si="2"/>
        <v>1193.21</v>
      </c>
      <c r="AD7" s="245">
        <f t="shared" si="3"/>
        <v>1400</v>
      </c>
      <c r="AE7" s="214">
        <f t="shared" si="4"/>
        <v>295.13</v>
      </c>
      <c r="AF7" s="11">
        <f t="shared" si="0"/>
        <v>323.19</v>
      </c>
      <c r="AG7" s="11">
        <f t="shared" si="1"/>
        <v>300</v>
      </c>
      <c r="AH7" s="11"/>
      <c r="AI7" s="11" t="e">
        <f>#REF!-U7+V7-W7+X7-Y7+Z7-AA7+AB7</f>
        <v>#REF!</v>
      </c>
      <c r="AJ7" s="11"/>
      <c r="AK7" s="11"/>
    </row>
    <row r="8" s="1" customFormat="1" customHeight="1" spans="1:37">
      <c r="A8" s="242">
        <v>4</v>
      </c>
      <c r="B8" s="242" t="s">
        <v>43</v>
      </c>
      <c r="C8" s="243" t="s">
        <v>44</v>
      </c>
      <c r="D8" s="225">
        <v>278.83</v>
      </c>
      <c r="E8" s="225">
        <v>70.19</v>
      </c>
      <c r="F8" s="225"/>
      <c r="G8" s="225">
        <v>131.67</v>
      </c>
      <c r="H8" s="245">
        <v>500</v>
      </c>
      <c r="I8" s="245">
        <v>29.38</v>
      </c>
      <c r="J8" s="245"/>
      <c r="K8" s="245">
        <v>51.69</v>
      </c>
      <c r="L8" s="245"/>
      <c r="M8" s="245">
        <v>41.9</v>
      </c>
      <c r="N8" s="245"/>
      <c r="O8" s="245">
        <v>35.91</v>
      </c>
      <c r="P8" s="245"/>
      <c r="Q8" s="245">
        <v>46.79</v>
      </c>
      <c r="R8" s="245"/>
      <c r="S8" s="245">
        <v>46.79</v>
      </c>
      <c r="T8" s="245"/>
      <c r="U8" s="245">
        <v>50.6</v>
      </c>
      <c r="V8" s="245">
        <v>500</v>
      </c>
      <c r="W8" s="245">
        <v>39.72</v>
      </c>
      <c r="X8" s="245"/>
      <c r="Y8" s="245">
        <v>49.51</v>
      </c>
      <c r="Z8" s="245"/>
      <c r="AA8" s="245">
        <v>53.87</v>
      </c>
      <c r="AB8" s="245"/>
      <c r="AC8" s="245">
        <f t="shared" si="2"/>
        <v>648.02</v>
      </c>
      <c r="AD8" s="245">
        <f t="shared" si="3"/>
        <v>1000</v>
      </c>
      <c r="AE8" s="214">
        <f t="shared" si="4"/>
        <v>630.81</v>
      </c>
      <c r="AF8" s="11">
        <f t="shared" si="0"/>
        <v>193.7</v>
      </c>
      <c r="AG8" s="11">
        <f t="shared" si="1"/>
        <v>500</v>
      </c>
      <c r="AH8" s="11"/>
      <c r="AI8" s="11" t="e">
        <f>#REF!-U8+V8-W8+X8-Y8+Z8-AA8+AB8</f>
        <v>#REF!</v>
      </c>
      <c r="AJ8" s="11"/>
      <c r="AK8" s="11"/>
    </row>
    <row r="9" s="1" customFormat="1" customHeight="1" spans="1:37">
      <c r="A9" s="242">
        <v>5</v>
      </c>
      <c r="B9" s="242" t="s">
        <v>45</v>
      </c>
      <c r="C9" s="243" t="s">
        <v>46</v>
      </c>
      <c r="D9" s="225">
        <v>215.12</v>
      </c>
      <c r="E9" s="225">
        <v>39.72</v>
      </c>
      <c r="F9" s="225"/>
      <c r="G9" s="225">
        <v>84.34</v>
      </c>
      <c r="H9" s="245"/>
      <c r="I9" s="245">
        <v>35.37</v>
      </c>
      <c r="J9" s="245"/>
      <c r="K9" s="245">
        <v>48.97</v>
      </c>
      <c r="L9" s="245"/>
      <c r="M9" s="245">
        <v>53.87</v>
      </c>
      <c r="N9" s="245">
        <v>1000</v>
      </c>
      <c r="O9" s="245">
        <v>52.78</v>
      </c>
      <c r="P9" s="245"/>
      <c r="Q9" s="245">
        <v>69.1</v>
      </c>
      <c r="R9" s="245"/>
      <c r="S9" s="245">
        <v>87.06</v>
      </c>
      <c r="T9" s="245"/>
      <c r="U9" s="245">
        <v>83.25</v>
      </c>
      <c r="V9" s="245"/>
      <c r="W9" s="245">
        <v>57.67</v>
      </c>
      <c r="X9" s="245"/>
      <c r="Y9" s="245">
        <v>99.03</v>
      </c>
      <c r="Z9" s="245"/>
      <c r="AA9" s="245">
        <v>181.19</v>
      </c>
      <c r="AB9" s="245"/>
      <c r="AC9" s="245">
        <f t="shared" si="2"/>
        <v>892.35</v>
      </c>
      <c r="AD9" s="245">
        <f t="shared" si="3"/>
        <v>1000</v>
      </c>
      <c r="AE9" s="214">
        <f t="shared" si="4"/>
        <v>322.77</v>
      </c>
      <c r="AF9" s="11">
        <f t="shared" si="0"/>
        <v>421.14</v>
      </c>
      <c r="AG9" s="11">
        <f t="shared" si="1"/>
        <v>0</v>
      </c>
      <c r="AH9" s="11"/>
      <c r="AI9" s="11" t="e">
        <f>#REF!-U9+V9-W9+X9-Y9+Z9-AA9+AB9</f>
        <v>#REF!</v>
      </c>
      <c r="AJ9" s="11"/>
      <c r="AK9" s="11"/>
    </row>
    <row r="10" s="1" customFormat="1" customHeight="1" spans="1:37">
      <c r="A10" s="242">
        <v>6</v>
      </c>
      <c r="B10" s="242" t="s">
        <v>47</v>
      </c>
      <c r="C10" s="243" t="s">
        <v>48</v>
      </c>
      <c r="D10" s="225">
        <v>308.87</v>
      </c>
      <c r="E10" s="225">
        <v>50.06</v>
      </c>
      <c r="F10" s="225"/>
      <c r="G10" s="225">
        <v>149.63</v>
      </c>
      <c r="H10" s="245"/>
      <c r="I10" s="245">
        <v>31.01</v>
      </c>
      <c r="J10" s="245"/>
      <c r="K10" s="245">
        <v>0</v>
      </c>
      <c r="L10" s="245"/>
      <c r="M10" s="245">
        <v>4.35</v>
      </c>
      <c r="N10" s="245"/>
      <c r="O10" s="245">
        <v>16.32</v>
      </c>
      <c r="P10" s="245"/>
      <c r="Q10" s="245">
        <v>70.19</v>
      </c>
      <c r="R10" s="245">
        <v>300</v>
      </c>
      <c r="S10" s="245">
        <v>132.22</v>
      </c>
      <c r="T10" s="245">
        <v>200</v>
      </c>
      <c r="U10" s="245">
        <v>27.75</v>
      </c>
      <c r="V10" s="245"/>
      <c r="W10" s="245">
        <v>11.43</v>
      </c>
      <c r="X10" s="245"/>
      <c r="Y10" s="245">
        <v>10.34</v>
      </c>
      <c r="Z10" s="245"/>
      <c r="AA10" s="245">
        <v>4.9</v>
      </c>
      <c r="AB10" s="245"/>
      <c r="AC10" s="245">
        <f t="shared" si="2"/>
        <v>508.2</v>
      </c>
      <c r="AD10" s="245">
        <f t="shared" si="3"/>
        <v>500</v>
      </c>
      <c r="AE10" s="214">
        <f t="shared" si="4"/>
        <v>300.67</v>
      </c>
      <c r="AF10" s="11">
        <f t="shared" si="0"/>
        <v>54.42</v>
      </c>
      <c r="AG10" s="11">
        <f t="shared" si="1"/>
        <v>0</v>
      </c>
      <c r="AH10" s="11"/>
      <c r="AI10" s="11" t="e">
        <f>#REF!-U10+V10-W10+X10-Y10+Z10-AA10+AB10</f>
        <v>#REF!</v>
      </c>
      <c r="AJ10" s="11"/>
      <c r="AK10" s="11"/>
    </row>
    <row r="11" s="1" customFormat="1" customHeight="1" spans="1:37">
      <c r="A11" s="242">
        <v>7</v>
      </c>
      <c r="B11" s="242" t="s">
        <v>49</v>
      </c>
      <c r="C11" s="243" t="s">
        <v>50</v>
      </c>
      <c r="D11" s="225">
        <v>135.06</v>
      </c>
      <c r="E11" s="225">
        <v>188.26</v>
      </c>
      <c r="F11" s="225">
        <v>1000</v>
      </c>
      <c r="G11" s="225">
        <v>214.38</v>
      </c>
      <c r="H11" s="245"/>
      <c r="I11" s="245">
        <v>74.54</v>
      </c>
      <c r="J11" s="245"/>
      <c r="K11" s="245">
        <v>118.61</v>
      </c>
      <c r="L11" s="245"/>
      <c r="M11" s="245">
        <v>87.06</v>
      </c>
      <c r="N11" s="245">
        <v>1000</v>
      </c>
      <c r="O11" s="245">
        <v>141.47</v>
      </c>
      <c r="P11" s="245"/>
      <c r="Q11" s="245">
        <v>254.64</v>
      </c>
      <c r="R11" s="245"/>
      <c r="S11" s="245">
        <v>196.42</v>
      </c>
      <c r="T11" s="245"/>
      <c r="U11" s="245">
        <v>203.49</v>
      </c>
      <c r="V11" s="245"/>
      <c r="W11" s="245">
        <v>128.41</v>
      </c>
      <c r="X11" s="245">
        <v>500</v>
      </c>
      <c r="Y11" s="245">
        <v>134.94</v>
      </c>
      <c r="Z11" s="245"/>
      <c r="AA11" s="245">
        <v>187.71</v>
      </c>
      <c r="AB11" s="245"/>
      <c r="AC11" s="245">
        <f t="shared" si="2"/>
        <v>1929.93</v>
      </c>
      <c r="AD11" s="245">
        <f t="shared" si="3"/>
        <v>2500</v>
      </c>
      <c r="AE11" s="214">
        <f t="shared" si="4"/>
        <v>705.13</v>
      </c>
      <c r="AF11" s="11">
        <f t="shared" si="0"/>
        <v>654.55</v>
      </c>
      <c r="AG11" s="11">
        <f t="shared" si="1"/>
        <v>500</v>
      </c>
      <c r="AH11" s="11"/>
      <c r="AI11" s="11" t="e">
        <f>#REF!-U11+V11-W11+X11-Y11+Z11-AA11+AB11</f>
        <v>#REF!</v>
      </c>
      <c r="AJ11" s="11"/>
      <c r="AK11" s="11"/>
    </row>
    <row r="12" s="1" customFormat="1" customHeight="1" spans="1:37">
      <c r="A12" s="242">
        <v>8</v>
      </c>
      <c r="B12" s="242" t="s">
        <v>51</v>
      </c>
      <c r="C12" s="243" t="s">
        <v>52</v>
      </c>
      <c r="D12" s="225">
        <v>-132.11</v>
      </c>
      <c r="E12" s="225">
        <v>150.17</v>
      </c>
      <c r="F12" s="225">
        <v>500</v>
      </c>
      <c r="G12" s="225">
        <v>410.25</v>
      </c>
      <c r="H12" s="245"/>
      <c r="I12" s="245">
        <v>91.41</v>
      </c>
      <c r="J12" s="245">
        <v>500</v>
      </c>
      <c r="K12" s="245">
        <v>132.76</v>
      </c>
      <c r="L12" s="245"/>
      <c r="M12" s="245">
        <v>118.07</v>
      </c>
      <c r="N12" s="245">
        <v>300</v>
      </c>
      <c r="O12" s="245">
        <v>115.35</v>
      </c>
      <c r="P12" s="245"/>
      <c r="Q12" s="245">
        <v>152.89</v>
      </c>
      <c r="R12" s="245"/>
      <c r="S12" s="245">
        <v>176.83</v>
      </c>
      <c r="T12" s="245">
        <v>500</v>
      </c>
      <c r="U12" s="245">
        <v>162.69</v>
      </c>
      <c r="V12" s="245"/>
      <c r="W12" s="245">
        <v>116.98</v>
      </c>
      <c r="X12" s="245">
        <v>500</v>
      </c>
      <c r="Y12" s="245">
        <v>132.22</v>
      </c>
      <c r="Z12" s="245"/>
      <c r="AA12" s="245">
        <v>166.49</v>
      </c>
      <c r="AB12" s="245">
        <v>300</v>
      </c>
      <c r="AC12" s="245">
        <f t="shared" si="2"/>
        <v>1926.11</v>
      </c>
      <c r="AD12" s="245">
        <f t="shared" si="3"/>
        <v>2600</v>
      </c>
      <c r="AE12" s="214">
        <f t="shared" si="4"/>
        <v>541.78</v>
      </c>
      <c r="AF12" s="11">
        <f t="shared" si="0"/>
        <v>578.38</v>
      </c>
      <c r="AG12" s="11">
        <f t="shared" si="1"/>
        <v>800</v>
      </c>
      <c r="AH12" s="11"/>
      <c r="AI12" s="11" t="e">
        <f>#REF!-U12+V12-W12+X12-Y12+Z12-AA12+AB12</f>
        <v>#REF!</v>
      </c>
      <c r="AJ12" s="11"/>
      <c r="AK12" s="11"/>
    </row>
    <row r="13" s="1" customFormat="1" customHeight="1" spans="1:37">
      <c r="A13" s="242">
        <v>9</v>
      </c>
      <c r="B13" s="242" t="s">
        <v>53</v>
      </c>
      <c r="C13" s="243" t="s">
        <v>54</v>
      </c>
      <c r="D13" s="225">
        <v>-210.13</v>
      </c>
      <c r="E13" s="225">
        <v>102.83</v>
      </c>
      <c r="F13" s="225">
        <v>300</v>
      </c>
      <c r="G13" s="225">
        <v>339.52</v>
      </c>
      <c r="H13" s="245"/>
      <c r="I13" s="245">
        <v>148</v>
      </c>
      <c r="J13" s="245">
        <v>1000</v>
      </c>
      <c r="K13" s="245">
        <v>160.51</v>
      </c>
      <c r="L13" s="245"/>
      <c r="M13" s="245">
        <v>50.6</v>
      </c>
      <c r="N13" s="245"/>
      <c r="O13" s="245">
        <v>53.87</v>
      </c>
      <c r="P13" s="245"/>
      <c r="Q13" s="245">
        <v>166.49</v>
      </c>
      <c r="R13" s="245"/>
      <c r="S13" s="245">
        <v>227.43</v>
      </c>
      <c r="T13" s="245"/>
      <c r="U13" s="245">
        <v>99.03</v>
      </c>
      <c r="V13" s="245">
        <v>500</v>
      </c>
      <c r="W13" s="245">
        <v>83.79</v>
      </c>
      <c r="X13" s="245"/>
      <c r="Y13" s="245">
        <v>72.91</v>
      </c>
      <c r="Z13" s="245"/>
      <c r="AA13" s="245">
        <v>140.92</v>
      </c>
      <c r="AB13" s="245"/>
      <c r="AC13" s="245">
        <f t="shared" si="2"/>
        <v>1645.9</v>
      </c>
      <c r="AD13" s="245">
        <f t="shared" si="3"/>
        <v>1800</v>
      </c>
      <c r="AE13" s="214">
        <f t="shared" si="4"/>
        <v>-56.03</v>
      </c>
      <c r="AF13" s="11">
        <f t="shared" si="0"/>
        <v>396.65</v>
      </c>
      <c r="AG13" s="11">
        <f t="shared" si="1"/>
        <v>500</v>
      </c>
      <c r="AH13" s="11"/>
      <c r="AI13" s="11" t="e">
        <f>#REF!-U13+V13-W13+X13-Y13+Z13-AA13+AB13</f>
        <v>#REF!</v>
      </c>
      <c r="AJ13" s="11"/>
      <c r="AK13" s="11"/>
    </row>
    <row r="14" s="1" customFormat="1" customHeight="1" spans="1:37">
      <c r="A14" s="242">
        <v>10</v>
      </c>
      <c r="B14" s="242" t="s">
        <v>55</v>
      </c>
      <c r="C14" s="243" t="s">
        <v>56</v>
      </c>
      <c r="D14" s="225">
        <v>300</v>
      </c>
      <c r="E14" s="225">
        <v>0</v>
      </c>
      <c r="F14" s="225"/>
      <c r="G14" s="225">
        <v>0</v>
      </c>
      <c r="H14" s="245"/>
      <c r="I14" s="245">
        <v>0</v>
      </c>
      <c r="J14" s="245"/>
      <c r="K14" s="245">
        <v>0</v>
      </c>
      <c r="L14" s="245"/>
      <c r="M14" s="245">
        <v>0</v>
      </c>
      <c r="N14" s="245"/>
      <c r="O14" s="245">
        <v>0</v>
      </c>
      <c r="P14" s="245"/>
      <c r="Q14" s="245">
        <v>0</v>
      </c>
      <c r="R14" s="245"/>
      <c r="S14" s="245">
        <v>0</v>
      </c>
      <c r="T14" s="245"/>
      <c r="U14" s="245">
        <v>0</v>
      </c>
      <c r="V14" s="245"/>
      <c r="W14" s="245">
        <v>0</v>
      </c>
      <c r="X14" s="245"/>
      <c r="Y14" s="245">
        <v>0</v>
      </c>
      <c r="Z14" s="245"/>
      <c r="AA14" s="245">
        <v>0</v>
      </c>
      <c r="AB14" s="245"/>
      <c r="AC14" s="245">
        <f t="shared" si="2"/>
        <v>0</v>
      </c>
      <c r="AD14" s="245">
        <f t="shared" si="3"/>
        <v>0</v>
      </c>
      <c r="AE14" s="214">
        <f t="shared" si="4"/>
        <v>300</v>
      </c>
      <c r="AF14" s="11">
        <f t="shared" si="0"/>
        <v>0</v>
      </c>
      <c r="AG14" s="11">
        <f t="shared" si="1"/>
        <v>0</v>
      </c>
      <c r="AH14" s="11"/>
      <c r="AI14" s="11" t="e">
        <f>#REF!-U14+V14-W14+X14-Y14+Z14-AA14+AB14</f>
        <v>#REF!</v>
      </c>
      <c r="AJ14" s="11"/>
      <c r="AK14" s="11"/>
    </row>
    <row r="15" s="1" customFormat="1" customHeight="1" spans="1:37">
      <c r="A15" s="242">
        <v>11</v>
      </c>
      <c r="B15" s="242" t="s">
        <v>57</v>
      </c>
      <c r="C15" s="243" t="s">
        <v>58</v>
      </c>
      <c r="D15" s="225">
        <v>300</v>
      </c>
      <c r="E15" s="225">
        <v>0</v>
      </c>
      <c r="F15" s="225"/>
      <c r="G15" s="225">
        <v>0</v>
      </c>
      <c r="H15" s="245"/>
      <c r="I15" s="245">
        <v>0</v>
      </c>
      <c r="J15" s="245"/>
      <c r="K15" s="245">
        <v>0</v>
      </c>
      <c r="L15" s="245"/>
      <c r="M15" s="245">
        <v>0</v>
      </c>
      <c r="N15" s="245"/>
      <c r="O15" s="245">
        <v>0</v>
      </c>
      <c r="P15" s="245"/>
      <c r="Q15" s="245">
        <v>0</v>
      </c>
      <c r="R15" s="245"/>
      <c r="S15" s="245">
        <v>0</v>
      </c>
      <c r="T15" s="245"/>
      <c r="U15" s="245">
        <v>0</v>
      </c>
      <c r="V15" s="245"/>
      <c r="W15" s="245">
        <v>0</v>
      </c>
      <c r="X15" s="245"/>
      <c r="Y15" s="245">
        <v>0</v>
      </c>
      <c r="Z15" s="245"/>
      <c r="AA15" s="245">
        <v>0</v>
      </c>
      <c r="AB15" s="245"/>
      <c r="AC15" s="245">
        <f t="shared" si="2"/>
        <v>0</v>
      </c>
      <c r="AD15" s="245">
        <f t="shared" si="3"/>
        <v>0</v>
      </c>
      <c r="AE15" s="214">
        <f t="shared" si="4"/>
        <v>300</v>
      </c>
      <c r="AF15" s="11">
        <f t="shared" si="0"/>
        <v>0</v>
      </c>
      <c r="AG15" s="11">
        <f t="shared" si="1"/>
        <v>0</v>
      </c>
      <c r="AH15" s="11"/>
      <c r="AI15" s="11" t="e">
        <f>#REF!-U15+V15-W15+X15-Y15+Z15-AA15+AB15</f>
        <v>#REF!</v>
      </c>
      <c r="AJ15" s="11"/>
      <c r="AK15" s="11"/>
    </row>
    <row r="16" s="1" customFormat="1" customHeight="1" spans="1:37">
      <c r="A16" s="242">
        <v>12</v>
      </c>
      <c r="B16" s="242" t="s">
        <v>59</v>
      </c>
      <c r="C16" s="243" t="s">
        <v>60</v>
      </c>
      <c r="D16" s="225">
        <v>49.9500000000003</v>
      </c>
      <c r="E16" s="225">
        <v>204.04</v>
      </c>
      <c r="F16" s="225">
        <v>300</v>
      </c>
      <c r="G16" s="225">
        <v>336.25</v>
      </c>
      <c r="H16" s="245">
        <v>300</v>
      </c>
      <c r="I16" s="245">
        <v>79.44</v>
      </c>
      <c r="J16" s="245"/>
      <c r="K16" s="245">
        <v>184.45</v>
      </c>
      <c r="L16" s="245"/>
      <c r="M16" s="245">
        <v>138.75</v>
      </c>
      <c r="N16" s="245">
        <v>500</v>
      </c>
      <c r="O16" s="245">
        <v>226.89</v>
      </c>
      <c r="P16" s="245"/>
      <c r="Q16" s="245">
        <v>321.56</v>
      </c>
      <c r="R16" s="245"/>
      <c r="S16" s="245">
        <v>285.11</v>
      </c>
      <c r="T16" s="245">
        <v>1300</v>
      </c>
      <c r="U16" s="245">
        <v>305.78</v>
      </c>
      <c r="V16" s="245"/>
      <c r="W16" s="245">
        <v>155.61</v>
      </c>
      <c r="X16" s="245"/>
      <c r="Y16" s="245">
        <v>195.33</v>
      </c>
      <c r="Z16" s="245">
        <v>300</v>
      </c>
      <c r="AA16" s="245">
        <v>217.1</v>
      </c>
      <c r="AB16" s="245">
        <v>500</v>
      </c>
      <c r="AC16" s="245">
        <f t="shared" si="2"/>
        <v>2650.31</v>
      </c>
      <c r="AD16" s="245">
        <f t="shared" si="3"/>
        <v>3200</v>
      </c>
      <c r="AE16" s="214">
        <f t="shared" si="4"/>
        <v>599.640000000001</v>
      </c>
      <c r="AF16" s="11">
        <f t="shared" si="0"/>
        <v>873.82</v>
      </c>
      <c r="AG16" s="11">
        <f t="shared" si="1"/>
        <v>800</v>
      </c>
      <c r="AH16" s="11"/>
      <c r="AI16" s="11" t="e">
        <f>#REF!-U16+V16-W16+X16-Y16+Z16-AA16+AB16</f>
        <v>#REF!</v>
      </c>
      <c r="AJ16" s="11"/>
      <c r="AK16" s="11"/>
    </row>
    <row r="17" s="1" customFormat="1" customHeight="1" spans="1:37">
      <c r="A17" s="242">
        <v>13</v>
      </c>
      <c r="B17" s="242" t="s">
        <v>61</v>
      </c>
      <c r="C17" s="243" t="s">
        <v>62</v>
      </c>
      <c r="D17" s="225">
        <v>314.91</v>
      </c>
      <c r="E17" s="225">
        <v>213.83</v>
      </c>
      <c r="F17" s="225"/>
      <c r="G17" s="225">
        <v>387.94</v>
      </c>
      <c r="H17" s="245"/>
      <c r="I17" s="245">
        <v>172.48</v>
      </c>
      <c r="J17" s="245">
        <v>1000</v>
      </c>
      <c r="K17" s="245">
        <v>230.15</v>
      </c>
      <c r="L17" s="245"/>
      <c r="M17" s="245">
        <v>157.79</v>
      </c>
      <c r="N17" s="245"/>
      <c r="O17" s="245">
        <v>84.88</v>
      </c>
      <c r="P17" s="245"/>
      <c r="Q17" s="245">
        <v>146.36</v>
      </c>
      <c r="R17" s="245">
        <v>500</v>
      </c>
      <c r="S17" s="245">
        <v>174.66</v>
      </c>
      <c r="T17" s="245"/>
      <c r="U17" s="245">
        <v>145.82</v>
      </c>
      <c r="V17" s="245">
        <v>500</v>
      </c>
      <c r="W17" s="245">
        <v>108.28</v>
      </c>
      <c r="X17" s="245"/>
      <c r="Y17" s="245">
        <v>144.19</v>
      </c>
      <c r="Z17" s="245"/>
      <c r="AA17" s="245">
        <v>174.66</v>
      </c>
      <c r="AB17" s="245">
        <v>600</v>
      </c>
      <c r="AC17" s="245">
        <f t="shared" si="2"/>
        <v>2141.04</v>
      </c>
      <c r="AD17" s="245">
        <f t="shared" si="3"/>
        <v>2600</v>
      </c>
      <c r="AE17" s="214">
        <f t="shared" si="4"/>
        <v>773.869999999999</v>
      </c>
      <c r="AF17" s="11">
        <f t="shared" si="0"/>
        <v>572.95</v>
      </c>
      <c r="AG17" s="11">
        <f t="shared" si="1"/>
        <v>1100</v>
      </c>
      <c r="AH17" s="11"/>
      <c r="AI17" s="11" t="e">
        <f>#REF!-U17+V17-W17+X17-Y17+Z17-AA17+AB17</f>
        <v>#REF!</v>
      </c>
      <c r="AJ17" s="11"/>
      <c r="AK17" s="11"/>
    </row>
    <row r="18" s="1" customFormat="1" customHeight="1" spans="1:37">
      <c r="A18" s="242">
        <v>14</v>
      </c>
      <c r="B18" s="242" t="s">
        <v>63</v>
      </c>
      <c r="C18" s="243" t="s">
        <v>64</v>
      </c>
      <c r="D18" s="225">
        <v>300</v>
      </c>
      <c r="E18" s="225">
        <v>0</v>
      </c>
      <c r="F18" s="225"/>
      <c r="G18" s="225">
        <v>0</v>
      </c>
      <c r="H18" s="245"/>
      <c r="I18" s="245">
        <v>0</v>
      </c>
      <c r="J18" s="245"/>
      <c r="K18" s="245">
        <v>0</v>
      </c>
      <c r="L18" s="245"/>
      <c r="M18" s="245">
        <v>0</v>
      </c>
      <c r="N18" s="245"/>
      <c r="O18" s="245">
        <v>0</v>
      </c>
      <c r="P18" s="245"/>
      <c r="Q18" s="245">
        <v>0</v>
      </c>
      <c r="R18" s="245"/>
      <c r="S18" s="245">
        <v>0</v>
      </c>
      <c r="T18" s="245"/>
      <c r="U18" s="245">
        <v>0</v>
      </c>
      <c r="V18" s="245"/>
      <c r="W18" s="245">
        <v>0</v>
      </c>
      <c r="X18" s="245"/>
      <c r="Y18" s="245">
        <v>0</v>
      </c>
      <c r="Z18" s="245"/>
      <c r="AA18" s="245">
        <v>0</v>
      </c>
      <c r="AB18" s="245"/>
      <c r="AC18" s="245">
        <f t="shared" si="2"/>
        <v>0</v>
      </c>
      <c r="AD18" s="245">
        <f t="shared" si="3"/>
        <v>0</v>
      </c>
      <c r="AE18" s="214">
        <f t="shared" si="4"/>
        <v>300</v>
      </c>
      <c r="AF18" s="11">
        <f t="shared" si="0"/>
        <v>0</v>
      </c>
      <c r="AG18" s="11">
        <f t="shared" si="1"/>
        <v>0</v>
      </c>
      <c r="AH18" s="11"/>
      <c r="AI18" s="11" t="e">
        <f>#REF!-U18+V18-W18+X18-Y18+Z18-AA18+AB18</f>
        <v>#REF!</v>
      </c>
      <c r="AJ18" s="11"/>
      <c r="AK18" s="11"/>
    </row>
    <row r="19" s="1" customFormat="1" customHeight="1" spans="1:37">
      <c r="A19" s="242">
        <v>15</v>
      </c>
      <c r="B19" s="242" t="s">
        <v>65</v>
      </c>
      <c r="C19" s="243" t="s">
        <v>66</v>
      </c>
      <c r="D19" s="225">
        <v>300</v>
      </c>
      <c r="E19" s="225">
        <v>0</v>
      </c>
      <c r="F19" s="225"/>
      <c r="G19" s="225">
        <v>0</v>
      </c>
      <c r="H19" s="245"/>
      <c r="I19" s="245">
        <v>0</v>
      </c>
      <c r="J19" s="245"/>
      <c r="K19" s="245">
        <v>0</v>
      </c>
      <c r="L19" s="245"/>
      <c r="M19" s="245">
        <v>0</v>
      </c>
      <c r="N19" s="245"/>
      <c r="O19" s="245">
        <v>0</v>
      </c>
      <c r="P19" s="245"/>
      <c r="Q19" s="245">
        <v>0</v>
      </c>
      <c r="R19" s="245"/>
      <c r="S19" s="245">
        <v>0</v>
      </c>
      <c r="T19" s="245"/>
      <c r="U19" s="245">
        <v>0</v>
      </c>
      <c r="V19" s="245"/>
      <c r="W19" s="245">
        <v>0</v>
      </c>
      <c r="X19" s="245"/>
      <c r="Y19" s="245">
        <v>0</v>
      </c>
      <c r="Z19" s="245"/>
      <c r="AA19" s="245">
        <v>0</v>
      </c>
      <c r="AB19" s="245"/>
      <c r="AC19" s="245">
        <f t="shared" si="2"/>
        <v>0</v>
      </c>
      <c r="AD19" s="245">
        <f t="shared" si="3"/>
        <v>0</v>
      </c>
      <c r="AE19" s="214">
        <f t="shared" si="4"/>
        <v>300</v>
      </c>
      <c r="AF19" s="11">
        <f t="shared" si="0"/>
        <v>0</v>
      </c>
      <c r="AG19" s="11">
        <f t="shared" si="1"/>
        <v>0</v>
      </c>
      <c r="AH19" s="11"/>
      <c r="AI19" s="11" t="e">
        <f>#REF!-U19+V19-W19+X19-Y19+Z19-AA19+AB19</f>
        <v>#REF!</v>
      </c>
      <c r="AJ19" s="11"/>
      <c r="AK19" s="11"/>
    </row>
    <row r="20" s="1" customFormat="1" customHeight="1" spans="1:37">
      <c r="A20" s="242">
        <v>16</v>
      </c>
      <c r="B20" s="242" t="s">
        <v>67</v>
      </c>
      <c r="C20" s="243" t="s">
        <v>68</v>
      </c>
      <c r="D20" s="225">
        <v>303.83</v>
      </c>
      <c r="E20" s="225">
        <v>208.39</v>
      </c>
      <c r="F20" s="225"/>
      <c r="G20" s="225">
        <v>280.21</v>
      </c>
      <c r="H20" s="245"/>
      <c r="I20" s="245">
        <v>131.67</v>
      </c>
      <c r="J20" s="245">
        <v>600</v>
      </c>
      <c r="K20" s="245">
        <v>202.41</v>
      </c>
      <c r="L20" s="245"/>
      <c r="M20" s="245">
        <v>157.79</v>
      </c>
      <c r="N20" s="245"/>
      <c r="O20" s="245">
        <v>122.42</v>
      </c>
      <c r="P20" s="245"/>
      <c r="Q20" s="245">
        <v>144.19</v>
      </c>
      <c r="R20" s="245">
        <v>500</v>
      </c>
      <c r="S20" s="245">
        <v>116.44</v>
      </c>
      <c r="T20" s="245"/>
      <c r="U20" s="245">
        <v>142.01</v>
      </c>
      <c r="V20" s="245">
        <v>500</v>
      </c>
      <c r="W20" s="245">
        <v>126.78</v>
      </c>
      <c r="X20" s="245"/>
      <c r="Y20" s="245">
        <v>157.24</v>
      </c>
      <c r="Z20" s="245"/>
      <c r="AA20" s="245">
        <v>178.46</v>
      </c>
      <c r="AB20" s="245">
        <v>600</v>
      </c>
      <c r="AC20" s="245">
        <f t="shared" si="2"/>
        <v>1968.01</v>
      </c>
      <c r="AD20" s="245">
        <f t="shared" si="3"/>
        <v>2200</v>
      </c>
      <c r="AE20" s="214">
        <f t="shared" si="4"/>
        <v>535.82</v>
      </c>
      <c r="AF20" s="11">
        <f t="shared" si="0"/>
        <v>604.49</v>
      </c>
      <c r="AG20" s="11">
        <f t="shared" si="1"/>
        <v>1100</v>
      </c>
      <c r="AH20" s="11"/>
      <c r="AI20" s="11" t="e">
        <f>#REF!-U20+V20-W20+X20-Y20+Z20-AA20+AB20</f>
        <v>#REF!</v>
      </c>
      <c r="AJ20" s="11"/>
      <c r="AK20" s="11"/>
    </row>
    <row r="21" s="1" customFormat="1" customHeight="1" spans="1:37">
      <c r="A21" s="242">
        <v>17</v>
      </c>
      <c r="B21" s="242" t="s">
        <v>69</v>
      </c>
      <c r="C21" s="243" t="s">
        <v>70</v>
      </c>
      <c r="D21" s="225">
        <v>205.87</v>
      </c>
      <c r="E21" s="225">
        <v>471.19</v>
      </c>
      <c r="F21" s="225"/>
      <c r="G21" s="225">
        <v>445.07</v>
      </c>
      <c r="H21" s="245"/>
      <c r="I21" s="245">
        <v>91.41</v>
      </c>
      <c r="J21" s="245">
        <v>1000</v>
      </c>
      <c r="K21" s="245">
        <v>133.3</v>
      </c>
      <c r="L21" s="245"/>
      <c r="M21" s="245">
        <v>118.07</v>
      </c>
      <c r="N21" s="245"/>
      <c r="O21" s="245">
        <v>232.33</v>
      </c>
      <c r="P21" s="245"/>
      <c r="Q21" s="245">
        <v>419.5</v>
      </c>
      <c r="R21" s="245"/>
      <c r="S21" s="245">
        <v>398.83</v>
      </c>
      <c r="T21" s="245">
        <v>1500</v>
      </c>
      <c r="U21" s="245">
        <v>409.16</v>
      </c>
      <c r="V21" s="245"/>
      <c r="W21" s="245">
        <v>203.49</v>
      </c>
      <c r="X21" s="245"/>
      <c r="Y21" s="245">
        <v>113.17</v>
      </c>
      <c r="Z21" s="245"/>
      <c r="AA21" s="245">
        <v>165.95</v>
      </c>
      <c r="AB21" s="245">
        <v>1000</v>
      </c>
      <c r="AC21" s="245">
        <f t="shared" si="2"/>
        <v>3201.47</v>
      </c>
      <c r="AD21" s="245">
        <f t="shared" si="3"/>
        <v>3500</v>
      </c>
      <c r="AE21" s="214">
        <f t="shared" si="4"/>
        <v>504.4</v>
      </c>
      <c r="AF21" s="11">
        <f t="shared" si="0"/>
        <v>891.77</v>
      </c>
      <c r="AG21" s="11">
        <f t="shared" si="1"/>
        <v>1000</v>
      </c>
      <c r="AH21" s="11"/>
      <c r="AI21" s="11" t="e">
        <f>#REF!-U21+V21-W21+X21-Y21+Z21-AA21+AB21</f>
        <v>#REF!</v>
      </c>
      <c r="AJ21" s="11"/>
      <c r="AK21" s="11"/>
    </row>
    <row r="22" s="1" customFormat="1" customHeight="1" spans="1:37">
      <c r="A22" s="242">
        <v>18</v>
      </c>
      <c r="B22" s="242" t="s">
        <v>71</v>
      </c>
      <c r="C22" s="243" t="s">
        <v>72</v>
      </c>
      <c r="D22" s="225">
        <v>124.26</v>
      </c>
      <c r="E22" s="225">
        <v>37</v>
      </c>
      <c r="F22" s="225"/>
      <c r="G22" s="225">
        <v>228.52</v>
      </c>
      <c r="H22" s="245"/>
      <c r="I22" s="245">
        <v>36.45</v>
      </c>
      <c r="J22" s="245"/>
      <c r="K22" s="245">
        <v>40.81</v>
      </c>
      <c r="L22" s="245"/>
      <c r="M22" s="245">
        <v>31.01</v>
      </c>
      <c r="N22" s="245"/>
      <c r="O22" s="245">
        <v>31.01</v>
      </c>
      <c r="P22" s="245"/>
      <c r="Q22" s="245">
        <v>63.66</v>
      </c>
      <c r="R22" s="245"/>
      <c r="S22" s="245">
        <v>38.09</v>
      </c>
      <c r="T22" s="245">
        <v>600</v>
      </c>
      <c r="U22" s="245">
        <v>99.57</v>
      </c>
      <c r="V22" s="245"/>
      <c r="W22" s="245">
        <v>44.62</v>
      </c>
      <c r="X22" s="245"/>
      <c r="Y22" s="245">
        <v>32.1</v>
      </c>
      <c r="Z22" s="245"/>
      <c r="AA22" s="245">
        <v>36.45</v>
      </c>
      <c r="AB22" s="245"/>
      <c r="AC22" s="245">
        <f t="shared" si="2"/>
        <v>719.29</v>
      </c>
      <c r="AD22" s="245">
        <f t="shared" si="3"/>
        <v>600</v>
      </c>
      <c r="AE22" s="214">
        <f t="shared" si="4"/>
        <v>4.97000000000003</v>
      </c>
      <c r="AF22" s="11">
        <f t="shared" si="0"/>
        <v>212.74</v>
      </c>
      <c r="AG22" s="11">
        <f t="shared" si="1"/>
        <v>0</v>
      </c>
      <c r="AH22" s="11"/>
      <c r="AI22" s="11" t="e">
        <f>#REF!-U22+V22-W22+X22-Y22+Z22-AA22+AB22</f>
        <v>#REF!</v>
      </c>
      <c r="AJ22" s="11"/>
      <c r="AK22" s="11"/>
    </row>
    <row r="23" s="1" customFormat="1" customHeight="1" spans="1:37">
      <c r="A23" s="242">
        <v>19</v>
      </c>
      <c r="B23" s="242" t="s">
        <v>73</v>
      </c>
      <c r="C23" s="243" t="s">
        <v>74</v>
      </c>
      <c r="D23" s="225">
        <v>297.25</v>
      </c>
      <c r="E23" s="225">
        <v>15.23</v>
      </c>
      <c r="F23" s="225"/>
      <c r="G23" s="225">
        <v>77.26</v>
      </c>
      <c r="H23" s="245"/>
      <c r="I23" s="245">
        <v>0</v>
      </c>
      <c r="J23" s="245"/>
      <c r="K23" s="245">
        <v>0</v>
      </c>
      <c r="L23" s="245"/>
      <c r="M23" s="245">
        <v>0</v>
      </c>
      <c r="N23" s="245"/>
      <c r="O23" s="245">
        <v>11.43</v>
      </c>
      <c r="P23" s="245"/>
      <c r="Q23" s="245">
        <v>0.54</v>
      </c>
      <c r="R23" s="245"/>
      <c r="S23" s="245">
        <v>3.26</v>
      </c>
      <c r="T23" s="245"/>
      <c r="U23" s="245">
        <v>2.72</v>
      </c>
      <c r="V23" s="245">
        <v>500</v>
      </c>
      <c r="W23" s="245">
        <v>14.69</v>
      </c>
      <c r="X23" s="245"/>
      <c r="Y23" s="245">
        <v>0</v>
      </c>
      <c r="Z23" s="245"/>
      <c r="AA23" s="245">
        <v>0.54</v>
      </c>
      <c r="AB23" s="245"/>
      <c r="AC23" s="245">
        <f t="shared" si="2"/>
        <v>125.67</v>
      </c>
      <c r="AD23" s="245">
        <f t="shared" si="3"/>
        <v>500</v>
      </c>
      <c r="AE23" s="214">
        <f t="shared" si="4"/>
        <v>671.58</v>
      </c>
      <c r="AF23" s="11">
        <f t="shared" si="0"/>
        <v>17.95</v>
      </c>
      <c r="AG23" s="11">
        <f t="shared" si="1"/>
        <v>500</v>
      </c>
      <c r="AH23" s="11"/>
      <c r="AI23" s="11" t="e">
        <f>#REF!-U23+V23-W23+X23-Y23+Z23-AA23+AB23</f>
        <v>#REF!</v>
      </c>
      <c r="AJ23" s="11"/>
      <c r="AK23" s="11"/>
    </row>
    <row r="24" s="1" customFormat="1" customHeight="1" spans="1:37">
      <c r="A24" s="242">
        <v>20</v>
      </c>
      <c r="B24" s="242" t="s">
        <v>75</v>
      </c>
      <c r="C24" s="243" t="s">
        <v>76</v>
      </c>
      <c r="D24" s="225">
        <v>343.95</v>
      </c>
      <c r="E24" s="225">
        <v>173.02</v>
      </c>
      <c r="F24" s="225"/>
      <c r="G24" s="225">
        <v>199.68</v>
      </c>
      <c r="H24" s="245"/>
      <c r="I24" s="245">
        <v>62.57</v>
      </c>
      <c r="J24" s="245">
        <v>2000</v>
      </c>
      <c r="K24" s="245">
        <v>105.56</v>
      </c>
      <c r="L24" s="245"/>
      <c r="M24" s="245">
        <v>82.7</v>
      </c>
      <c r="N24" s="245"/>
      <c r="O24" s="245">
        <v>146.91</v>
      </c>
      <c r="P24" s="245"/>
      <c r="Q24" s="245">
        <v>189.35</v>
      </c>
      <c r="R24" s="245"/>
      <c r="S24" s="245">
        <v>133.85</v>
      </c>
      <c r="T24" s="245"/>
      <c r="U24" s="245">
        <v>136.57</v>
      </c>
      <c r="V24" s="245"/>
      <c r="W24" s="245">
        <v>94.13</v>
      </c>
      <c r="X24" s="245"/>
      <c r="Y24" s="245">
        <v>100.66</v>
      </c>
      <c r="Z24" s="245"/>
      <c r="AA24" s="245">
        <v>129.5</v>
      </c>
      <c r="AB24" s="245"/>
      <c r="AC24" s="245">
        <f t="shared" si="2"/>
        <v>1554.5</v>
      </c>
      <c r="AD24" s="245">
        <f t="shared" si="3"/>
        <v>2000</v>
      </c>
      <c r="AE24" s="214">
        <f t="shared" si="4"/>
        <v>789.45</v>
      </c>
      <c r="AF24" s="11">
        <f t="shared" si="0"/>
        <v>460.86</v>
      </c>
      <c r="AG24" s="11">
        <f t="shared" si="1"/>
        <v>0</v>
      </c>
      <c r="AH24" s="11"/>
      <c r="AI24" s="11" t="e">
        <f>#REF!-U24+V24-W24+X24-Y24+Z24-AA24+AB24</f>
        <v>#REF!</v>
      </c>
      <c r="AJ24" s="11"/>
      <c r="AK24" s="11"/>
    </row>
    <row r="25" s="1" customFormat="1" customHeight="1" spans="1:37">
      <c r="A25" s="242">
        <v>21</v>
      </c>
      <c r="B25" s="242" t="s">
        <v>77</v>
      </c>
      <c r="C25" s="243" t="s">
        <v>78</v>
      </c>
      <c r="D25" s="225">
        <v>225.45</v>
      </c>
      <c r="E25" s="225">
        <v>0</v>
      </c>
      <c r="F25" s="225"/>
      <c r="G25" s="225">
        <v>1.09</v>
      </c>
      <c r="H25" s="245"/>
      <c r="I25" s="245">
        <v>0</v>
      </c>
      <c r="J25" s="245"/>
      <c r="K25" s="245">
        <v>0</v>
      </c>
      <c r="L25" s="245"/>
      <c r="M25" s="245">
        <v>0.54</v>
      </c>
      <c r="N25" s="245"/>
      <c r="O25" s="245">
        <v>0</v>
      </c>
      <c r="P25" s="245"/>
      <c r="Q25" s="245">
        <v>0</v>
      </c>
      <c r="R25" s="245"/>
      <c r="S25" s="245">
        <v>0</v>
      </c>
      <c r="T25" s="245"/>
      <c r="U25" s="245">
        <v>0</v>
      </c>
      <c r="V25" s="245"/>
      <c r="W25" s="245">
        <v>0</v>
      </c>
      <c r="X25" s="245"/>
      <c r="Y25" s="245">
        <v>0</v>
      </c>
      <c r="Z25" s="245"/>
      <c r="AA25" s="245">
        <v>0</v>
      </c>
      <c r="AB25" s="245"/>
      <c r="AC25" s="245">
        <f t="shared" si="2"/>
        <v>1.63</v>
      </c>
      <c r="AD25" s="245">
        <f t="shared" si="3"/>
        <v>0</v>
      </c>
      <c r="AE25" s="214">
        <f t="shared" si="4"/>
        <v>223.82</v>
      </c>
      <c r="AF25" s="11">
        <f t="shared" si="0"/>
        <v>0</v>
      </c>
      <c r="AG25" s="11">
        <f t="shared" si="1"/>
        <v>0</v>
      </c>
      <c r="AH25" s="11"/>
      <c r="AI25" s="11" t="e">
        <f>#REF!-U25+V25-W25+X25-Y25+Z25-AA25+AB25</f>
        <v>#REF!</v>
      </c>
      <c r="AJ25" s="11"/>
      <c r="AK25" s="11"/>
    </row>
    <row r="26" s="1" customFormat="1" customHeight="1" spans="1:37">
      <c r="A26" s="242">
        <v>22</v>
      </c>
      <c r="B26" s="242" t="s">
        <v>79</v>
      </c>
      <c r="C26" s="243" t="s">
        <v>80</v>
      </c>
      <c r="D26" s="225">
        <v>598.66</v>
      </c>
      <c r="E26" s="225">
        <v>35.37</v>
      </c>
      <c r="F26" s="225"/>
      <c r="G26" s="225">
        <v>162.69</v>
      </c>
      <c r="H26" s="245"/>
      <c r="I26" s="245">
        <v>26.12</v>
      </c>
      <c r="J26" s="245"/>
      <c r="K26" s="245">
        <v>52.78</v>
      </c>
      <c r="L26" s="245"/>
      <c r="M26" s="245">
        <v>93.04</v>
      </c>
      <c r="N26" s="245"/>
      <c r="O26" s="245">
        <v>52.78</v>
      </c>
      <c r="P26" s="245">
        <v>1000</v>
      </c>
      <c r="Q26" s="245">
        <v>59.85</v>
      </c>
      <c r="R26" s="245"/>
      <c r="S26" s="245">
        <v>37</v>
      </c>
      <c r="T26" s="245"/>
      <c r="U26" s="245">
        <v>51.69</v>
      </c>
      <c r="V26" s="245"/>
      <c r="W26" s="245">
        <v>40.81</v>
      </c>
      <c r="X26" s="245"/>
      <c r="Y26" s="245">
        <v>58.22</v>
      </c>
      <c r="Z26" s="245"/>
      <c r="AA26" s="245">
        <v>182.82</v>
      </c>
      <c r="AB26" s="245"/>
      <c r="AC26" s="245">
        <f t="shared" si="2"/>
        <v>853.17</v>
      </c>
      <c r="AD26" s="245">
        <f t="shared" si="3"/>
        <v>1000</v>
      </c>
      <c r="AE26" s="214">
        <f t="shared" si="4"/>
        <v>745.49</v>
      </c>
      <c r="AF26" s="11">
        <f t="shared" si="0"/>
        <v>333.54</v>
      </c>
      <c r="AG26" s="11">
        <f t="shared" si="1"/>
        <v>0</v>
      </c>
      <c r="AH26" s="11"/>
      <c r="AI26" s="11" t="e">
        <f>#REF!-U26+V26-W26+X26-Y26+Z26-AA26+AB26</f>
        <v>#REF!</v>
      </c>
      <c r="AJ26" s="11"/>
      <c r="AK26" s="11"/>
    </row>
    <row r="27" s="1" customFormat="1" customHeight="1" spans="1:37">
      <c r="A27" s="242">
        <v>23</v>
      </c>
      <c r="B27" s="242" t="s">
        <v>81</v>
      </c>
      <c r="C27" s="243" t="s">
        <v>82</v>
      </c>
      <c r="D27" s="225">
        <v>317.9</v>
      </c>
      <c r="E27" s="225">
        <v>112.63</v>
      </c>
      <c r="F27" s="225">
        <v>1000</v>
      </c>
      <c r="G27" s="225">
        <v>176.29</v>
      </c>
      <c r="H27" s="245"/>
      <c r="I27" s="245">
        <v>62.57</v>
      </c>
      <c r="J27" s="245"/>
      <c r="K27" s="245">
        <v>99.03</v>
      </c>
      <c r="L27" s="245"/>
      <c r="M27" s="245">
        <v>94.67</v>
      </c>
      <c r="N27" s="245"/>
      <c r="O27" s="245">
        <v>153.44</v>
      </c>
      <c r="P27" s="245"/>
      <c r="Q27" s="245">
        <v>210.02</v>
      </c>
      <c r="R27" s="245"/>
      <c r="S27" s="245">
        <v>141.47</v>
      </c>
      <c r="T27" s="245"/>
      <c r="U27" s="245">
        <v>77.81</v>
      </c>
      <c r="V27" s="245">
        <v>1000</v>
      </c>
      <c r="W27" s="245">
        <v>72.91</v>
      </c>
      <c r="X27" s="245"/>
      <c r="Y27" s="245">
        <v>52.78</v>
      </c>
      <c r="Z27" s="245"/>
      <c r="AA27" s="245">
        <v>106.1</v>
      </c>
      <c r="AB27" s="245"/>
      <c r="AC27" s="245">
        <f t="shared" si="2"/>
        <v>1359.72</v>
      </c>
      <c r="AD27" s="245">
        <f t="shared" si="3"/>
        <v>2000</v>
      </c>
      <c r="AE27" s="214">
        <f t="shared" si="4"/>
        <v>958.18</v>
      </c>
      <c r="AF27" s="11">
        <f t="shared" si="0"/>
        <v>309.6</v>
      </c>
      <c r="AG27" s="11">
        <f t="shared" si="1"/>
        <v>1000</v>
      </c>
      <c r="AH27" s="11"/>
      <c r="AI27" s="11" t="e">
        <f>#REF!-U27+V27-W27+X27-Y27+Z27-AA27+AB27</f>
        <v>#REF!</v>
      </c>
      <c r="AJ27" s="11"/>
      <c r="AK27" s="11"/>
    </row>
    <row r="28" s="1" customFormat="1" customHeight="1" spans="1:37">
      <c r="A28" s="242">
        <v>24</v>
      </c>
      <c r="B28" s="242" t="s">
        <v>83</v>
      </c>
      <c r="C28" s="243" t="s">
        <v>84</v>
      </c>
      <c r="D28" s="225">
        <v>-543.34</v>
      </c>
      <c r="E28" s="225">
        <v>126.78</v>
      </c>
      <c r="F28" s="225">
        <v>1500</v>
      </c>
      <c r="G28" s="225">
        <v>176.83</v>
      </c>
      <c r="H28" s="245"/>
      <c r="I28" s="245">
        <v>90.32</v>
      </c>
      <c r="J28" s="245"/>
      <c r="K28" s="245">
        <v>122.42</v>
      </c>
      <c r="L28" s="245"/>
      <c r="M28" s="245">
        <v>115.35</v>
      </c>
      <c r="N28" s="245"/>
      <c r="O28" s="245">
        <v>114.81</v>
      </c>
      <c r="P28" s="245"/>
      <c r="Q28" s="245">
        <v>152.89</v>
      </c>
      <c r="R28" s="245"/>
      <c r="S28" s="245">
        <v>93.59</v>
      </c>
      <c r="T28" s="245"/>
      <c r="U28" s="245">
        <v>121.33</v>
      </c>
      <c r="V28" s="245">
        <v>1000</v>
      </c>
      <c r="W28" s="245">
        <v>83.25</v>
      </c>
      <c r="X28" s="245"/>
      <c r="Y28" s="245">
        <v>127.86</v>
      </c>
      <c r="Z28" s="245"/>
      <c r="AA28" s="245">
        <v>167.04</v>
      </c>
      <c r="AB28" s="245"/>
      <c r="AC28" s="245">
        <f t="shared" si="2"/>
        <v>1492.47</v>
      </c>
      <c r="AD28" s="245">
        <f t="shared" si="3"/>
        <v>2500</v>
      </c>
      <c r="AE28" s="214">
        <f t="shared" si="4"/>
        <v>464.19</v>
      </c>
      <c r="AF28" s="11">
        <f t="shared" si="0"/>
        <v>499.48</v>
      </c>
      <c r="AG28" s="11">
        <f t="shared" si="1"/>
        <v>1000</v>
      </c>
      <c r="AH28" s="11"/>
      <c r="AI28" s="11" t="e">
        <f>#REF!-U28+V28-W28+X28-Y28+Z28-AA28+AB28</f>
        <v>#REF!</v>
      </c>
      <c r="AJ28" s="11"/>
      <c r="AK28" s="11"/>
    </row>
    <row r="29" s="1" customFormat="1" customHeight="1" spans="1:37">
      <c r="A29" s="242">
        <v>25</v>
      </c>
      <c r="B29" s="242" t="s">
        <v>85</v>
      </c>
      <c r="C29" s="243" t="s">
        <v>86</v>
      </c>
      <c r="D29" s="225">
        <v>-244.64</v>
      </c>
      <c r="E29" s="225">
        <v>189.35</v>
      </c>
      <c r="F29" s="225">
        <v>1000</v>
      </c>
      <c r="G29" s="225">
        <v>269.33</v>
      </c>
      <c r="H29" s="245"/>
      <c r="I29" s="245">
        <v>87.6</v>
      </c>
      <c r="J29" s="245"/>
      <c r="K29" s="245">
        <v>112.63</v>
      </c>
      <c r="L29" s="245"/>
      <c r="M29" s="245">
        <v>75.09</v>
      </c>
      <c r="N29" s="245"/>
      <c r="O29" s="245">
        <v>93.59</v>
      </c>
      <c r="P29" s="245"/>
      <c r="Q29" s="245">
        <v>39.72</v>
      </c>
      <c r="R29" s="245"/>
      <c r="S29" s="245">
        <v>119.7</v>
      </c>
      <c r="T29" s="245">
        <v>1000</v>
      </c>
      <c r="U29" s="245">
        <v>82.16</v>
      </c>
      <c r="V29" s="245"/>
      <c r="W29" s="245">
        <v>57.13</v>
      </c>
      <c r="X29" s="245"/>
      <c r="Y29" s="245">
        <v>79.98</v>
      </c>
      <c r="Z29" s="245"/>
      <c r="AA29" s="245">
        <v>104.47</v>
      </c>
      <c r="AB29" s="245"/>
      <c r="AC29" s="245">
        <f t="shared" si="2"/>
        <v>1310.75</v>
      </c>
      <c r="AD29" s="245">
        <f t="shared" si="3"/>
        <v>2000</v>
      </c>
      <c r="AE29" s="214">
        <f t="shared" si="4"/>
        <v>444.61</v>
      </c>
      <c r="AF29" s="11">
        <f t="shared" si="0"/>
        <v>323.74</v>
      </c>
      <c r="AG29" s="11">
        <f t="shared" si="1"/>
        <v>0</v>
      </c>
      <c r="AH29" s="11"/>
      <c r="AI29" s="11" t="e">
        <f>#REF!-U29+V29-W29+X29-Y29+Z29-AA29+AB29</f>
        <v>#REF!</v>
      </c>
      <c r="AJ29" s="11"/>
      <c r="AK29" s="11"/>
    </row>
    <row r="30" s="1" customFormat="1" customHeight="1" spans="1:37">
      <c r="A30" s="242">
        <v>26</v>
      </c>
      <c r="B30" s="242" t="s">
        <v>87</v>
      </c>
      <c r="C30" s="243" t="s">
        <v>88</v>
      </c>
      <c r="D30" s="225">
        <v>64.3200000000002</v>
      </c>
      <c r="E30" s="225">
        <v>180.64</v>
      </c>
      <c r="F30" s="225"/>
      <c r="G30" s="225">
        <v>242.12</v>
      </c>
      <c r="H30" s="245"/>
      <c r="I30" s="245">
        <v>87.6</v>
      </c>
      <c r="J30" s="245">
        <v>510</v>
      </c>
      <c r="K30" s="245">
        <v>122.97</v>
      </c>
      <c r="L30" s="245"/>
      <c r="M30" s="245">
        <v>108.82</v>
      </c>
      <c r="N30" s="245">
        <v>150</v>
      </c>
      <c r="O30" s="245">
        <v>301.43</v>
      </c>
      <c r="P30" s="245">
        <v>100</v>
      </c>
      <c r="Q30" s="245">
        <v>551.17</v>
      </c>
      <c r="R30" s="245"/>
      <c r="S30" s="245">
        <v>454.32</v>
      </c>
      <c r="T30" s="245">
        <v>600</v>
      </c>
      <c r="U30" s="245">
        <v>286.2</v>
      </c>
      <c r="V30" s="245"/>
      <c r="W30" s="245">
        <v>142.01</v>
      </c>
      <c r="X30" s="245"/>
      <c r="Y30" s="245">
        <v>139.83</v>
      </c>
      <c r="Z30" s="245">
        <v>1300</v>
      </c>
      <c r="AA30" s="245">
        <v>178.46</v>
      </c>
      <c r="AB30" s="245"/>
      <c r="AC30" s="245">
        <f t="shared" si="2"/>
        <v>2795.57</v>
      </c>
      <c r="AD30" s="245">
        <f t="shared" si="3"/>
        <v>2660</v>
      </c>
      <c r="AE30" s="214">
        <f t="shared" si="4"/>
        <v>-71.2499999999991</v>
      </c>
      <c r="AF30" s="11">
        <f t="shared" si="0"/>
        <v>746.5</v>
      </c>
      <c r="AG30" s="11">
        <f t="shared" si="1"/>
        <v>1300</v>
      </c>
      <c r="AH30" s="11"/>
      <c r="AI30" s="11" t="e">
        <f>#REF!-U30+V30-W30+X30-Y30+Z30-AA30+AB30</f>
        <v>#REF!</v>
      </c>
      <c r="AJ30" s="11"/>
      <c r="AK30" s="11"/>
    </row>
    <row r="31" s="1" customFormat="1" customHeight="1" spans="1:37">
      <c r="A31" s="242">
        <v>27</v>
      </c>
      <c r="B31" s="242" t="s">
        <v>89</v>
      </c>
      <c r="C31" s="243" t="s">
        <v>90</v>
      </c>
      <c r="D31" s="225">
        <v>374.92</v>
      </c>
      <c r="E31" s="225">
        <v>165.95</v>
      </c>
      <c r="F31" s="225"/>
      <c r="G31" s="225">
        <v>189.89</v>
      </c>
      <c r="H31" s="245"/>
      <c r="I31" s="245">
        <v>91.41</v>
      </c>
      <c r="J31" s="245"/>
      <c r="K31" s="245">
        <v>151.8</v>
      </c>
      <c r="L31" s="245"/>
      <c r="M31" s="245">
        <v>131.67</v>
      </c>
      <c r="N31" s="245">
        <v>1000</v>
      </c>
      <c r="O31" s="245">
        <v>215.46</v>
      </c>
      <c r="P31" s="245"/>
      <c r="Q31" s="245">
        <v>331.36</v>
      </c>
      <c r="R31" s="245"/>
      <c r="S31" s="245">
        <v>283.48</v>
      </c>
      <c r="T31" s="245"/>
      <c r="U31" s="245">
        <v>420.59</v>
      </c>
      <c r="V31" s="245">
        <v>1000</v>
      </c>
      <c r="W31" s="245">
        <v>136.03</v>
      </c>
      <c r="X31" s="245"/>
      <c r="Y31" s="245">
        <v>92.5</v>
      </c>
      <c r="Z31" s="245"/>
      <c r="AA31" s="245">
        <v>131.13</v>
      </c>
      <c r="AB31" s="245">
        <v>500</v>
      </c>
      <c r="AC31" s="245">
        <f t="shared" si="2"/>
        <v>2341.27</v>
      </c>
      <c r="AD31" s="245">
        <f t="shared" si="3"/>
        <v>2500</v>
      </c>
      <c r="AE31" s="214">
        <f t="shared" si="4"/>
        <v>533.65</v>
      </c>
      <c r="AF31" s="11">
        <f t="shared" si="0"/>
        <v>780.25</v>
      </c>
      <c r="AG31" s="11">
        <f t="shared" si="1"/>
        <v>1500</v>
      </c>
      <c r="AH31" s="11"/>
      <c r="AI31" s="11" t="e">
        <f>#REF!-U31+V31-W31+X31-Y31+Z31-AA31+AB31</f>
        <v>#REF!</v>
      </c>
      <c r="AJ31" s="11"/>
      <c r="AK31" s="11"/>
    </row>
    <row r="32" s="1" customFormat="1" customHeight="1" spans="1:37">
      <c r="A32" s="242">
        <v>28</v>
      </c>
      <c r="B32" s="242" t="s">
        <v>91</v>
      </c>
      <c r="C32" s="243" t="s">
        <v>92</v>
      </c>
      <c r="D32" s="225">
        <v>289.12</v>
      </c>
      <c r="E32" s="225">
        <v>0</v>
      </c>
      <c r="F32" s="225"/>
      <c r="G32" s="225">
        <v>0</v>
      </c>
      <c r="H32" s="245"/>
      <c r="I32" s="245">
        <v>0</v>
      </c>
      <c r="J32" s="245"/>
      <c r="K32" s="245">
        <v>0</v>
      </c>
      <c r="L32" s="245"/>
      <c r="M32" s="245">
        <v>0</v>
      </c>
      <c r="N32" s="245"/>
      <c r="O32" s="245">
        <v>0</v>
      </c>
      <c r="P32" s="245"/>
      <c r="Q32" s="245">
        <v>0</v>
      </c>
      <c r="R32" s="245"/>
      <c r="S32" s="245">
        <v>0</v>
      </c>
      <c r="T32" s="245"/>
      <c r="U32" s="245">
        <v>0</v>
      </c>
      <c r="V32" s="245"/>
      <c r="W32" s="245">
        <v>0</v>
      </c>
      <c r="X32" s="245"/>
      <c r="Y32" s="245">
        <v>0</v>
      </c>
      <c r="Z32" s="245"/>
      <c r="AA32" s="245">
        <v>0</v>
      </c>
      <c r="AB32" s="245"/>
      <c r="AC32" s="245">
        <f t="shared" si="2"/>
        <v>0</v>
      </c>
      <c r="AD32" s="245">
        <f t="shared" si="3"/>
        <v>0</v>
      </c>
      <c r="AE32" s="214">
        <f t="shared" si="4"/>
        <v>289.12</v>
      </c>
      <c r="AF32" s="11">
        <f t="shared" si="0"/>
        <v>0</v>
      </c>
      <c r="AG32" s="11">
        <f t="shared" si="1"/>
        <v>0</v>
      </c>
      <c r="AH32" s="11"/>
      <c r="AI32" s="11" t="e">
        <f>#REF!-U32+V32-W32+X32-Y32+Z32-AA32+AB32</f>
        <v>#REF!</v>
      </c>
      <c r="AJ32" s="11"/>
      <c r="AK32" s="11"/>
    </row>
    <row r="33" s="1" customFormat="1" customHeight="1" spans="1:37">
      <c r="A33" s="242">
        <v>29</v>
      </c>
      <c r="B33" s="242" t="s">
        <v>93</v>
      </c>
      <c r="C33" s="243" t="s">
        <v>94</v>
      </c>
      <c r="D33" s="225">
        <v>76.8900000000001</v>
      </c>
      <c r="E33" s="225">
        <v>27.21</v>
      </c>
      <c r="F33" s="225"/>
      <c r="G33" s="225">
        <v>43.53</v>
      </c>
      <c r="H33" s="245">
        <v>500</v>
      </c>
      <c r="I33" s="245">
        <v>269.33</v>
      </c>
      <c r="J33" s="245"/>
      <c r="K33" s="245">
        <v>302.52</v>
      </c>
      <c r="L33" s="245"/>
      <c r="M33" s="245">
        <v>220.36</v>
      </c>
      <c r="N33" s="245">
        <v>600</v>
      </c>
      <c r="O33" s="245">
        <v>166.49</v>
      </c>
      <c r="P33" s="245"/>
      <c r="Q33" s="245">
        <v>191.52</v>
      </c>
      <c r="R33" s="245">
        <v>500</v>
      </c>
      <c r="S33" s="245">
        <v>195.33</v>
      </c>
      <c r="T33" s="245"/>
      <c r="U33" s="245">
        <v>192.61</v>
      </c>
      <c r="V33" s="245"/>
      <c r="W33" s="245">
        <v>167.04</v>
      </c>
      <c r="X33" s="245">
        <v>500</v>
      </c>
      <c r="Y33" s="245">
        <v>193.7</v>
      </c>
      <c r="Z33" s="245"/>
      <c r="AA33" s="245">
        <v>228.52</v>
      </c>
      <c r="AB33" s="245"/>
      <c r="AC33" s="245">
        <f t="shared" si="2"/>
        <v>2198.16</v>
      </c>
      <c r="AD33" s="245">
        <f t="shared" si="3"/>
        <v>2100</v>
      </c>
      <c r="AE33" s="214">
        <f t="shared" si="4"/>
        <v>-21.27</v>
      </c>
      <c r="AF33" s="11">
        <f t="shared" si="0"/>
        <v>781.87</v>
      </c>
      <c r="AG33" s="11">
        <f t="shared" si="1"/>
        <v>500</v>
      </c>
      <c r="AH33" s="11"/>
      <c r="AI33" s="11" t="e">
        <f>#REF!-U33+V33-W33+X33-Y33+Z33-AA33+AB33</f>
        <v>#REF!</v>
      </c>
      <c r="AJ33" s="11"/>
      <c r="AK33" s="11"/>
    </row>
    <row r="34" s="1" customFormat="1" customHeight="1" spans="1:37">
      <c r="A34" s="242">
        <v>30</v>
      </c>
      <c r="B34" s="242" t="s">
        <v>95</v>
      </c>
      <c r="C34" s="243" t="s">
        <v>96</v>
      </c>
      <c r="D34" s="225">
        <v>251.03</v>
      </c>
      <c r="E34" s="225">
        <v>212.2</v>
      </c>
      <c r="F34" s="225">
        <v>500</v>
      </c>
      <c r="G34" s="225">
        <v>454.87</v>
      </c>
      <c r="H34" s="245"/>
      <c r="I34" s="245">
        <v>122.42</v>
      </c>
      <c r="J34" s="245">
        <v>500</v>
      </c>
      <c r="K34" s="245">
        <v>142.55</v>
      </c>
      <c r="L34" s="245"/>
      <c r="M34" s="245">
        <v>173.57</v>
      </c>
      <c r="N34" s="245"/>
      <c r="O34" s="245">
        <v>181.73</v>
      </c>
      <c r="P34" s="245"/>
      <c r="Q34" s="245">
        <v>249.2</v>
      </c>
      <c r="R34" s="245">
        <v>1000</v>
      </c>
      <c r="S34" s="245">
        <v>207.3</v>
      </c>
      <c r="T34" s="245"/>
      <c r="U34" s="245">
        <v>179.01</v>
      </c>
      <c r="V34" s="245"/>
      <c r="W34" s="245">
        <v>109.91</v>
      </c>
      <c r="X34" s="245"/>
      <c r="Y34" s="245">
        <v>149.08</v>
      </c>
      <c r="Z34" s="245">
        <v>500</v>
      </c>
      <c r="AA34" s="245">
        <v>188.8</v>
      </c>
      <c r="AB34" s="245"/>
      <c r="AC34" s="245">
        <f t="shared" si="2"/>
        <v>2370.64</v>
      </c>
      <c r="AD34" s="245">
        <f t="shared" si="3"/>
        <v>2500</v>
      </c>
      <c r="AE34" s="214">
        <f t="shared" si="4"/>
        <v>380.39</v>
      </c>
      <c r="AF34" s="11">
        <f t="shared" si="0"/>
        <v>626.8</v>
      </c>
      <c r="AG34" s="11">
        <f t="shared" si="1"/>
        <v>500</v>
      </c>
      <c r="AH34" s="11"/>
      <c r="AI34" s="11" t="e">
        <f>#REF!-U34+V34-W34+X34-Y34+Z34-AA34+AB34</f>
        <v>#REF!</v>
      </c>
      <c r="AJ34" s="11"/>
      <c r="AK34" s="11"/>
    </row>
    <row r="35" s="1" customFormat="1" customHeight="1" spans="1:37">
      <c r="A35" s="242">
        <v>31</v>
      </c>
      <c r="B35" s="242" t="s">
        <v>97</v>
      </c>
      <c r="C35" s="243" t="s">
        <v>98</v>
      </c>
      <c r="D35" s="225">
        <v>-117.31</v>
      </c>
      <c r="E35" s="225">
        <v>106.1</v>
      </c>
      <c r="F35" s="225">
        <v>1000</v>
      </c>
      <c r="G35" s="225">
        <v>133.3</v>
      </c>
      <c r="H35" s="245"/>
      <c r="I35" s="245">
        <v>47.34</v>
      </c>
      <c r="J35" s="245"/>
      <c r="K35" s="245">
        <v>49.51</v>
      </c>
      <c r="L35" s="245"/>
      <c r="M35" s="245">
        <v>48.42</v>
      </c>
      <c r="N35" s="245"/>
      <c r="O35" s="245">
        <v>40.81</v>
      </c>
      <c r="P35" s="245"/>
      <c r="Q35" s="245">
        <v>65.84</v>
      </c>
      <c r="R35" s="245"/>
      <c r="S35" s="245">
        <v>114.26</v>
      </c>
      <c r="T35" s="245"/>
      <c r="U35" s="245">
        <v>78.89</v>
      </c>
      <c r="V35" s="245">
        <v>500</v>
      </c>
      <c r="W35" s="245">
        <v>57.13</v>
      </c>
      <c r="X35" s="245"/>
      <c r="Y35" s="245">
        <v>66.92</v>
      </c>
      <c r="Z35" s="245"/>
      <c r="AA35" s="245">
        <v>88.69</v>
      </c>
      <c r="AB35" s="245"/>
      <c r="AC35" s="245">
        <f t="shared" si="2"/>
        <v>897.21</v>
      </c>
      <c r="AD35" s="245">
        <f t="shared" si="3"/>
        <v>1500</v>
      </c>
      <c r="AE35" s="214">
        <f t="shared" si="4"/>
        <v>485.48</v>
      </c>
      <c r="AF35" s="11">
        <f t="shared" si="0"/>
        <v>291.63</v>
      </c>
      <c r="AG35" s="11">
        <f t="shared" si="1"/>
        <v>500</v>
      </c>
      <c r="AH35" s="11"/>
      <c r="AI35" s="11" t="e">
        <f>#REF!-U35+V35-W35+X35-Y35+Z35-AA35+AB35</f>
        <v>#REF!</v>
      </c>
      <c r="AJ35" s="11"/>
      <c r="AK35" s="11"/>
    </row>
    <row r="36" s="1" customFormat="1" customHeight="1" spans="1:37">
      <c r="A36" s="242">
        <v>32</v>
      </c>
      <c r="B36" s="242" t="s">
        <v>99</v>
      </c>
      <c r="C36" s="243" t="s">
        <v>100</v>
      </c>
      <c r="D36" s="225">
        <v>300</v>
      </c>
      <c r="E36" s="225">
        <v>0</v>
      </c>
      <c r="F36" s="225"/>
      <c r="G36" s="225">
        <v>0</v>
      </c>
      <c r="H36" s="245"/>
      <c r="I36" s="245">
        <v>0</v>
      </c>
      <c r="J36" s="245"/>
      <c r="K36" s="245">
        <v>0</v>
      </c>
      <c r="L36" s="245"/>
      <c r="M36" s="245">
        <v>0</v>
      </c>
      <c r="N36" s="245"/>
      <c r="O36" s="245">
        <v>0</v>
      </c>
      <c r="P36" s="245"/>
      <c r="Q36" s="245"/>
      <c r="R36" s="245"/>
      <c r="S36" s="245">
        <v>0</v>
      </c>
      <c r="T36" s="245"/>
      <c r="U36" s="245">
        <v>0</v>
      </c>
      <c r="V36" s="245"/>
      <c r="W36" s="245">
        <v>0</v>
      </c>
      <c r="X36" s="245"/>
      <c r="Y36" s="245">
        <v>0</v>
      </c>
      <c r="Z36" s="245"/>
      <c r="AA36" s="245">
        <v>0</v>
      </c>
      <c r="AB36" s="245"/>
      <c r="AC36" s="245">
        <f t="shared" si="2"/>
        <v>0</v>
      </c>
      <c r="AD36" s="245">
        <f t="shared" si="3"/>
        <v>0</v>
      </c>
      <c r="AE36" s="214">
        <f t="shared" si="4"/>
        <v>300</v>
      </c>
      <c r="AF36" s="11">
        <f t="shared" si="0"/>
        <v>0</v>
      </c>
      <c r="AG36" s="11">
        <f t="shared" si="1"/>
        <v>0</v>
      </c>
      <c r="AH36" s="11"/>
      <c r="AI36" s="11" t="e">
        <f>#REF!-U36+V36-W36+X36-Y36+Z36-AA36+AB36</f>
        <v>#REF!</v>
      </c>
      <c r="AJ36" s="11"/>
      <c r="AK36" s="11"/>
    </row>
    <row r="37" s="1" customFormat="1" customHeight="1" spans="1:37">
      <c r="A37" s="242">
        <v>33</v>
      </c>
      <c r="B37" s="242" t="s">
        <v>101</v>
      </c>
      <c r="C37" s="243" t="s">
        <v>102</v>
      </c>
      <c r="D37" s="225">
        <v>300</v>
      </c>
      <c r="E37" s="225">
        <v>0</v>
      </c>
      <c r="F37" s="225"/>
      <c r="G37" s="225">
        <v>0</v>
      </c>
      <c r="H37" s="245"/>
      <c r="I37" s="245">
        <v>0</v>
      </c>
      <c r="J37" s="245"/>
      <c r="K37" s="245">
        <v>0</v>
      </c>
      <c r="L37" s="245"/>
      <c r="M37" s="245">
        <v>0</v>
      </c>
      <c r="N37" s="245"/>
      <c r="O37" s="245">
        <v>0</v>
      </c>
      <c r="P37" s="245"/>
      <c r="Q37" s="245"/>
      <c r="R37" s="245"/>
      <c r="S37" s="245">
        <v>0</v>
      </c>
      <c r="T37" s="245"/>
      <c r="U37" s="245">
        <v>0</v>
      </c>
      <c r="V37" s="245"/>
      <c r="W37" s="245">
        <v>0</v>
      </c>
      <c r="X37" s="245"/>
      <c r="Y37" s="245">
        <v>0</v>
      </c>
      <c r="Z37" s="245"/>
      <c r="AA37" s="245">
        <v>0</v>
      </c>
      <c r="AB37" s="245"/>
      <c r="AC37" s="245">
        <f t="shared" si="2"/>
        <v>0</v>
      </c>
      <c r="AD37" s="245">
        <f t="shared" si="3"/>
        <v>0</v>
      </c>
      <c r="AE37" s="214">
        <f t="shared" si="4"/>
        <v>300</v>
      </c>
      <c r="AF37" s="11">
        <f t="shared" si="0"/>
        <v>0</v>
      </c>
      <c r="AG37" s="11">
        <f t="shared" si="1"/>
        <v>0</v>
      </c>
      <c r="AH37" s="11"/>
      <c r="AI37" s="11" t="e">
        <f>#REF!-U37+V37-W37+X37-Y37+Z37-AA37+AB37</f>
        <v>#REF!</v>
      </c>
      <c r="AJ37" s="11"/>
      <c r="AK37" s="11"/>
    </row>
    <row r="38" s="1" customFormat="1" customHeight="1" spans="1:37">
      <c r="A38" s="242">
        <v>34</v>
      </c>
      <c r="B38" s="242" t="s">
        <v>103</v>
      </c>
      <c r="C38" s="243" t="s">
        <v>104</v>
      </c>
      <c r="D38" s="225">
        <v>-182.71</v>
      </c>
      <c r="E38" s="225">
        <v>148.54</v>
      </c>
      <c r="F38" s="225">
        <v>1000</v>
      </c>
      <c r="G38" s="225">
        <v>332.99</v>
      </c>
      <c r="H38" s="245"/>
      <c r="I38" s="245">
        <v>125.69</v>
      </c>
      <c r="J38" s="245"/>
      <c r="K38" s="245">
        <v>162.69</v>
      </c>
      <c r="L38" s="245"/>
      <c r="M38" s="245">
        <v>124.05</v>
      </c>
      <c r="N38" s="245">
        <v>2000</v>
      </c>
      <c r="O38" s="245">
        <v>164.32</v>
      </c>
      <c r="P38" s="245"/>
      <c r="Q38" s="245">
        <v>265.52</v>
      </c>
      <c r="R38" s="245"/>
      <c r="S38" s="245">
        <v>302.52</v>
      </c>
      <c r="T38" s="245"/>
      <c r="U38" s="245">
        <v>356.39</v>
      </c>
      <c r="V38" s="245"/>
      <c r="W38" s="245">
        <v>147.45</v>
      </c>
      <c r="X38" s="245"/>
      <c r="Y38" s="245">
        <v>103.92</v>
      </c>
      <c r="Z38" s="245"/>
      <c r="AA38" s="245">
        <v>142.01</v>
      </c>
      <c r="AB38" s="245"/>
      <c r="AC38" s="245">
        <f t="shared" ref="AC38:AC69" si="5">AA38+Y38+W38+U38+S38+Q38+O38+M38+K38+I38+G38+E38</f>
        <v>2376.09</v>
      </c>
      <c r="AD38" s="245">
        <f t="shared" ref="AD38:AD69" si="6">AB38+Z38+X38+V38+T38+R38+P38+N38+L38+J38+H38+F38</f>
        <v>3000</v>
      </c>
      <c r="AE38" s="214">
        <f t="shared" ref="AE38:AE69" si="7">D38+AD38-AC38</f>
        <v>441.199999999999</v>
      </c>
      <c r="AF38" s="11">
        <f t="shared" si="0"/>
        <v>749.77</v>
      </c>
      <c r="AG38" s="11">
        <f t="shared" si="1"/>
        <v>0</v>
      </c>
      <c r="AH38" s="11"/>
      <c r="AI38" s="11" t="e">
        <f>#REF!-U38+V38-W38+X38-Y38+Z38-AA38+AB38</f>
        <v>#REF!</v>
      </c>
      <c r="AJ38" s="11"/>
      <c r="AK38" s="11"/>
    </row>
    <row r="39" s="1" customFormat="1" customHeight="1" spans="1:37">
      <c r="A39" s="242">
        <v>35</v>
      </c>
      <c r="B39" s="242" t="s">
        <v>105</v>
      </c>
      <c r="C39" s="243" t="s">
        <v>106</v>
      </c>
      <c r="D39" s="225">
        <v>1103.37</v>
      </c>
      <c r="E39" s="225">
        <v>126.78</v>
      </c>
      <c r="F39" s="225"/>
      <c r="G39" s="225">
        <v>198.05</v>
      </c>
      <c r="H39" s="245"/>
      <c r="I39" s="245">
        <v>75.63</v>
      </c>
      <c r="J39" s="245"/>
      <c r="K39" s="245">
        <v>117.53</v>
      </c>
      <c r="L39" s="245"/>
      <c r="M39" s="245">
        <v>101.75</v>
      </c>
      <c r="N39" s="245"/>
      <c r="O39" s="245">
        <v>103.92</v>
      </c>
      <c r="P39" s="245"/>
      <c r="Q39" s="245">
        <v>183.36</v>
      </c>
      <c r="R39" s="245"/>
      <c r="S39" s="245">
        <v>120.79</v>
      </c>
      <c r="T39" s="245">
        <v>2000</v>
      </c>
      <c r="U39" s="245">
        <v>114.26</v>
      </c>
      <c r="V39" s="245"/>
      <c r="W39" s="245">
        <v>78.35</v>
      </c>
      <c r="X39" s="245"/>
      <c r="Y39" s="245">
        <v>120.79</v>
      </c>
      <c r="Z39" s="245"/>
      <c r="AA39" s="245">
        <v>151.26</v>
      </c>
      <c r="AB39" s="245"/>
      <c r="AC39" s="245">
        <f t="shared" si="5"/>
        <v>1492.47</v>
      </c>
      <c r="AD39" s="245">
        <f t="shared" si="6"/>
        <v>2000</v>
      </c>
      <c r="AE39" s="214">
        <f t="shared" si="7"/>
        <v>1610.9</v>
      </c>
      <c r="AF39" s="11">
        <f t="shared" si="0"/>
        <v>464.66</v>
      </c>
      <c r="AG39" s="11">
        <f t="shared" si="1"/>
        <v>0</v>
      </c>
      <c r="AH39" s="11"/>
      <c r="AI39" s="11" t="e">
        <f>#REF!-U39+V39-W39+X39-Y39+Z39-AA39+AB39</f>
        <v>#REF!</v>
      </c>
      <c r="AJ39" s="11"/>
      <c r="AK39" s="11"/>
    </row>
    <row r="40" s="1" customFormat="1" customHeight="1" spans="1:37">
      <c r="A40" s="242">
        <v>36</v>
      </c>
      <c r="B40" s="242" t="s">
        <v>107</v>
      </c>
      <c r="C40" s="243" t="s">
        <v>108</v>
      </c>
      <c r="D40" s="225">
        <v>251.57</v>
      </c>
      <c r="E40" s="225">
        <v>52.78</v>
      </c>
      <c r="F40" s="225">
        <v>1000</v>
      </c>
      <c r="G40" s="225">
        <v>62.03</v>
      </c>
      <c r="H40" s="245"/>
      <c r="I40" s="245">
        <v>26.12</v>
      </c>
      <c r="J40" s="245"/>
      <c r="K40" s="245">
        <v>37</v>
      </c>
      <c r="L40" s="245"/>
      <c r="M40" s="245">
        <v>43.53</v>
      </c>
      <c r="N40" s="245"/>
      <c r="O40" s="245">
        <v>21.76</v>
      </c>
      <c r="P40" s="245"/>
      <c r="Q40" s="245">
        <v>44.07</v>
      </c>
      <c r="R40" s="245"/>
      <c r="S40" s="245">
        <v>45.16</v>
      </c>
      <c r="T40" s="245"/>
      <c r="U40" s="245">
        <v>43.53</v>
      </c>
      <c r="V40" s="245"/>
      <c r="W40" s="245">
        <v>40.26</v>
      </c>
      <c r="X40" s="245"/>
      <c r="Y40" s="245">
        <v>42.44</v>
      </c>
      <c r="Z40" s="245"/>
      <c r="AA40" s="245">
        <v>59.31</v>
      </c>
      <c r="AB40" s="245"/>
      <c r="AC40" s="245">
        <f t="shared" si="5"/>
        <v>517.99</v>
      </c>
      <c r="AD40" s="245">
        <f t="shared" si="6"/>
        <v>1000</v>
      </c>
      <c r="AE40" s="214">
        <f t="shared" si="7"/>
        <v>733.58</v>
      </c>
      <c r="AF40" s="11">
        <f t="shared" si="0"/>
        <v>185.54</v>
      </c>
      <c r="AG40" s="11">
        <f t="shared" si="1"/>
        <v>0</v>
      </c>
      <c r="AH40" s="11"/>
      <c r="AI40" s="11" t="e">
        <f>#REF!-U40+V40-W40+X40-Y40+Z40-AA40+AB40</f>
        <v>#REF!</v>
      </c>
      <c r="AJ40" s="11"/>
      <c r="AK40" s="11"/>
    </row>
    <row r="41" s="1" customFormat="1" customHeight="1" spans="1:37">
      <c r="A41" s="242">
        <v>37</v>
      </c>
      <c r="B41" s="242" t="s">
        <v>109</v>
      </c>
      <c r="C41" s="243" t="s">
        <v>110</v>
      </c>
      <c r="D41" s="225">
        <v>152.1</v>
      </c>
      <c r="E41" s="225">
        <v>392.3</v>
      </c>
      <c r="F41" s="225"/>
      <c r="G41" s="225">
        <v>497.85</v>
      </c>
      <c r="H41" s="245"/>
      <c r="I41" s="245">
        <v>105.01</v>
      </c>
      <c r="J41" s="245">
        <v>2000</v>
      </c>
      <c r="K41" s="245">
        <v>118.61</v>
      </c>
      <c r="L41" s="245"/>
      <c r="M41" s="245">
        <v>108.28</v>
      </c>
      <c r="N41" s="245"/>
      <c r="O41" s="245">
        <v>163.23</v>
      </c>
      <c r="P41" s="245"/>
      <c r="Q41" s="245">
        <v>318.84</v>
      </c>
      <c r="R41" s="245"/>
      <c r="S41" s="245">
        <v>331.9</v>
      </c>
      <c r="T41" s="245"/>
      <c r="U41" s="245">
        <v>247.57</v>
      </c>
      <c r="V41" s="245"/>
      <c r="W41" s="245">
        <v>141.47</v>
      </c>
      <c r="X41" s="245"/>
      <c r="Y41" s="245">
        <v>179.55</v>
      </c>
      <c r="Z41" s="245"/>
      <c r="AA41" s="245">
        <v>412.43</v>
      </c>
      <c r="AB41" s="245">
        <v>2000</v>
      </c>
      <c r="AC41" s="245">
        <f t="shared" si="5"/>
        <v>3017.04</v>
      </c>
      <c r="AD41" s="245">
        <f t="shared" si="6"/>
        <v>4000</v>
      </c>
      <c r="AE41" s="214">
        <f t="shared" si="7"/>
        <v>1135.06</v>
      </c>
      <c r="AF41" s="11">
        <f t="shared" si="0"/>
        <v>981.02</v>
      </c>
      <c r="AG41" s="11">
        <f t="shared" si="1"/>
        <v>2000</v>
      </c>
      <c r="AH41" s="11"/>
      <c r="AI41" s="11" t="e">
        <f>#REF!-U41+V41-W41+X41-Y41+Z41-AA41+AB41</f>
        <v>#REF!</v>
      </c>
      <c r="AJ41" s="11"/>
      <c r="AK41" s="11"/>
    </row>
    <row r="42" s="1" customFormat="1" customHeight="1" spans="1:37">
      <c r="A42" s="242">
        <v>38</v>
      </c>
      <c r="B42" s="242" t="s">
        <v>111</v>
      </c>
      <c r="C42" s="243" t="s">
        <v>112</v>
      </c>
      <c r="D42" s="225">
        <v>78.8</v>
      </c>
      <c r="E42" s="225">
        <v>131.13</v>
      </c>
      <c r="F42" s="225"/>
      <c r="G42" s="225">
        <v>186.63</v>
      </c>
      <c r="H42" s="245"/>
      <c r="I42" s="245">
        <v>55.5</v>
      </c>
      <c r="J42" s="245">
        <v>316</v>
      </c>
      <c r="K42" s="245">
        <v>73.45</v>
      </c>
      <c r="L42" s="245"/>
      <c r="M42" s="245">
        <v>56.04</v>
      </c>
      <c r="N42" s="245">
        <v>200</v>
      </c>
      <c r="O42" s="245">
        <v>76.72</v>
      </c>
      <c r="P42" s="245"/>
      <c r="Q42" s="245">
        <v>126.23</v>
      </c>
      <c r="R42" s="245">
        <v>500</v>
      </c>
      <c r="S42" s="245">
        <v>125.14</v>
      </c>
      <c r="T42" s="245"/>
      <c r="U42" s="245">
        <v>111.54</v>
      </c>
      <c r="V42" s="245"/>
      <c r="W42" s="245">
        <v>76.17</v>
      </c>
      <c r="X42" s="245">
        <v>300</v>
      </c>
      <c r="Y42" s="245">
        <v>75.63</v>
      </c>
      <c r="Z42" s="245"/>
      <c r="AA42" s="245">
        <v>130.04</v>
      </c>
      <c r="AB42" s="245"/>
      <c r="AC42" s="245">
        <f t="shared" si="5"/>
        <v>1224.22</v>
      </c>
      <c r="AD42" s="245">
        <f t="shared" si="6"/>
        <v>1316</v>
      </c>
      <c r="AE42" s="214">
        <f t="shared" si="7"/>
        <v>170.58</v>
      </c>
      <c r="AF42" s="11">
        <f t="shared" si="0"/>
        <v>393.38</v>
      </c>
      <c r="AG42" s="11">
        <f t="shared" si="1"/>
        <v>300</v>
      </c>
      <c r="AH42" s="11"/>
      <c r="AI42" s="11" t="e">
        <f>#REF!-U42+V42-W42+X42-Y42+Z42-AA42+AB42</f>
        <v>#REF!</v>
      </c>
      <c r="AJ42" s="11"/>
      <c r="AK42" s="11"/>
    </row>
    <row r="43" s="1" customFormat="1" customHeight="1" spans="1:37">
      <c r="A43" s="242">
        <v>39</v>
      </c>
      <c r="B43" s="242" t="s">
        <v>113</v>
      </c>
      <c r="C43" s="243" t="s">
        <v>114</v>
      </c>
      <c r="D43" s="225">
        <v>432.18</v>
      </c>
      <c r="E43" s="225">
        <v>149.08</v>
      </c>
      <c r="F43" s="225">
        <v>500</v>
      </c>
      <c r="G43" s="225">
        <v>151.26</v>
      </c>
      <c r="H43" s="245"/>
      <c r="I43" s="245">
        <v>72.91</v>
      </c>
      <c r="J43" s="245"/>
      <c r="K43" s="245">
        <v>82.16</v>
      </c>
      <c r="L43" s="245"/>
      <c r="M43" s="245">
        <v>94.13</v>
      </c>
      <c r="N43" s="245"/>
      <c r="O43" s="245">
        <v>78.35</v>
      </c>
      <c r="P43" s="245"/>
      <c r="Q43" s="245">
        <v>114.81</v>
      </c>
      <c r="R43" s="245"/>
      <c r="S43" s="245">
        <v>87.06</v>
      </c>
      <c r="T43" s="245">
        <v>500</v>
      </c>
      <c r="U43" s="245">
        <v>99.57</v>
      </c>
      <c r="V43" s="245"/>
      <c r="W43" s="245">
        <v>129.5</v>
      </c>
      <c r="X43" s="245"/>
      <c r="Y43" s="245">
        <v>182.27</v>
      </c>
      <c r="Z43" s="245"/>
      <c r="AA43" s="245">
        <v>168.13</v>
      </c>
      <c r="AB43" s="245">
        <v>500</v>
      </c>
      <c r="AC43" s="245">
        <f t="shared" si="5"/>
        <v>1409.23</v>
      </c>
      <c r="AD43" s="245">
        <f t="shared" si="6"/>
        <v>1500</v>
      </c>
      <c r="AE43" s="214">
        <f t="shared" si="7"/>
        <v>522.95</v>
      </c>
      <c r="AF43" s="11">
        <f t="shared" si="0"/>
        <v>579.47</v>
      </c>
      <c r="AG43" s="11">
        <f t="shared" si="1"/>
        <v>500</v>
      </c>
      <c r="AH43" s="11"/>
      <c r="AI43" s="11" t="e">
        <f>#REF!-U43+V43-W43+X43-Y43+Z43-AA43+AB43</f>
        <v>#REF!</v>
      </c>
      <c r="AJ43" s="11"/>
      <c r="AK43" s="11"/>
    </row>
    <row r="44" s="11" customFormat="1" customHeight="1" spans="1:35">
      <c r="A44" s="242">
        <v>40</v>
      </c>
      <c r="B44" s="242" t="s">
        <v>115</v>
      </c>
      <c r="C44" s="243" t="s">
        <v>116</v>
      </c>
      <c r="D44" s="225">
        <v>643.83</v>
      </c>
      <c r="E44" s="225">
        <v>101.75</v>
      </c>
      <c r="F44" s="225"/>
      <c r="G44" s="225">
        <v>115.89</v>
      </c>
      <c r="H44" s="245"/>
      <c r="I44" s="245">
        <v>93.04</v>
      </c>
      <c r="J44" s="245"/>
      <c r="K44" s="245">
        <v>139.29</v>
      </c>
      <c r="L44" s="245"/>
      <c r="M44" s="245">
        <v>162.14</v>
      </c>
      <c r="N44" s="245"/>
      <c r="O44" s="245">
        <v>59.85</v>
      </c>
      <c r="P44" s="245">
        <v>1000</v>
      </c>
      <c r="Q44" s="245">
        <v>173.02</v>
      </c>
      <c r="R44" s="245"/>
      <c r="S44" s="245">
        <v>145.82</v>
      </c>
      <c r="T44" s="245"/>
      <c r="U44" s="245">
        <v>127.32</v>
      </c>
      <c r="V44" s="245"/>
      <c r="W44" s="245">
        <v>112.63</v>
      </c>
      <c r="X44" s="245"/>
      <c r="Y44" s="245">
        <v>126.23</v>
      </c>
      <c r="Z44" s="245"/>
      <c r="AA44" s="245">
        <v>167.58</v>
      </c>
      <c r="AB44" s="245"/>
      <c r="AC44" s="245">
        <f t="shared" si="5"/>
        <v>1524.56</v>
      </c>
      <c r="AD44" s="245">
        <f t="shared" si="6"/>
        <v>1000</v>
      </c>
      <c r="AE44" s="214">
        <f t="shared" si="7"/>
        <v>119.27</v>
      </c>
      <c r="AF44" s="11">
        <f t="shared" si="0"/>
        <v>533.76</v>
      </c>
      <c r="AG44" s="11">
        <f t="shared" si="1"/>
        <v>0</v>
      </c>
      <c r="AI44" s="11" t="e">
        <f>#REF!-U44+V44-W44+X44-Y44+Z44-AA44+AB44</f>
        <v>#REF!</v>
      </c>
    </row>
    <row r="45" s="11" customFormat="1" customHeight="1" spans="1:35">
      <c r="A45" s="242">
        <v>41</v>
      </c>
      <c r="B45" s="242" t="s">
        <v>117</v>
      </c>
      <c r="C45" s="243" t="s">
        <v>118</v>
      </c>
      <c r="D45" s="225">
        <v>506.15</v>
      </c>
      <c r="E45" s="225">
        <v>63.66</v>
      </c>
      <c r="F45" s="225"/>
      <c r="G45" s="225">
        <v>49.51</v>
      </c>
      <c r="H45" s="245"/>
      <c r="I45" s="245">
        <v>31.01</v>
      </c>
      <c r="J45" s="245"/>
      <c r="K45" s="245">
        <v>58.22</v>
      </c>
      <c r="L45" s="245"/>
      <c r="M45" s="245">
        <v>53.87</v>
      </c>
      <c r="N45" s="245"/>
      <c r="O45" s="245">
        <v>58.2</v>
      </c>
      <c r="P45" s="245"/>
      <c r="Q45" s="245">
        <v>57.13</v>
      </c>
      <c r="R45" s="245"/>
      <c r="S45" s="245">
        <v>31.01</v>
      </c>
      <c r="T45" s="245"/>
      <c r="U45" s="245">
        <v>37</v>
      </c>
      <c r="V45" s="245">
        <v>1000</v>
      </c>
      <c r="W45" s="245">
        <v>44.62</v>
      </c>
      <c r="X45" s="245"/>
      <c r="Y45" s="245">
        <v>45.16</v>
      </c>
      <c r="Z45" s="245"/>
      <c r="AA45" s="245">
        <v>51.15</v>
      </c>
      <c r="AB45" s="245"/>
      <c r="AC45" s="245">
        <f t="shared" si="5"/>
        <v>580.54</v>
      </c>
      <c r="AD45" s="245">
        <f t="shared" si="6"/>
        <v>1000</v>
      </c>
      <c r="AE45" s="214">
        <f t="shared" si="7"/>
        <v>925.61</v>
      </c>
      <c r="AF45" s="11">
        <f t="shared" si="0"/>
        <v>177.93</v>
      </c>
      <c r="AG45" s="11">
        <f t="shared" si="1"/>
        <v>1000</v>
      </c>
      <c r="AI45" s="11" t="e">
        <f>#REF!-U45+V45-W45+X45-Y45+Z45-AA45+AB45</f>
        <v>#REF!</v>
      </c>
    </row>
    <row r="46" s="11" customFormat="1" customHeight="1" spans="1:35">
      <c r="A46" s="242">
        <v>42</v>
      </c>
      <c r="B46" s="242" t="s">
        <v>119</v>
      </c>
      <c r="C46" s="243" t="s">
        <v>120</v>
      </c>
      <c r="D46" s="225">
        <v>283.13</v>
      </c>
      <c r="E46" s="225">
        <v>10.34</v>
      </c>
      <c r="F46" s="225"/>
      <c r="G46" s="225">
        <v>139.29</v>
      </c>
      <c r="H46" s="245"/>
      <c r="I46" s="245">
        <v>124.05</v>
      </c>
      <c r="J46" s="245"/>
      <c r="K46" s="245">
        <v>173.02</v>
      </c>
      <c r="L46" s="245"/>
      <c r="M46" s="245">
        <v>120.25</v>
      </c>
      <c r="N46" s="245">
        <v>500</v>
      </c>
      <c r="O46" s="245">
        <v>138.75</v>
      </c>
      <c r="P46" s="245"/>
      <c r="Q46" s="245">
        <v>62.57</v>
      </c>
      <c r="R46" s="245"/>
      <c r="S46" s="245">
        <v>72.37</v>
      </c>
      <c r="T46" s="245">
        <v>500</v>
      </c>
      <c r="U46" s="245">
        <v>105.56</v>
      </c>
      <c r="V46" s="245"/>
      <c r="W46" s="245">
        <v>145.27</v>
      </c>
      <c r="X46" s="245"/>
      <c r="Y46" s="245">
        <v>209.48</v>
      </c>
      <c r="Z46" s="245">
        <v>1000</v>
      </c>
      <c r="AA46" s="245">
        <v>225.26</v>
      </c>
      <c r="AB46" s="245"/>
      <c r="AC46" s="245">
        <f t="shared" si="5"/>
        <v>1526.21</v>
      </c>
      <c r="AD46" s="245">
        <f t="shared" si="6"/>
        <v>2000</v>
      </c>
      <c r="AE46" s="214">
        <f t="shared" si="7"/>
        <v>756.92</v>
      </c>
      <c r="AF46" s="11">
        <f t="shared" si="0"/>
        <v>685.57</v>
      </c>
      <c r="AG46" s="11">
        <f t="shared" si="1"/>
        <v>1000</v>
      </c>
      <c r="AI46" s="11" t="e">
        <f>#REF!-U46+V46-W46+X46-Y46+Z46-AA46+AB46</f>
        <v>#REF!</v>
      </c>
    </row>
    <row r="47" s="1" customFormat="1" customHeight="1" spans="1:37">
      <c r="A47" s="242">
        <v>43</v>
      </c>
      <c r="B47" s="242" t="s">
        <v>121</v>
      </c>
      <c r="C47" s="243" t="s">
        <v>122</v>
      </c>
      <c r="D47" s="225">
        <v>735.71</v>
      </c>
      <c r="E47" s="225">
        <v>85.42</v>
      </c>
      <c r="F47" s="225"/>
      <c r="G47" s="225">
        <v>163.23</v>
      </c>
      <c r="H47" s="245"/>
      <c r="I47" s="245">
        <v>58.76</v>
      </c>
      <c r="J47" s="245"/>
      <c r="K47" s="245">
        <v>81.62</v>
      </c>
      <c r="L47" s="245"/>
      <c r="M47" s="245">
        <v>68.01</v>
      </c>
      <c r="N47" s="245"/>
      <c r="O47" s="245">
        <v>69.64</v>
      </c>
      <c r="P47" s="245"/>
      <c r="Q47" s="245">
        <v>89.78</v>
      </c>
      <c r="R47" s="245">
        <v>2000</v>
      </c>
      <c r="S47" s="245">
        <v>68.01</v>
      </c>
      <c r="T47" s="245"/>
      <c r="U47" s="245">
        <v>78.35</v>
      </c>
      <c r="V47" s="245"/>
      <c r="W47" s="245">
        <v>62.57</v>
      </c>
      <c r="X47" s="245"/>
      <c r="Y47" s="245">
        <v>87.06</v>
      </c>
      <c r="Z47" s="245"/>
      <c r="AA47" s="245">
        <v>106.64</v>
      </c>
      <c r="AB47" s="245"/>
      <c r="AC47" s="245">
        <f t="shared" si="5"/>
        <v>1019.09</v>
      </c>
      <c r="AD47" s="245">
        <f t="shared" si="6"/>
        <v>2000</v>
      </c>
      <c r="AE47" s="214">
        <f t="shared" si="7"/>
        <v>1716.62</v>
      </c>
      <c r="AF47" s="11">
        <f t="shared" si="0"/>
        <v>334.62</v>
      </c>
      <c r="AG47" s="11">
        <f t="shared" si="1"/>
        <v>0</v>
      </c>
      <c r="AH47" s="11"/>
      <c r="AI47" s="11" t="e">
        <f>#REF!-U47+V47-W47+X47-Y47+Z47-AA47+AB47</f>
        <v>#REF!</v>
      </c>
      <c r="AJ47" s="11"/>
      <c r="AK47" s="11"/>
    </row>
    <row r="48" s="1" customFormat="1" customHeight="1" spans="1:37">
      <c r="A48" s="242">
        <v>44</v>
      </c>
      <c r="B48" s="242" t="s">
        <v>123</v>
      </c>
      <c r="C48" s="243" t="s">
        <v>124</v>
      </c>
      <c r="D48" s="225">
        <v>924.12</v>
      </c>
      <c r="E48" s="225">
        <v>15.23</v>
      </c>
      <c r="F48" s="225"/>
      <c r="G48" s="225">
        <v>61.48</v>
      </c>
      <c r="H48" s="245"/>
      <c r="I48" s="245">
        <v>16.32</v>
      </c>
      <c r="J48" s="245"/>
      <c r="K48" s="245">
        <v>19.04</v>
      </c>
      <c r="L48" s="245"/>
      <c r="M48" s="245">
        <v>11.43</v>
      </c>
      <c r="N48" s="245"/>
      <c r="O48" s="245">
        <v>19.04</v>
      </c>
      <c r="P48" s="245"/>
      <c r="Q48" s="245">
        <v>17.96</v>
      </c>
      <c r="R48" s="245"/>
      <c r="S48" s="245">
        <v>14.15</v>
      </c>
      <c r="T48" s="245"/>
      <c r="U48" s="245">
        <v>17.96</v>
      </c>
      <c r="V48" s="245"/>
      <c r="W48" s="245">
        <v>14.69</v>
      </c>
      <c r="X48" s="245"/>
      <c r="Y48" s="245">
        <v>20.13</v>
      </c>
      <c r="Z48" s="245"/>
      <c r="AA48" s="245">
        <v>95.22</v>
      </c>
      <c r="AB48" s="245"/>
      <c r="AC48" s="245">
        <f t="shared" si="5"/>
        <v>322.65</v>
      </c>
      <c r="AD48" s="245">
        <f t="shared" si="6"/>
        <v>0</v>
      </c>
      <c r="AE48" s="214">
        <f t="shared" si="7"/>
        <v>601.47</v>
      </c>
      <c r="AF48" s="11">
        <f t="shared" si="0"/>
        <v>148</v>
      </c>
      <c r="AG48" s="11">
        <f t="shared" si="1"/>
        <v>0</v>
      </c>
      <c r="AH48" s="11"/>
      <c r="AI48" s="11" t="e">
        <f>#REF!-U48+V48-W48+X48-Y48+Z48-AA48+AB48</f>
        <v>#REF!</v>
      </c>
      <c r="AJ48" s="11"/>
      <c r="AK48" s="11"/>
    </row>
    <row r="49" s="1" customFormat="1" customHeight="1" spans="1:37">
      <c r="A49" s="242">
        <v>45</v>
      </c>
      <c r="B49" s="242" t="s">
        <v>125</v>
      </c>
      <c r="C49" s="243" t="s">
        <v>126</v>
      </c>
      <c r="D49" s="225">
        <v>712.86</v>
      </c>
      <c r="E49" s="225">
        <v>146.91</v>
      </c>
      <c r="F49" s="225"/>
      <c r="G49" s="225">
        <v>204.04</v>
      </c>
      <c r="H49" s="245"/>
      <c r="I49" s="245">
        <v>86.51</v>
      </c>
      <c r="J49" s="245">
        <v>2000</v>
      </c>
      <c r="K49" s="245">
        <v>149.63</v>
      </c>
      <c r="L49" s="245"/>
      <c r="M49" s="245">
        <v>94.67</v>
      </c>
      <c r="N49" s="245"/>
      <c r="O49" s="245">
        <v>82.7</v>
      </c>
      <c r="P49" s="245"/>
      <c r="Q49" s="245">
        <v>114.26</v>
      </c>
      <c r="R49" s="245"/>
      <c r="S49" s="245">
        <v>106.64</v>
      </c>
      <c r="T49" s="245"/>
      <c r="U49" s="245">
        <v>98.48</v>
      </c>
      <c r="V49" s="245"/>
      <c r="W49" s="245">
        <v>77.26</v>
      </c>
      <c r="X49" s="245"/>
      <c r="Y49" s="245">
        <v>103.92</v>
      </c>
      <c r="Z49" s="245"/>
      <c r="AA49" s="245">
        <v>163.77</v>
      </c>
      <c r="AB49" s="245"/>
      <c r="AC49" s="245">
        <f t="shared" si="5"/>
        <v>1428.79</v>
      </c>
      <c r="AD49" s="245">
        <f t="shared" si="6"/>
        <v>2000</v>
      </c>
      <c r="AE49" s="214">
        <f t="shared" si="7"/>
        <v>1284.07</v>
      </c>
      <c r="AF49" s="11">
        <f t="shared" si="0"/>
        <v>443.43</v>
      </c>
      <c r="AG49" s="11">
        <f t="shared" si="1"/>
        <v>0</v>
      </c>
      <c r="AH49" s="11"/>
      <c r="AI49" s="11" t="e">
        <f>#REF!-U49+V49-W49+X49-Y49+Z49-AA49+AB49</f>
        <v>#REF!</v>
      </c>
      <c r="AJ49" s="11"/>
      <c r="AK49" s="11"/>
    </row>
    <row r="50" s="1" customFormat="1" customHeight="1" spans="1:37">
      <c r="A50" s="242">
        <v>46</v>
      </c>
      <c r="B50" s="242" t="s">
        <v>127</v>
      </c>
      <c r="C50" s="243" t="s">
        <v>128</v>
      </c>
      <c r="D50" s="225">
        <v>1091.99</v>
      </c>
      <c r="E50" s="225">
        <v>224.17</v>
      </c>
      <c r="F50" s="225"/>
      <c r="G50" s="225">
        <v>285.65</v>
      </c>
      <c r="H50" s="245"/>
      <c r="I50" s="245">
        <v>152.35</v>
      </c>
      <c r="J50" s="245"/>
      <c r="K50" s="245">
        <v>159.42</v>
      </c>
      <c r="L50" s="245"/>
      <c r="M50" s="245">
        <v>86.51</v>
      </c>
      <c r="N50" s="245"/>
      <c r="O50" s="245">
        <v>128.95</v>
      </c>
      <c r="P50" s="245"/>
      <c r="Q50" s="245">
        <v>170.85</v>
      </c>
      <c r="R50" s="245">
        <v>2000</v>
      </c>
      <c r="S50" s="245">
        <v>192.07</v>
      </c>
      <c r="T50" s="245"/>
      <c r="U50" s="245">
        <v>120.25</v>
      </c>
      <c r="V50" s="245"/>
      <c r="W50" s="245">
        <v>113.17</v>
      </c>
      <c r="X50" s="245"/>
      <c r="Y50" s="245">
        <v>127.86</v>
      </c>
      <c r="Z50" s="245"/>
      <c r="AA50" s="245">
        <v>177.92</v>
      </c>
      <c r="AB50" s="245"/>
      <c r="AC50" s="245">
        <f t="shared" si="5"/>
        <v>1939.17</v>
      </c>
      <c r="AD50" s="245">
        <f t="shared" si="6"/>
        <v>2000</v>
      </c>
      <c r="AE50" s="214">
        <f t="shared" si="7"/>
        <v>1152.82</v>
      </c>
      <c r="AF50" s="11">
        <f t="shared" si="0"/>
        <v>539.2</v>
      </c>
      <c r="AG50" s="11">
        <f t="shared" si="1"/>
        <v>0</v>
      </c>
      <c r="AH50" s="11"/>
      <c r="AI50" s="11" t="e">
        <f>#REF!-U50+V50-W50+X50-Y50+Z50-AA50+AB50</f>
        <v>#REF!</v>
      </c>
      <c r="AJ50" s="11"/>
      <c r="AK50" s="11"/>
    </row>
    <row r="51" s="1" customFormat="1" customHeight="1" spans="1:37">
      <c r="A51" s="242">
        <v>47</v>
      </c>
      <c r="B51" s="242" t="s">
        <v>129</v>
      </c>
      <c r="C51" s="243" t="s">
        <v>130</v>
      </c>
      <c r="D51" s="225">
        <v>-236.97</v>
      </c>
      <c r="E51" s="225">
        <v>219.82</v>
      </c>
      <c r="F51" s="225">
        <v>1000</v>
      </c>
      <c r="G51" s="225">
        <v>280.21</v>
      </c>
      <c r="H51" s="245"/>
      <c r="I51" s="245">
        <v>82.7</v>
      </c>
      <c r="J51" s="245"/>
      <c r="K51" s="245">
        <v>121.88</v>
      </c>
      <c r="L51" s="245"/>
      <c r="M51" s="245">
        <v>122.42</v>
      </c>
      <c r="N51" s="245"/>
      <c r="O51" s="245">
        <v>124.05</v>
      </c>
      <c r="P51" s="245">
        <v>1500</v>
      </c>
      <c r="Q51" s="245">
        <v>207.3</v>
      </c>
      <c r="R51" s="245"/>
      <c r="S51" s="245">
        <v>176.83</v>
      </c>
      <c r="T51" s="245"/>
      <c r="U51" s="245">
        <v>166.49</v>
      </c>
      <c r="V51" s="245"/>
      <c r="W51" s="245">
        <v>114.81</v>
      </c>
      <c r="X51" s="245"/>
      <c r="Y51" s="245">
        <v>118.61</v>
      </c>
      <c r="Z51" s="245"/>
      <c r="AA51" s="245">
        <v>157.24</v>
      </c>
      <c r="AB51" s="245"/>
      <c r="AC51" s="245">
        <f t="shared" si="5"/>
        <v>1892.36</v>
      </c>
      <c r="AD51" s="245">
        <f t="shared" si="6"/>
        <v>2500</v>
      </c>
      <c r="AE51" s="214">
        <f t="shared" si="7"/>
        <v>370.67</v>
      </c>
      <c r="AF51" s="11">
        <f t="shared" si="0"/>
        <v>557.15</v>
      </c>
      <c r="AG51" s="11">
        <f t="shared" si="1"/>
        <v>0</v>
      </c>
      <c r="AH51" s="11"/>
      <c r="AI51" s="11" t="e">
        <f>#REF!-U51+V51-W51+X51-Y51+Z51-AA51+AB51</f>
        <v>#REF!</v>
      </c>
      <c r="AJ51" s="11"/>
      <c r="AK51" s="11"/>
    </row>
    <row r="52" s="1" customFormat="1" customHeight="1" spans="1:37">
      <c r="A52" s="242">
        <v>48</v>
      </c>
      <c r="B52" s="242" t="s">
        <v>131</v>
      </c>
      <c r="C52" s="243" t="s">
        <v>132</v>
      </c>
      <c r="D52" s="225">
        <v>-464.65</v>
      </c>
      <c r="E52" s="225">
        <v>306.87</v>
      </c>
      <c r="F52" s="225">
        <v>488.06</v>
      </c>
      <c r="G52" s="225">
        <v>344.96</v>
      </c>
      <c r="H52" s="245"/>
      <c r="I52" s="245">
        <v>131.67</v>
      </c>
      <c r="J52" s="245">
        <v>306.87</v>
      </c>
      <c r="K52" s="245">
        <v>144.73</v>
      </c>
      <c r="L52" s="245"/>
      <c r="M52" s="245">
        <v>143.1</v>
      </c>
      <c r="N52" s="245">
        <v>1000</v>
      </c>
      <c r="O52" s="245">
        <v>113.17</v>
      </c>
      <c r="P52" s="245"/>
      <c r="Q52" s="245">
        <v>189.35</v>
      </c>
      <c r="R52" s="245"/>
      <c r="S52" s="245">
        <v>143.1</v>
      </c>
      <c r="T52" s="245">
        <v>1000</v>
      </c>
      <c r="U52" s="245">
        <v>201.86</v>
      </c>
      <c r="V52" s="245"/>
      <c r="W52" s="245">
        <v>114.26</v>
      </c>
      <c r="X52" s="245"/>
      <c r="Y52" s="245">
        <v>126.23</v>
      </c>
      <c r="Z52" s="245"/>
      <c r="AA52" s="245">
        <v>171.39</v>
      </c>
      <c r="AB52" s="245"/>
      <c r="AC52" s="245">
        <f t="shared" si="5"/>
        <v>2130.69</v>
      </c>
      <c r="AD52" s="245">
        <f t="shared" si="6"/>
        <v>2794.93</v>
      </c>
      <c r="AE52" s="214">
        <f t="shared" si="7"/>
        <v>199.59</v>
      </c>
      <c r="AF52" s="11">
        <f t="shared" si="0"/>
        <v>613.74</v>
      </c>
      <c r="AG52" s="11">
        <f t="shared" si="1"/>
        <v>0</v>
      </c>
      <c r="AH52" s="11"/>
      <c r="AI52" s="11" t="e">
        <f>#REF!-U52+V52-W52+X52-Y52+Z52-AA52+AB52</f>
        <v>#REF!</v>
      </c>
      <c r="AJ52" s="11"/>
      <c r="AK52" s="11"/>
    </row>
    <row r="53" s="1" customFormat="1" customHeight="1" spans="1:37">
      <c r="A53" s="242">
        <v>49</v>
      </c>
      <c r="B53" s="242" t="s">
        <v>133</v>
      </c>
      <c r="C53" s="243" t="s">
        <v>134</v>
      </c>
      <c r="D53" s="225">
        <v>-605.97</v>
      </c>
      <c r="E53" s="225">
        <v>177.38</v>
      </c>
      <c r="F53" s="225">
        <v>1500</v>
      </c>
      <c r="G53" s="225">
        <v>380.87</v>
      </c>
      <c r="H53" s="245"/>
      <c r="I53" s="245">
        <v>112.63</v>
      </c>
      <c r="J53" s="245"/>
      <c r="K53" s="245">
        <v>151.8</v>
      </c>
      <c r="L53" s="245"/>
      <c r="M53" s="245">
        <v>141.47</v>
      </c>
      <c r="N53" s="245"/>
      <c r="O53" s="245">
        <v>161.05</v>
      </c>
      <c r="P53" s="245"/>
      <c r="Q53" s="245">
        <v>175.2</v>
      </c>
      <c r="R53" s="245">
        <v>1500</v>
      </c>
      <c r="S53" s="245">
        <v>144.73</v>
      </c>
      <c r="T53" s="245"/>
      <c r="U53" s="245">
        <v>161.6</v>
      </c>
      <c r="V53" s="245"/>
      <c r="W53" s="245">
        <v>123.51</v>
      </c>
      <c r="X53" s="245"/>
      <c r="Y53" s="245">
        <v>159.97</v>
      </c>
      <c r="Z53" s="245"/>
      <c r="AA53" s="245">
        <v>174.11</v>
      </c>
      <c r="AB53" s="245"/>
      <c r="AC53" s="245">
        <f t="shared" si="5"/>
        <v>2064.32</v>
      </c>
      <c r="AD53" s="245">
        <f t="shared" si="6"/>
        <v>3000</v>
      </c>
      <c r="AE53" s="214">
        <f t="shared" si="7"/>
        <v>329.71</v>
      </c>
      <c r="AF53" s="11">
        <f t="shared" si="0"/>
        <v>619.19</v>
      </c>
      <c r="AG53" s="11">
        <f t="shared" si="1"/>
        <v>0</v>
      </c>
      <c r="AH53" s="11"/>
      <c r="AI53" s="11" t="e">
        <f>#REF!-U53+V53-W53+X53-Y53+Z53-AA53+AB53</f>
        <v>#REF!</v>
      </c>
      <c r="AJ53" s="11"/>
      <c r="AK53" s="11"/>
    </row>
    <row r="54" s="1" customFormat="1" customHeight="1" spans="1:37">
      <c r="A54" s="242">
        <v>50</v>
      </c>
      <c r="B54" s="242" t="s">
        <v>135</v>
      </c>
      <c r="C54" s="243" t="s">
        <v>136</v>
      </c>
      <c r="D54" s="225">
        <v>-746.21</v>
      </c>
      <c r="E54" s="225">
        <v>96.85</v>
      </c>
      <c r="F54" s="225">
        <v>810</v>
      </c>
      <c r="G54" s="225">
        <v>93.04</v>
      </c>
      <c r="H54" s="245"/>
      <c r="I54" s="245">
        <v>29.38</v>
      </c>
      <c r="J54" s="245"/>
      <c r="K54" s="245">
        <v>36.45</v>
      </c>
      <c r="L54" s="245"/>
      <c r="M54" s="245">
        <v>39.72</v>
      </c>
      <c r="N54" s="245"/>
      <c r="O54" s="245">
        <v>63.66</v>
      </c>
      <c r="P54" s="245"/>
      <c r="Q54" s="245">
        <v>164.32</v>
      </c>
      <c r="R54" s="245"/>
      <c r="S54" s="245">
        <v>301.98</v>
      </c>
      <c r="T54" s="245">
        <v>1000</v>
      </c>
      <c r="U54" s="245">
        <v>234.51</v>
      </c>
      <c r="V54" s="245"/>
      <c r="W54" s="245">
        <v>49.51</v>
      </c>
      <c r="X54" s="245"/>
      <c r="Y54" s="245">
        <v>39.72</v>
      </c>
      <c r="Z54" s="245"/>
      <c r="AA54" s="245">
        <v>35.91</v>
      </c>
      <c r="AB54" s="245"/>
      <c r="AC54" s="245">
        <f t="shared" si="5"/>
        <v>1185.05</v>
      </c>
      <c r="AD54" s="245">
        <f t="shared" si="6"/>
        <v>1810</v>
      </c>
      <c r="AE54" s="214">
        <f t="shared" si="7"/>
        <v>-121.26</v>
      </c>
      <c r="AF54" s="11">
        <f t="shared" si="0"/>
        <v>359.65</v>
      </c>
      <c r="AG54" s="11">
        <f t="shared" si="1"/>
        <v>0</v>
      </c>
      <c r="AH54" s="11"/>
      <c r="AI54" s="11" t="e">
        <f>#REF!-U54+V54-W54+X54-Y54+Z54-AA54+AB54</f>
        <v>#REF!</v>
      </c>
      <c r="AJ54" s="11"/>
      <c r="AK54" s="11"/>
    </row>
    <row r="55" s="1" customFormat="1" customHeight="1" spans="1:37">
      <c r="A55" s="242">
        <v>51</v>
      </c>
      <c r="B55" s="242" t="s">
        <v>137</v>
      </c>
      <c r="C55" s="243" t="s">
        <v>138</v>
      </c>
      <c r="D55" s="225">
        <v>168.02</v>
      </c>
      <c r="E55" s="225">
        <v>82.16</v>
      </c>
      <c r="F55" s="225">
        <v>500</v>
      </c>
      <c r="G55" s="225">
        <v>127.32</v>
      </c>
      <c r="H55" s="245"/>
      <c r="I55" s="245">
        <v>63.66</v>
      </c>
      <c r="J55" s="245"/>
      <c r="K55" s="245">
        <v>79.98</v>
      </c>
      <c r="L55" s="245"/>
      <c r="M55" s="245">
        <v>75.63</v>
      </c>
      <c r="N55" s="245"/>
      <c r="O55" s="245">
        <v>95.76</v>
      </c>
      <c r="P55" s="245"/>
      <c r="Q55" s="245">
        <v>168.13</v>
      </c>
      <c r="R55" s="245"/>
      <c r="S55" s="245">
        <v>291.09</v>
      </c>
      <c r="T55" s="245">
        <v>500</v>
      </c>
      <c r="U55" s="245">
        <v>209.48</v>
      </c>
      <c r="V55" s="245">
        <v>500</v>
      </c>
      <c r="W55" s="245">
        <v>113.17</v>
      </c>
      <c r="X55" s="245"/>
      <c r="Y55" s="245">
        <v>90.86</v>
      </c>
      <c r="Z55" s="245"/>
      <c r="AA55" s="245">
        <v>81.07</v>
      </c>
      <c r="AB55" s="245"/>
      <c r="AC55" s="245">
        <f t="shared" si="5"/>
        <v>1478.31</v>
      </c>
      <c r="AD55" s="245">
        <f t="shared" si="6"/>
        <v>1500</v>
      </c>
      <c r="AE55" s="214">
        <f t="shared" si="7"/>
        <v>189.71</v>
      </c>
      <c r="AF55" s="11">
        <f t="shared" si="0"/>
        <v>494.58</v>
      </c>
      <c r="AG55" s="11">
        <f t="shared" si="1"/>
        <v>500</v>
      </c>
      <c r="AH55" s="11"/>
      <c r="AI55" s="11" t="e">
        <f>#REF!-U55+V55-W55+X55-Y55+Z55-AA55+AB55</f>
        <v>#REF!</v>
      </c>
      <c r="AJ55" s="11"/>
      <c r="AK55" s="11"/>
    </row>
    <row r="56" s="1" customFormat="1" customHeight="1" spans="1:37">
      <c r="A56" s="242">
        <v>52</v>
      </c>
      <c r="B56" s="242" t="s">
        <v>139</v>
      </c>
      <c r="C56" s="243" t="s">
        <v>140</v>
      </c>
      <c r="D56" s="225">
        <v>-39.22</v>
      </c>
      <c r="E56" s="225">
        <v>149.63</v>
      </c>
      <c r="F56" s="225">
        <v>500</v>
      </c>
      <c r="G56" s="225">
        <v>125.14</v>
      </c>
      <c r="H56" s="245"/>
      <c r="I56" s="245">
        <v>74</v>
      </c>
      <c r="J56" s="245"/>
      <c r="K56" s="245">
        <v>122.42</v>
      </c>
      <c r="L56" s="245"/>
      <c r="M56" s="245">
        <v>137.11</v>
      </c>
      <c r="N56" s="245">
        <v>800</v>
      </c>
      <c r="O56" s="245">
        <v>129.5</v>
      </c>
      <c r="P56" s="245"/>
      <c r="Q56" s="245">
        <v>165.95</v>
      </c>
      <c r="R56" s="245"/>
      <c r="S56" s="245">
        <v>89.23</v>
      </c>
      <c r="T56" s="245"/>
      <c r="U56" s="245">
        <v>137.11</v>
      </c>
      <c r="V56" s="245">
        <v>500</v>
      </c>
      <c r="W56" s="245">
        <v>103.92</v>
      </c>
      <c r="X56" s="245"/>
      <c r="Y56" s="245">
        <v>108.82</v>
      </c>
      <c r="Z56" s="245"/>
      <c r="AA56" s="245">
        <v>168.13</v>
      </c>
      <c r="AB56" s="245"/>
      <c r="AC56" s="245">
        <f t="shared" si="5"/>
        <v>1510.96</v>
      </c>
      <c r="AD56" s="245">
        <f t="shared" si="6"/>
        <v>1800</v>
      </c>
      <c r="AE56" s="214">
        <f t="shared" si="7"/>
        <v>249.82</v>
      </c>
      <c r="AF56" s="11">
        <f t="shared" si="0"/>
        <v>517.98</v>
      </c>
      <c r="AG56" s="11">
        <f t="shared" si="1"/>
        <v>500</v>
      </c>
      <c r="AH56" s="11"/>
      <c r="AI56" s="11" t="e">
        <f>#REF!-U56+V56-W56+X56-Y56+Z56-AA56+AB56</f>
        <v>#REF!</v>
      </c>
      <c r="AJ56" s="11"/>
      <c r="AK56" s="11"/>
    </row>
    <row r="57" s="1" customFormat="1" customHeight="1" spans="1:37">
      <c r="A57" s="242">
        <v>53</v>
      </c>
      <c r="B57" s="242" t="s">
        <v>141</v>
      </c>
      <c r="C57" s="243" t="s">
        <v>142</v>
      </c>
      <c r="D57" s="225">
        <v>600.29</v>
      </c>
      <c r="E57" s="225">
        <v>90.86</v>
      </c>
      <c r="F57" s="225"/>
      <c r="G57" s="225">
        <v>271.51</v>
      </c>
      <c r="H57" s="245"/>
      <c r="I57" s="245">
        <v>139.83</v>
      </c>
      <c r="J57" s="245"/>
      <c r="K57" s="245">
        <v>69.64</v>
      </c>
      <c r="L57" s="245"/>
      <c r="M57" s="245">
        <v>62.03</v>
      </c>
      <c r="N57" s="245">
        <v>1000</v>
      </c>
      <c r="O57" s="245">
        <v>70.19</v>
      </c>
      <c r="P57" s="245"/>
      <c r="Q57" s="245">
        <v>134.39</v>
      </c>
      <c r="R57" s="245"/>
      <c r="S57" s="245">
        <v>125.14</v>
      </c>
      <c r="T57" s="245"/>
      <c r="U57" s="245">
        <v>118.61</v>
      </c>
      <c r="V57" s="245"/>
      <c r="W57" s="245">
        <v>94.67</v>
      </c>
      <c r="X57" s="245"/>
      <c r="Y57" s="245">
        <v>86.51</v>
      </c>
      <c r="Z57" s="245"/>
      <c r="AA57" s="245">
        <v>119.7</v>
      </c>
      <c r="AB57" s="245"/>
      <c r="AC57" s="245">
        <f t="shared" si="5"/>
        <v>1383.08</v>
      </c>
      <c r="AD57" s="245">
        <f t="shared" si="6"/>
        <v>1000</v>
      </c>
      <c r="AE57" s="214">
        <f t="shared" si="7"/>
        <v>217.21</v>
      </c>
      <c r="AF57" s="11">
        <f t="shared" si="0"/>
        <v>419.49</v>
      </c>
      <c r="AG57" s="11">
        <f t="shared" si="1"/>
        <v>0</v>
      </c>
      <c r="AH57" s="11"/>
      <c r="AI57" s="11" t="e">
        <f>#REF!-U57+V57-W57+X57-Y57+Z57-AA57+AB57</f>
        <v>#REF!</v>
      </c>
      <c r="AJ57" s="11"/>
      <c r="AK57" s="11"/>
    </row>
    <row r="58" s="1" customFormat="1" customHeight="1" spans="1:37">
      <c r="A58" s="242">
        <v>54</v>
      </c>
      <c r="B58" s="242" t="s">
        <v>143</v>
      </c>
      <c r="C58" s="243" t="s">
        <v>144</v>
      </c>
      <c r="D58" s="225">
        <v>-335.01</v>
      </c>
      <c r="E58" s="225">
        <v>106.1</v>
      </c>
      <c r="F58" s="225"/>
      <c r="G58" s="225">
        <v>101.75</v>
      </c>
      <c r="H58" s="245">
        <v>1000</v>
      </c>
      <c r="I58" s="245">
        <v>54.41</v>
      </c>
      <c r="J58" s="245"/>
      <c r="K58" s="245">
        <v>84.34</v>
      </c>
      <c r="L58" s="245"/>
      <c r="M58" s="245">
        <v>72.37</v>
      </c>
      <c r="N58" s="245"/>
      <c r="O58" s="245">
        <v>79.98</v>
      </c>
      <c r="P58" s="245"/>
      <c r="Q58" s="245">
        <v>113.72</v>
      </c>
      <c r="R58" s="245"/>
      <c r="S58" s="245">
        <v>99.03</v>
      </c>
      <c r="T58" s="245"/>
      <c r="U58" s="245">
        <v>92.5</v>
      </c>
      <c r="V58" s="245"/>
      <c r="W58" s="245">
        <v>77.26</v>
      </c>
      <c r="X58" s="245"/>
      <c r="Y58" s="245">
        <v>88.14</v>
      </c>
      <c r="Z58" s="245"/>
      <c r="AA58" s="245">
        <v>109.36</v>
      </c>
      <c r="AB58" s="245">
        <v>500</v>
      </c>
      <c r="AC58" s="245">
        <f t="shared" si="5"/>
        <v>1078.96</v>
      </c>
      <c r="AD58" s="245">
        <f t="shared" si="6"/>
        <v>1500</v>
      </c>
      <c r="AE58" s="214">
        <f t="shared" si="7"/>
        <v>86.03</v>
      </c>
      <c r="AF58" s="11">
        <f t="shared" si="0"/>
        <v>367.26</v>
      </c>
      <c r="AG58" s="11">
        <f t="shared" si="1"/>
        <v>500</v>
      </c>
      <c r="AH58" s="11"/>
      <c r="AI58" s="11" t="e">
        <f>#REF!-U58+V58-W58+X58-Y58+Z58-AA58+AB58</f>
        <v>#REF!</v>
      </c>
      <c r="AJ58" s="11"/>
      <c r="AK58" s="11"/>
    </row>
    <row r="59" s="1" customFormat="1" customHeight="1" spans="1:37">
      <c r="A59" s="242">
        <v>55</v>
      </c>
      <c r="B59" s="242" t="s">
        <v>145</v>
      </c>
      <c r="C59" s="243" t="s">
        <v>146</v>
      </c>
      <c r="D59" s="225">
        <v>-320.37</v>
      </c>
      <c r="E59" s="225">
        <v>426.57</v>
      </c>
      <c r="F59" s="225">
        <v>500</v>
      </c>
      <c r="G59" s="225">
        <v>521.25</v>
      </c>
      <c r="H59" s="245"/>
      <c r="I59" s="245">
        <v>207.85</v>
      </c>
      <c r="J59" s="245"/>
      <c r="K59" s="245">
        <v>220.9</v>
      </c>
      <c r="L59" s="245">
        <v>1000</v>
      </c>
      <c r="M59" s="245">
        <v>203.49</v>
      </c>
      <c r="N59" s="245">
        <v>500</v>
      </c>
      <c r="O59" s="245">
        <v>177.92</v>
      </c>
      <c r="P59" s="245"/>
      <c r="Q59" s="245">
        <v>266.61</v>
      </c>
      <c r="R59" s="245">
        <v>500</v>
      </c>
      <c r="S59" s="245">
        <v>234.51</v>
      </c>
      <c r="T59" s="245"/>
      <c r="U59" s="245">
        <v>261.71</v>
      </c>
      <c r="V59" s="245">
        <v>500</v>
      </c>
      <c r="W59" s="245">
        <v>228.52</v>
      </c>
      <c r="X59" s="245"/>
      <c r="Y59" s="245">
        <v>218.73</v>
      </c>
      <c r="Z59" s="245">
        <v>500</v>
      </c>
      <c r="AA59" s="245">
        <v>227.98</v>
      </c>
      <c r="AB59" s="245"/>
      <c r="AC59" s="245">
        <f t="shared" si="5"/>
        <v>3196.04</v>
      </c>
      <c r="AD59" s="245">
        <f t="shared" si="6"/>
        <v>3500</v>
      </c>
      <c r="AE59" s="214">
        <f t="shared" si="7"/>
        <v>-16.4100000000003</v>
      </c>
      <c r="AF59" s="11">
        <f t="shared" si="0"/>
        <v>936.94</v>
      </c>
      <c r="AG59" s="11">
        <f t="shared" si="1"/>
        <v>1000</v>
      </c>
      <c r="AH59" s="11"/>
      <c r="AI59" s="11" t="e">
        <f>#REF!-U59+V59-W59+X59-Y59+Z59-AA59+AB59</f>
        <v>#REF!</v>
      </c>
      <c r="AJ59" s="11"/>
      <c r="AK59" s="11"/>
    </row>
    <row r="60" s="1" customFormat="1" customHeight="1" spans="1:37">
      <c r="A60" s="242">
        <v>56</v>
      </c>
      <c r="B60" s="242" t="s">
        <v>147</v>
      </c>
      <c r="C60" s="243" t="s">
        <v>148</v>
      </c>
      <c r="D60" s="225">
        <v>358.9</v>
      </c>
      <c r="E60" s="225">
        <v>149.08</v>
      </c>
      <c r="F60" s="225"/>
      <c r="G60" s="225">
        <v>200.23</v>
      </c>
      <c r="H60" s="245"/>
      <c r="I60" s="245">
        <v>83.79</v>
      </c>
      <c r="J60" s="245"/>
      <c r="K60" s="245">
        <v>126.23</v>
      </c>
      <c r="L60" s="245"/>
      <c r="M60" s="245">
        <v>100.11</v>
      </c>
      <c r="N60" s="245">
        <v>1000</v>
      </c>
      <c r="O60" s="245">
        <v>102.83</v>
      </c>
      <c r="P60" s="245"/>
      <c r="Q60" s="245">
        <v>109.36</v>
      </c>
      <c r="R60" s="245"/>
      <c r="S60" s="245">
        <v>121.33</v>
      </c>
      <c r="T60" s="245"/>
      <c r="U60" s="245">
        <v>85.42</v>
      </c>
      <c r="V60" s="245"/>
      <c r="W60" s="245">
        <v>80.53</v>
      </c>
      <c r="X60" s="245"/>
      <c r="Y60" s="245">
        <v>93.04</v>
      </c>
      <c r="Z60" s="245">
        <v>500</v>
      </c>
      <c r="AA60" s="245">
        <v>126.23</v>
      </c>
      <c r="AB60" s="245"/>
      <c r="AC60" s="245">
        <f t="shared" si="5"/>
        <v>1378.18</v>
      </c>
      <c r="AD60" s="245">
        <f t="shared" si="6"/>
        <v>1500</v>
      </c>
      <c r="AE60" s="214">
        <f t="shared" si="7"/>
        <v>480.72</v>
      </c>
      <c r="AF60" s="11">
        <f t="shared" si="0"/>
        <v>385.22</v>
      </c>
      <c r="AG60" s="11">
        <f t="shared" si="1"/>
        <v>500</v>
      </c>
      <c r="AH60" s="11"/>
      <c r="AI60" s="11" t="e">
        <f>#REF!-U60+V60-W60+X60-Y60+Z60-AA60+AB60</f>
        <v>#REF!</v>
      </c>
      <c r="AJ60" s="11"/>
      <c r="AK60" s="11"/>
    </row>
    <row r="61" s="1" customFormat="1" customHeight="1" spans="1:37">
      <c r="A61" s="242">
        <v>57</v>
      </c>
      <c r="B61" s="242" t="s">
        <v>149</v>
      </c>
      <c r="C61" s="243" t="s">
        <v>150</v>
      </c>
      <c r="D61" s="225">
        <v>-731.05</v>
      </c>
      <c r="E61" s="225">
        <v>138.2</v>
      </c>
      <c r="F61" s="225">
        <v>1000</v>
      </c>
      <c r="G61" s="225">
        <v>175.2</v>
      </c>
      <c r="H61" s="245"/>
      <c r="I61" s="245">
        <v>38.63</v>
      </c>
      <c r="J61" s="245">
        <v>1000</v>
      </c>
      <c r="K61" s="245">
        <v>68.56</v>
      </c>
      <c r="L61" s="245"/>
      <c r="M61" s="245">
        <v>59.85</v>
      </c>
      <c r="N61" s="245"/>
      <c r="O61" s="245">
        <v>57.13</v>
      </c>
      <c r="P61" s="245"/>
      <c r="Q61" s="245">
        <v>79.98</v>
      </c>
      <c r="R61" s="245"/>
      <c r="S61" s="245">
        <v>112.08</v>
      </c>
      <c r="T61" s="245"/>
      <c r="U61" s="245">
        <v>80.53</v>
      </c>
      <c r="V61" s="245"/>
      <c r="W61" s="245">
        <v>60.94</v>
      </c>
      <c r="X61" s="245"/>
      <c r="Y61" s="245">
        <v>64.75</v>
      </c>
      <c r="Z61" s="245"/>
      <c r="AA61" s="245">
        <v>102.29</v>
      </c>
      <c r="AB61" s="245">
        <v>1000</v>
      </c>
      <c r="AC61" s="245">
        <f t="shared" si="5"/>
        <v>1038.14</v>
      </c>
      <c r="AD61" s="245">
        <f t="shared" si="6"/>
        <v>3000</v>
      </c>
      <c r="AE61" s="214">
        <f t="shared" si="7"/>
        <v>1230.81</v>
      </c>
      <c r="AF61" s="11">
        <f t="shared" si="0"/>
        <v>308.51</v>
      </c>
      <c r="AG61" s="11">
        <f t="shared" si="1"/>
        <v>1000</v>
      </c>
      <c r="AH61" s="11"/>
      <c r="AI61" s="11" t="e">
        <f>#REF!-U61+V61-W61+X61-Y61+Z61-AA61+AB61</f>
        <v>#REF!</v>
      </c>
      <c r="AJ61" s="11"/>
      <c r="AK61" s="11"/>
    </row>
    <row r="62" s="1" customFormat="1" customHeight="1" spans="1:37">
      <c r="A62" s="242">
        <v>58</v>
      </c>
      <c r="B62" s="242" t="s">
        <v>151</v>
      </c>
      <c r="C62" s="243" t="s">
        <v>152</v>
      </c>
      <c r="D62" s="225">
        <v>254.3</v>
      </c>
      <c r="E62" s="225">
        <v>32.1</v>
      </c>
      <c r="F62" s="225"/>
      <c r="G62" s="225">
        <v>15.78</v>
      </c>
      <c r="H62" s="245"/>
      <c r="I62" s="245">
        <v>20.13</v>
      </c>
      <c r="J62" s="245"/>
      <c r="K62" s="245">
        <v>50.6</v>
      </c>
      <c r="L62" s="245"/>
      <c r="M62" s="245">
        <v>16.87</v>
      </c>
      <c r="N62" s="245"/>
      <c r="O62" s="245">
        <v>66.92</v>
      </c>
      <c r="P62" s="245"/>
      <c r="Q62" s="245">
        <v>175.2</v>
      </c>
      <c r="R62" s="245"/>
      <c r="S62" s="245">
        <v>161.6</v>
      </c>
      <c r="T62" s="245"/>
      <c r="U62" s="245">
        <v>62.57</v>
      </c>
      <c r="V62" s="245">
        <v>500</v>
      </c>
      <c r="W62" s="245">
        <v>13.6</v>
      </c>
      <c r="X62" s="245"/>
      <c r="Y62" s="245">
        <v>8.16</v>
      </c>
      <c r="Z62" s="245"/>
      <c r="AA62" s="245">
        <v>14.69</v>
      </c>
      <c r="AB62" s="245"/>
      <c r="AC62" s="245">
        <f t="shared" si="5"/>
        <v>638.22</v>
      </c>
      <c r="AD62" s="245">
        <f t="shared" si="6"/>
        <v>500</v>
      </c>
      <c r="AE62" s="214">
        <f t="shared" si="7"/>
        <v>116.08</v>
      </c>
      <c r="AF62" s="11">
        <f t="shared" si="0"/>
        <v>99.02</v>
      </c>
      <c r="AG62" s="11">
        <f t="shared" si="1"/>
        <v>500</v>
      </c>
      <c r="AH62" s="11"/>
      <c r="AI62" s="11" t="e">
        <f>#REF!-U62+V62-W62+X62-Y62+Z62-AA62+AB62</f>
        <v>#REF!</v>
      </c>
      <c r="AJ62" s="11"/>
      <c r="AK62" s="11"/>
    </row>
    <row r="63" s="1" customFormat="1" customHeight="1" spans="1:37">
      <c r="A63" s="242">
        <v>59</v>
      </c>
      <c r="B63" s="242" t="s">
        <v>153</v>
      </c>
      <c r="C63" s="243" t="s">
        <v>154</v>
      </c>
      <c r="D63" s="225">
        <v>134.6</v>
      </c>
      <c r="E63" s="225">
        <v>153.44</v>
      </c>
      <c r="F63" s="225"/>
      <c r="G63" s="225">
        <v>198.6</v>
      </c>
      <c r="H63" s="245">
        <v>500</v>
      </c>
      <c r="I63" s="245">
        <v>74.54</v>
      </c>
      <c r="J63" s="245"/>
      <c r="K63" s="245">
        <v>122.42</v>
      </c>
      <c r="L63" s="245"/>
      <c r="M63" s="245">
        <v>139.83</v>
      </c>
      <c r="N63" s="245">
        <v>1200</v>
      </c>
      <c r="O63" s="245">
        <v>137.11</v>
      </c>
      <c r="P63" s="245">
        <v>1000</v>
      </c>
      <c r="Q63" s="245">
        <v>240.49</v>
      </c>
      <c r="R63" s="245"/>
      <c r="S63" s="245">
        <v>308.5</v>
      </c>
      <c r="T63" s="245"/>
      <c r="U63" s="245">
        <v>306.87</v>
      </c>
      <c r="V63" s="245"/>
      <c r="W63" s="245">
        <v>247.57</v>
      </c>
      <c r="X63" s="245"/>
      <c r="Y63" s="245">
        <v>138.2</v>
      </c>
      <c r="Z63" s="245"/>
      <c r="AA63" s="245">
        <v>168.67</v>
      </c>
      <c r="AB63" s="245"/>
      <c r="AC63" s="245">
        <f t="shared" si="5"/>
        <v>2236.24</v>
      </c>
      <c r="AD63" s="245">
        <f t="shared" si="6"/>
        <v>2700</v>
      </c>
      <c r="AE63" s="214">
        <f t="shared" si="7"/>
        <v>598.36</v>
      </c>
      <c r="AF63" s="11">
        <f t="shared" si="0"/>
        <v>861.31</v>
      </c>
      <c r="AG63" s="11">
        <f t="shared" si="1"/>
        <v>0</v>
      </c>
      <c r="AH63" s="11"/>
      <c r="AI63" s="11" t="e">
        <f>#REF!-U63+V63-W63+X63-Y63+Z63-AA63+AB63</f>
        <v>#REF!</v>
      </c>
      <c r="AJ63" s="11"/>
      <c r="AK63" s="11"/>
    </row>
    <row r="64" s="1" customFormat="1" customHeight="1" spans="1:37">
      <c r="A64" s="242">
        <v>60</v>
      </c>
      <c r="B64" s="242" t="s">
        <v>155</v>
      </c>
      <c r="C64" s="243" t="s">
        <v>156</v>
      </c>
      <c r="D64" s="225">
        <v>-210.41</v>
      </c>
      <c r="E64" s="225">
        <v>135.48</v>
      </c>
      <c r="F64" s="225"/>
      <c r="G64" s="225">
        <v>301.98</v>
      </c>
      <c r="H64" s="245"/>
      <c r="I64" s="245">
        <v>87.6</v>
      </c>
      <c r="J64" s="245">
        <v>1000</v>
      </c>
      <c r="K64" s="245">
        <v>140.38</v>
      </c>
      <c r="L64" s="245"/>
      <c r="M64" s="245">
        <v>75.63</v>
      </c>
      <c r="N64" s="245"/>
      <c r="O64" s="245">
        <v>106.64</v>
      </c>
      <c r="P64" s="245"/>
      <c r="Q64" s="245">
        <v>113.72</v>
      </c>
      <c r="R64" s="245"/>
      <c r="S64" s="245">
        <v>86.51</v>
      </c>
      <c r="T64" s="245"/>
      <c r="U64" s="245">
        <v>48.97</v>
      </c>
      <c r="V64" s="245">
        <v>1000</v>
      </c>
      <c r="W64" s="245">
        <v>72.37</v>
      </c>
      <c r="X64" s="245"/>
      <c r="Y64" s="245">
        <v>143.64</v>
      </c>
      <c r="Z64" s="245"/>
      <c r="AA64" s="245">
        <v>161.6</v>
      </c>
      <c r="AB64" s="245"/>
      <c r="AC64" s="245">
        <f t="shared" si="5"/>
        <v>1474.52</v>
      </c>
      <c r="AD64" s="245">
        <f t="shared" si="6"/>
        <v>2000</v>
      </c>
      <c r="AE64" s="214">
        <f t="shared" si="7"/>
        <v>315.07</v>
      </c>
      <c r="AF64" s="11">
        <f t="shared" si="0"/>
        <v>426.58</v>
      </c>
      <c r="AG64" s="11">
        <f t="shared" si="1"/>
        <v>1000</v>
      </c>
      <c r="AH64" s="11"/>
      <c r="AI64" s="11" t="e">
        <f>#REF!-U64+V64-W64+X64-Y64+Z64-AA64+AB64</f>
        <v>#REF!</v>
      </c>
      <c r="AJ64" s="11"/>
      <c r="AK64" s="11"/>
    </row>
    <row r="65" s="1" customFormat="1" customHeight="1" spans="1:37">
      <c r="A65" s="242">
        <v>61</v>
      </c>
      <c r="B65" s="242" t="s">
        <v>157</v>
      </c>
      <c r="C65" s="243" t="s">
        <v>158</v>
      </c>
      <c r="D65" s="225">
        <v>280.96</v>
      </c>
      <c r="E65" s="225">
        <v>33.73</v>
      </c>
      <c r="F65" s="225"/>
      <c r="G65" s="225">
        <v>33.73</v>
      </c>
      <c r="H65" s="245"/>
      <c r="I65" s="245">
        <v>33.73</v>
      </c>
      <c r="J65" s="245"/>
      <c r="K65" s="245">
        <v>33.73</v>
      </c>
      <c r="L65" s="245"/>
      <c r="M65" s="245">
        <v>33.73</v>
      </c>
      <c r="N65" s="245"/>
      <c r="O65" s="245">
        <v>33.73</v>
      </c>
      <c r="P65" s="245">
        <v>250</v>
      </c>
      <c r="Q65" s="245">
        <v>33.73</v>
      </c>
      <c r="R65" s="245"/>
      <c r="S65" s="245">
        <v>3.81</v>
      </c>
      <c r="T65" s="245"/>
      <c r="U65" s="245">
        <v>22.31</v>
      </c>
      <c r="V65" s="245"/>
      <c r="W65" s="245">
        <v>34.82</v>
      </c>
      <c r="X65" s="245"/>
      <c r="Y65" s="245">
        <v>64.2</v>
      </c>
      <c r="Z65" s="245"/>
      <c r="AA65" s="245">
        <v>87.6</v>
      </c>
      <c r="AB65" s="245">
        <v>260</v>
      </c>
      <c r="AC65" s="245">
        <f t="shared" si="5"/>
        <v>448.85</v>
      </c>
      <c r="AD65" s="245">
        <f t="shared" si="6"/>
        <v>510</v>
      </c>
      <c r="AE65" s="214">
        <f t="shared" si="7"/>
        <v>342.11</v>
      </c>
      <c r="AF65" s="11">
        <f t="shared" si="0"/>
        <v>208.93</v>
      </c>
      <c r="AG65" s="11">
        <f t="shared" si="1"/>
        <v>260</v>
      </c>
      <c r="AH65" s="11"/>
      <c r="AI65" s="11" t="e">
        <f>#REF!-U65+V65-W65+X65-Y65+Z65-AA65+AB65</f>
        <v>#REF!</v>
      </c>
      <c r="AJ65" s="11"/>
      <c r="AK65" s="11"/>
    </row>
    <row r="66" s="1" customFormat="1" customHeight="1" spans="1:37">
      <c r="A66" s="242">
        <v>62</v>
      </c>
      <c r="B66" s="242" t="s">
        <v>159</v>
      </c>
      <c r="C66" s="243" t="s">
        <v>160</v>
      </c>
      <c r="D66" s="225">
        <v>507.03</v>
      </c>
      <c r="E66" s="225">
        <v>218.18</v>
      </c>
      <c r="F66" s="225"/>
      <c r="G66" s="225">
        <v>284.02</v>
      </c>
      <c r="H66" s="245"/>
      <c r="I66" s="245">
        <v>100.11</v>
      </c>
      <c r="J66" s="245"/>
      <c r="K66" s="245">
        <v>132.76</v>
      </c>
      <c r="L66" s="245"/>
      <c r="M66" s="245">
        <v>121.33</v>
      </c>
      <c r="N66" s="245">
        <v>1000</v>
      </c>
      <c r="O66" s="245">
        <v>162.69</v>
      </c>
      <c r="P66" s="245"/>
      <c r="Q66" s="245">
        <v>263.34</v>
      </c>
      <c r="R66" s="245"/>
      <c r="S66" s="245">
        <v>241.58</v>
      </c>
      <c r="T66" s="245"/>
      <c r="U66" s="245">
        <v>216.01</v>
      </c>
      <c r="V66" s="245">
        <v>1000</v>
      </c>
      <c r="W66" s="245">
        <v>139.83</v>
      </c>
      <c r="X66" s="245"/>
      <c r="Y66" s="245">
        <v>108.28</v>
      </c>
      <c r="Z66" s="245"/>
      <c r="AA66" s="245">
        <v>131.67</v>
      </c>
      <c r="AB66" s="245"/>
      <c r="AC66" s="245">
        <f t="shared" si="5"/>
        <v>2119.8</v>
      </c>
      <c r="AD66" s="245">
        <f t="shared" si="6"/>
        <v>2000</v>
      </c>
      <c r="AE66" s="214">
        <f t="shared" si="7"/>
        <v>387.230000000001</v>
      </c>
      <c r="AF66" s="11">
        <f t="shared" si="0"/>
        <v>595.79</v>
      </c>
      <c r="AG66" s="11">
        <f t="shared" si="1"/>
        <v>1000</v>
      </c>
      <c r="AH66" s="11"/>
      <c r="AI66" s="11" t="e">
        <f>#REF!-U66+V66-W66+X66-Y66+Z66-AA66+AB66</f>
        <v>#REF!</v>
      </c>
      <c r="AJ66" s="11"/>
      <c r="AK66" s="11"/>
    </row>
    <row r="67" s="1" customFormat="1" customHeight="1" spans="1:37">
      <c r="A67" s="242">
        <v>63</v>
      </c>
      <c r="B67" s="242" t="s">
        <v>161</v>
      </c>
      <c r="C67" s="243" t="s">
        <v>162</v>
      </c>
      <c r="D67" s="225">
        <v>1349.88</v>
      </c>
      <c r="E67" s="225">
        <v>137.11</v>
      </c>
      <c r="F67" s="225"/>
      <c r="G67" s="225">
        <v>344.42</v>
      </c>
      <c r="H67" s="245"/>
      <c r="I67" s="245">
        <v>131.13</v>
      </c>
      <c r="J67" s="245">
        <v>1000</v>
      </c>
      <c r="K67" s="245">
        <v>188.26</v>
      </c>
      <c r="L67" s="245"/>
      <c r="M67" s="245">
        <v>154.52</v>
      </c>
      <c r="N67" s="245"/>
      <c r="O67" s="245">
        <v>186.63</v>
      </c>
      <c r="P67" s="245"/>
      <c r="Q67" s="245">
        <v>285.65</v>
      </c>
      <c r="R67" s="245"/>
      <c r="S67" s="245">
        <v>257.9</v>
      </c>
      <c r="T67" s="245">
        <v>1000</v>
      </c>
      <c r="U67" s="245">
        <v>235.6</v>
      </c>
      <c r="V67" s="245"/>
      <c r="W67" s="245">
        <v>170.85</v>
      </c>
      <c r="X67" s="245">
        <v>1000</v>
      </c>
      <c r="Y67" s="245">
        <v>255.18</v>
      </c>
      <c r="Z67" s="245"/>
      <c r="AA67" s="245">
        <v>264.98</v>
      </c>
      <c r="AB67" s="245"/>
      <c r="AC67" s="245">
        <f t="shared" si="5"/>
        <v>2612.23</v>
      </c>
      <c r="AD67" s="245">
        <f t="shared" si="6"/>
        <v>3000</v>
      </c>
      <c r="AE67" s="214">
        <f t="shared" si="7"/>
        <v>1737.65</v>
      </c>
      <c r="AF67" s="11">
        <f t="shared" si="0"/>
        <v>926.61</v>
      </c>
      <c r="AG67" s="11">
        <f t="shared" si="1"/>
        <v>1000</v>
      </c>
      <c r="AH67" s="11"/>
      <c r="AI67" s="11" t="e">
        <f>#REF!-U67+V67-W67+X67-Y67+Z67-AA67+AB67</f>
        <v>#REF!</v>
      </c>
      <c r="AJ67" s="11"/>
      <c r="AK67" s="11"/>
    </row>
    <row r="68" s="1" customFormat="1" customHeight="1" spans="1:37">
      <c r="A68" s="242">
        <v>64</v>
      </c>
      <c r="B68" s="242" t="s">
        <v>163</v>
      </c>
      <c r="C68" s="243" t="s">
        <v>164</v>
      </c>
      <c r="D68" s="225">
        <v>608.95</v>
      </c>
      <c r="E68" s="225">
        <v>164.86</v>
      </c>
      <c r="F68" s="225"/>
      <c r="G68" s="225">
        <v>310.68</v>
      </c>
      <c r="H68" s="245"/>
      <c r="I68" s="245">
        <v>128.41</v>
      </c>
      <c r="J68" s="245"/>
      <c r="K68" s="245">
        <v>148.54</v>
      </c>
      <c r="L68" s="245"/>
      <c r="M68" s="245">
        <v>112.08</v>
      </c>
      <c r="N68" s="245">
        <v>1000</v>
      </c>
      <c r="O68" s="245">
        <v>90.86</v>
      </c>
      <c r="P68" s="245"/>
      <c r="Q68" s="245">
        <v>105.01</v>
      </c>
      <c r="R68" s="245"/>
      <c r="S68" s="245">
        <v>104.47</v>
      </c>
      <c r="T68" s="245"/>
      <c r="U68" s="245">
        <v>98.48</v>
      </c>
      <c r="V68" s="245">
        <v>1000</v>
      </c>
      <c r="W68" s="245">
        <v>68.56</v>
      </c>
      <c r="X68" s="245"/>
      <c r="Y68" s="245">
        <v>88.14</v>
      </c>
      <c r="Z68" s="245"/>
      <c r="AA68" s="245">
        <v>83.79</v>
      </c>
      <c r="AB68" s="245"/>
      <c r="AC68" s="245">
        <f t="shared" si="5"/>
        <v>1503.88</v>
      </c>
      <c r="AD68" s="245">
        <f t="shared" si="6"/>
        <v>2000</v>
      </c>
      <c r="AE68" s="214">
        <f t="shared" si="7"/>
        <v>1105.07</v>
      </c>
      <c r="AF68" s="11">
        <f t="shared" si="0"/>
        <v>338.97</v>
      </c>
      <c r="AG68" s="11">
        <f t="shared" si="1"/>
        <v>1000</v>
      </c>
      <c r="AH68" s="11"/>
      <c r="AI68" s="11" t="e">
        <f>#REF!-U68+V68-W68+X68-Y68+Z68-AA68+AB68</f>
        <v>#REF!</v>
      </c>
      <c r="AJ68" s="11"/>
      <c r="AK68" s="11"/>
    </row>
    <row r="69" s="1" customFormat="1" customHeight="1" spans="1:37">
      <c r="A69" s="242">
        <v>65</v>
      </c>
      <c r="B69" s="242"/>
      <c r="C69" s="108" t="s">
        <v>165</v>
      </c>
      <c r="D69" s="225">
        <v>1225.2</v>
      </c>
      <c r="E69" s="225">
        <v>19.59</v>
      </c>
      <c r="F69" s="225"/>
      <c r="G69" s="225">
        <v>31.56</v>
      </c>
      <c r="H69" s="245"/>
      <c r="I69" s="245">
        <v>34.28</v>
      </c>
      <c r="J69" s="245"/>
      <c r="K69" s="245"/>
      <c r="L69" s="245"/>
      <c r="M69" s="245">
        <v>69.1</v>
      </c>
      <c r="N69" s="245"/>
      <c r="O69" s="245">
        <v>53.32</v>
      </c>
      <c r="P69" s="245"/>
      <c r="Q69" s="245">
        <v>81.07</v>
      </c>
      <c r="R69" s="245"/>
      <c r="S69" s="245">
        <v>72.91</v>
      </c>
      <c r="T69" s="245"/>
      <c r="U69" s="245">
        <v>70.19</v>
      </c>
      <c r="V69" s="245"/>
      <c r="W69" s="245">
        <v>52.78</v>
      </c>
      <c r="X69" s="245"/>
      <c r="Y69" s="245">
        <v>47.34</v>
      </c>
      <c r="Z69" s="245"/>
      <c r="AA69" s="245">
        <v>56.04</v>
      </c>
      <c r="AB69" s="245"/>
      <c r="AC69" s="245">
        <f t="shared" si="5"/>
        <v>588.18</v>
      </c>
      <c r="AD69" s="245">
        <f t="shared" si="6"/>
        <v>0</v>
      </c>
      <c r="AE69" s="214">
        <f t="shared" si="7"/>
        <v>637.02</v>
      </c>
      <c r="AF69" s="11">
        <f t="shared" ref="AF69:AF132" si="8">U69+W69+Y69+AA69</f>
        <v>226.35</v>
      </c>
      <c r="AG69" s="11">
        <f t="shared" ref="AG69:AG132" si="9">V69+X69+Z69+AB69</f>
        <v>0</v>
      </c>
      <c r="AH69" s="11"/>
      <c r="AI69" s="11" t="e">
        <f>#REF!-U69+V69-W69+X69-Y69+Z69-AA69+AB69</f>
        <v>#REF!</v>
      </c>
      <c r="AJ69" s="11"/>
      <c r="AK69" s="11"/>
    </row>
    <row r="70" s="239" customFormat="1" customHeight="1" spans="1:37">
      <c r="A70" s="242">
        <v>66</v>
      </c>
      <c r="B70" s="242"/>
      <c r="C70" s="108" t="s">
        <v>166</v>
      </c>
      <c r="D70" s="225">
        <v>-381.79</v>
      </c>
      <c r="E70" s="225">
        <v>12.47</v>
      </c>
      <c r="F70" s="225"/>
      <c r="G70" s="225">
        <v>30.77</v>
      </c>
      <c r="H70" s="245"/>
      <c r="I70" s="245">
        <v>8.5</v>
      </c>
      <c r="J70" s="245"/>
      <c r="K70" s="245"/>
      <c r="L70" s="245"/>
      <c r="M70" s="245">
        <v>47.6</v>
      </c>
      <c r="N70" s="245"/>
      <c r="O70" s="245"/>
      <c r="P70" s="245"/>
      <c r="Q70" s="245">
        <v>34.85</v>
      </c>
      <c r="R70" s="245"/>
      <c r="S70" s="245">
        <v>18.7</v>
      </c>
      <c r="T70" s="245"/>
      <c r="U70" s="245">
        <v>28</v>
      </c>
      <c r="V70" s="245"/>
      <c r="W70" s="245">
        <v>22.95</v>
      </c>
      <c r="X70" s="245"/>
      <c r="Y70" s="245">
        <v>26.38</v>
      </c>
      <c r="Z70" s="245"/>
      <c r="AA70" s="245">
        <v>26.37</v>
      </c>
      <c r="AB70" s="245"/>
      <c r="AC70" s="245">
        <f t="shared" ref="AC70:AC101" si="10">AA70+Y70+W70+U70+S70+Q70+O70+M70+K70+I70+G70+E70</f>
        <v>256.59</v>
      </c>
      <c r="AD70" s="245">
        <f t="shared" ref="AD70:AD101" si="11">AB70+Z70+X70+V70+T70+R70+P70+N70+L70+J70+H70+F70</f>
        <v>0</v>
      </c>
      <c r="AE70" s="214">
        <f t="shared" ref="AE70:AE101" si="12">D70+AD70-AC70</f>
        <v>-638.38</v>
      </c>
      <c r="AF70" s="11">
        <f t="shared" si="8"/>
        <v>103.7</v>
      </c>
      <c r="AG70" s="11">
        <f t="shared" si="9"/>
        <v>0</v>
      </c>
      <c r="AH70" s="11"/>
      <c r="AI70" s="11" t="e">
        <f>#REF!-U70+V70-W70+X70-Y70+Z70-AA70+AB70</f>
        <v>#REF!</v>
      </c>
      <c r="AJ70" s="11"/>
      <c r="AK70" s="11"/>
    </row>
    <row r="71" customHeight="1" spans="1:35">
      <c r="A71" s="242">
        <v>67</v>
      </c>
      <c r="B71" s="242" t="s">
        <v>167</v>
      </c>
      <c r="C71" s="243" t="s">
        <v>168</v>
      </c>
      <c r="D71" s="225">
        <v>93.7600000000001</v>
      </c>
      <c r="E71" s="225">
        <v>22.31</v>
      </c>
      <c r="F71" s="225"/>
      <c r="G71" s="225">
        <v>169.22</v>
      </c>
      <c r="H71" s="245"/>
      <c r="I71" s="245">
        <v>50.6</v>
      </c>
      <c r="J71" s="245">
        <v>500</v>
      </c>
      <c r="K71" s="245">
        <v>75.63</v>
      </c>
      <c r="L71" s="245"/>
      <c r="M71" s="245">
        <v>60.94</v>
      </c>
      <c r="N71" s="245"/>
      <c r="O71" s="245">
        <v>63.12</v>
      </c>
      <c r="P71" s="245"/>
      <c r="Q71" s="245">
        <v>74.54</v>
      </c>
      <c r="R71" s="245"/>
      <c r="S71" s="245">
        <v>63.12</v>
      </c>
      <c r="T71" s="245">
        <v>600</v>
      </c>
      <c r="U71" s="245">
        <v>56.59</v>
      </c>
      <c r="V71" s="245"/>
      <c r="W71" s="245">
        <v>52.23</v>
      </c>
      <c r="X71" s="245"/>
      <c r="Y71" s="245">
        <v>70.19</v>
      </c>
      <c r="Z71" s="245"/>
      <c r="AA71" s="245">
        <v>94.67</v>
      </c>
      <c r="AB71" s="245"/>
      <c r="AC71" s="245">
        <f t="shared" si="10"/>
        <v>853.16</v>
      </c>
      <c r="AD71" s="245">
        <f t="shared" si="11"/>
        <v>1100</v>
      </c>
      <c r="AE71" s="214">
        <f t="shared" si="12"/>
        <v>340.6</v>
      </c>
      <c r="AF71" s="11">
        <f t="shared" si="8"/>
        <v>273.68</v>
      </c>
      <c r="AG71" s="11">
        <f t="shared" si="9"/>
        <v>0</v>
      </c>
      <c r="AI71" s="11" t="e">
        <f>#REF!-U71+V71-W71+X71-Y71+Z71-AA71+AB71</f>
        <v>#REF!</v>
      </c>
    </row>
    <row r="72" customHeight="1" spans="1:35">
      <c r="A72" s="242">
        <v>68</v>
      </c>
      <c r="B72" s="242" t="s">
        <v>169</v>
      </c>
      <c r="C72" s="243" t="s">
        <v>170</v>
      </c>
      <c r="D72" s="225">
        <v>626.44</v>
      </c>
      <c r="E72" s="225">
        <v>29.38</v>
      </c>
      <c r="F72" s="225"/>
      <c r="G72" s="225">
        <v>79.98</v>
      </c>
      <c r="H72" s="245"/>
      <c r="I72" s="245">
        <v>30.47</v>
      </c>
      <c r="J72" s="245"/>
      <c r="K72" s="245">
        <v>28.29</v>
      </c>
      <c r="L72" s="245"/>
      <c r="M72" s="245">
        <v>47.88</v>
      </c>
      <c r="N72" s="245"/>
      <c r="O72" s="245">
        <v>61.48</v>
      </c>
      <c r="P72" s="245"/>
      <c r="Q72" s="245">
        <v>78.89</v>
      </c>
      <c r="R72" s="245"/>
      <c r="S72" s="245">
        <v>43.53</v>
      </c>
      <c r="T72" s="245"/>
      <c r="U72" s="245">
        <v>45.7</v>
      </c>
      <c r="V72" s="245"/>
      <c r="W72" s="245">
        <v>28.84</v>
      </c>
      <c r="X72" s="245"/>
      <c r="Y72" s="245">
        <v>28.29</v>
      </c>
      <c r="Z72" s="245"/>
      <c r="AA72" s="245">
        <v>28.29</v>
      </c>
      <c r="AB72" s="245"/>
      <c r="AC72" s="245">
        <f t="shared" si="10"/>
        <v>531.02</v>
      </c>
      <c r="AD72" s="245">
        <f t="shared" si="11"/>
        <v>0</v>
      </c>
      <c r="AE72" s="214">
        <f t="shared" si="12"/>
        <v>95.42</v>
      </c>
      <c r="AF72" s="11">
        <f t="shared" si="8"/>
        <v>131.12</v>
      </c>
      <c r="AG72" s="11">
        <f t="shared" si="9"/>
        <v>0</v>
      </c>
      <c r="AI72" s="11" t="e">
        <f>#REF!-U72+V72-W72+X72-Y72+Z72-AA72+AB72</f>
        <v>#REF!</v>
      </c>
    </row>
    <row r="73" customHeight="1" spans="1:35">
      <c r="A73" s="242">
        <v>69</v>
      </c>
      <c r="B73" s="242" t="s">
        <v>171</v>
      </c>
      <c r="C73" s="243" t="s">
        <v>172</v>
      </c>
      <c r="D73" s="225">
        <v>656.7</v>
      </c>
      <c r="E73" s="225">
        <v>263.89</v>
      </c>
      <c r="F73" s="225"/>
      <c r="G73" s="225">
        <v>590.89</v>
      </c>
      <c r="H73" s="245"/>
      <c r="I73" s="245">
        <v>201.32</v>
      </c>
      <c r="J73" s="245"/>
      <c r="K73" s="245">
        <v>226.89</v>
      </c>
      <c r="L73" s="245"/>
      <c r="M73" s="245">
        <v>130.58</v>
      </c>
      <c r="N73" s="245">
        <v>3000</v>
      </c>
      <c r="O73" s="245">
        <v>257.9</v>
      </c>
      <c r="P73" s="245"/>
      <c r="Q73" s="245">
        <v>420.05</v>
      </c>
      <c r="R73" s="245"/>
      <c r="S73" s="245">
        <v>432.56</v>
      </c>
      <c r="T73" s="245"/>
      <c r="U73" s="245">
        <v>378.15</v>
      </c>
      <c r="V73" s="245"/>
      <c r="W73" s="245">
        <v>173.02</v>
      </c>
      <c r="X73" s="245"/>
      <c r="Y73" s="245">
        <v>137.11</v>
      </c>
      <c r="Z73" s="245"/>
      <c r="AA73" s="245">
        <v>301.43</v>
      </c>
      <c r="AB73" s="245"/>
      <c r="AC73" s="245">
        <f t="shared" si="10"/>
        <v>3513.79</v>
      </c>
      <c r="AD73" s="245">
        <f t="shared" si="11"/>
        <v>3000</v>
      </c>
      <c r="AE73" s="214">
        <f t="shared" si="12"/>
        <v>142.91</v>
      </c>
      <c r="AF73" s="11">
        <f t="shared" si="8"/>
        <v>989.71</v>
      </c>
      <c r="AG73" s="11">
        <f t="shared" si="9"/>
        <v>0</v>
      </c>
      <c r="AI73" s="11" t="e">
        <f>#REF!-U73+V73-W73+X73-Y73+Z73-AA73+AB73</f>
        <v>#REF!</v>
      </c>
    </row>
    <row r="74" customHeight="1" spans="1:35">
      <c r="A74" s="242">
        <v>70</v>
      </c>
      <c r="B74" s="242" t="s">
        <v>173</v>
      </c>
      <c r="C74" s="243" t="s">
        <v>174</v>
      </c>
      <c r="D74" s="225">
        <v>298.91</v>
      </c>
      <c r="E74" s="225">
        <v>0</v>
      </c>
      <c r="F74" s="225"/>
      <c r="G74" s="225">
        <v>0</v>
      </c>
      <c r="H74" s="245"/>
      <c r="I74" s="245">
        <v>0</v>
      </c>
      <c r="J74" s="245"/>
      <c r="K74" s="245">
        <v>0</v>
      </c>
      <c r="L74" s="245"/>
      <c r="M74" s="245">
        <v>0</v>
      </c>
      <c r="N74" s="245"/>
      <c r="O74" s="245"/>
      <c r="P74" s="245"/>
      <c r="Q74" s="245">
        <v>3.81</v>
      </c>
      <c r="R74" s="245"/>
      <c r="S74" s="245">
        <v>1.63</v>
      </c>
      <c r="T74" s="245"/>
      <c r="U74" s="245">
        <v>9.79</v>
      </c>
      <c r="V74" s="245">
        <v>500</v>
      </c>
      <c r="W74" s="245">
        <v>4.35</v>
      </c>
      <c r="X74" s="245"/>
      <c r="Y74" s="245">
        <v>1.09</v>
      </c>
      <c r="Z74" s="245"/>
      <c r="AA74" s="245">
        <v>45.16</v>
      </c>
      <c r="AB74" s="245"/>
      <c r="AC74" s="245">
        <f t="shared" si="10"/>
        <v>65.83</v>
      </c>
      <c r="AD74" s="245">
        <f t="shared" si="11"/>
        <v>500</v>
      </c>
      <c r="AE74" s="214">
        <f t="shared" si="12"/>
        <v>733.08</v>
      </c>
      <c r="AF74" s="11">
        <f t="shared" si="8"/>
        <v>60.39</v>
      </c>
      <c r="AG74" s="11">
        <f t="shared" si="9"/>
        <v>500</v>
      </c>
      <c r="AI74" s="11" t="e">
        <f>#REF!-U74+V74-W74+X74-Y74+Z74-AA74+AB74</f>
        <v>#REF!</v>
      </c>
    </row>
    <row r="75" customHeight="1" spans="1:35">
      <c r="A75" s="242">
        <v>71</v>
      </c>
      <c r="B75" s="242" t="s">
        <v>175</v>
      </c>
      <c r="C75" s="243" t="s">
        <v>176</v>
      </c>
      <c r="D75" s="225">
        <v>428.72</v>
      </c>
      <c r="E75" s="225">
        <v>103.38</v>
      </c>
      <c r="F75" s="225"/>
      <c r="G75" s="225">
        <v>174.66</v>
      </c>
      <c r="H75" s="245"/>
      <c r="I75" s="245">
        <v>81.62</v>
      </c>
      <c r="J75" s="245">
        <v>600</v>
      </c>
      <c r="K75" s="245">
        <v>94.13</v>
      </c>
      <c r="L75" s="245"/>
      <c r="M75" s="245">
        <v>78.89</v>
      </c>
      <c r="N75" s="245"/>
      <c r="O75" s="245">
        <v>63.66</v>
      </c>
      <c r="P75" s="245"/>
      <c r="Q75" s="245">
        <v>106.64</v>
      </c>
      <c r="R75" s="245"/>
      <c r="S75" s="245">
        <v>128.95</v>
      </c>
      <c r="T75" s="245">
        <v>600</v>
      </c>
      <c r="U75" s="245">
        <v>119.16</v>
      </c>
      <c r="V75" s="245"/>
      <c r="W75" s="245">
        <v>72.37</v>
      </c>
      <c r="X75" s="245"/>
      <c r="Y75" s="245">
        <v>100.11</v>
      </c>
      <c r="Z75" s="245"/>
      <c r="AA75" s="245">
        <v>102.83</v>
      </c>
      <c r="AB75" s="245"/>
      <c r="AC75" s="245">
        <f t="shared" si="10"/>
        <v>1226.4</v>
      </c>
      <c r="AD75" s="245">
        <f t="shared" si="11"/>
        <v>1200</v>
      </c>
      <c r="AE75" s="214">
        <f t="shared" si="12"/>
        <v>402.32</v>
      </c>
      <c r="AF75" s="11">
        <f t="shared" si="8"/>
        <v>394.47</v>
      </c>
      <c r="AG75" s="11">
        <f t="shared" si="9"/>
        <v>0</v>
      </c>
      <c r="AI75" s="11" t="e">
        <f>#REF!-U75+V75-W75+X75-Y75+Z75-AA75+AB75</f>
        <v>#REF!</v>
      </c>
    </row>
    <row r="76" customHeight="1" spans="1:35">
      <c r="A76" s="242">
        <v>72</v>
      </c>
      <c r="B76" s="242" t="s">
        <v>177</v>
      </c>
      <c r="C76" s="243" t="s">
        <v>178</v>
      </c>
      <c r="D76" s="225">
        <v>392.49</v>
      </c>
      <c r="E76" s="225">
        <v>51.15</v>
      </c>
      <c r="F76" s="225"/>
      <c r="G76" s="225">
        <v>293.27</v>
      </c>
      <c r="H76" s="245"/>
      <c r="I76" s="245">
        <v>119.7</v>
      </c>
      <c r="J76" s="245">
        <v>200</v>
      </c>
      <c r="K76" s="245">
        <v>181.73</v>
      </c>
      <c r="L76" s="245"/>
      <c r="M76" s="245">
        <v>143.1</v>
      </c>
      <c r="N76" s="245">
        <v>1000</v>
      </c>
      <c r="O76" s="245">
        <v>149.63</v>
      </c>
      <c r="P76" s="245"/>
      <c r="Q76" s="245">
        <v>238.86</v>
      </c>
      <c r="R76" s="245"/>
      <c r="S76" s="245">
        <v>234.51</v>
      </c>
      <c r="T76" s="245"/>
      <c r="U76" s="245">
        <v>204.04</v>
      </c>
      <c r="V76" s="245">
        <v>826.12</v>
      </c>
      <c r="W76" s="245">
        <v>110.45</v>
      </c>
      <c r="X76" s="245"/>
      <c r="Y76" s="245">
        <v>128.95</v>
      </c>
      <c r="Z76" s="245"/>
      <c r="AA76" s="245">
        <v>153.44</v>
      </c>
      <c r="AB76" s="245"/>
      <c r="AC76" s="245">
        <f t="shared" si="10"/>
        <v>2008.83</v>
      </c>
      <c r="AD76" s="245">
        <f t="shared" si="11"/>
        <v>2026.12</v>
      </c>
      <c r="AE76" s="214">
        <f t="shared" si="12"/>
        <v>409.78</v>
      </c>
      <c r="AF76" s="11">
        <f t="shared" si="8"/>
        <v>596.88</v>
      </c>
      <c r="AG76" s="11">
        <f t="shared" si="9"/>
        <v>826.12</v>
      </c>
      <c r="AI76" s="11" t="e">
        <f>#REF!-U76+V76-W76+X76-Y76+Z76-AA76+AB76</f>
        <v>#REF!</v>
      </c>
    </row>
    <row r="77" customHeight="1" spans="1:35">
      <c r="A77" s="242">
        <v>73</v>
      </c>
      <c r="B77" s="242" t="s">
        <v>179</v>
      </c>
      <c r="C77" s="243" t="s">
        <v>180</v>
      </c>
      <c r="D77" s="225">
        <v>228.17</v>
      </c>
      <c r="E77" s="225">
        <v>153.44</v>
      </c>
      <c r="F77" s="225">
        <v>1000</v>
      </c>
      <c r="G77" s="225">
        <v>258.99</v>
      </c>
      <c r="H77" s="245"/>
      <c r="I77" s="245">
        <v>84.34</v>
      </c>
      <c r="J77" s="245"/>
      <c r="K77" s="245">
        <v>105.56</v>
      </c>
      <c r="L77" s="245"/>
      <c r="M77" s="245">
        <v>94.13</v>
      </c>
      <c r="N77" s="245"/>
      <c r="O77" s="245">
        <v>81.07</v>
      </c>
      <c r="P77" s="245"/>
      <c r="Q77" s="245">
        <v>176.83</v>
      </c>
      <c r="R77" s="245"/>
      <c r="S77" s="245">
        <v>99.03</v>
      </c>
      <c r="T77" s="245"/>
      <c r="U77" s="245">
        <v>97.94</v>
      </c>
      <c r="V77" s="245">
        <v>1000</v>
      </c>
      <c r="W77" s="245">
        <v>89.23</v>
      </c>
      <c r="X77" s="245"/>
      <c r="Y77" s="245">
        <v>95.76</v>
      </c>
      <c r="Z77" s="245"/>
      <c r="AA77" s="245">
        <v>136.03</v>
      </c>
      <c r="AB77" s="245"/>
      <c r="AC77" s="245">
        <f t="shared" si="10"/>
        <v>1472.35</v>
      </c>
      <c r="AD77" s="245">
        <f t="shared" si="11"/>
        <v>2000</v>
      </c>
      <c r="AE77" s="214">
        <f t="shared" si="12"/>
        <v>755.82</v>
      </c>
      <c r="AF77" s="11">
        <f t="shared" si="8"/>
        <v>418.96</v>
      </c>
      <c r="AG77" s="11">
        <f t="shared" si="9"/>
        <v>1000</v>
      </c>
      <c r="AI77" s="11" t="e">
        <f>#REF!-U77+V77-W77+X77-Y77+Z77-AA77+AB77</f>
        <v>#REF!</v>
      </c>
    </row>
    <row r="78" customHeight="1" spans="1:35">
      <c r="A78" s="242">
        <v>74</v>
      </c>
      <c r="B78" s="242" t="s">
        <v>181</v>
      </c>
      <c r="C78" s="243" t="s">
        <v>182</v>
      </c>
      <c r="D78" s="225">
        <v>298.91</v>
      </c>
      <c r="E78" s="225">
        <v>0</v>
      </c>
      <c r="F78" s="225"/>
      <c r="G78" s="225">
        <v>0</v>
      </c>
      <c r="H78" s="245"/>
      <c r="I78" s="245">
        <v>0</v>
      </c>
      <c r="J78" s="245"/>
      <c r="K78" s="245">
        <v>0</v>
      </c>
      <c r="L78" s="245"/>
      <c r="M78" s="245">
        <v>0</v>
      </c>
      <c r="N78" s="245"/>
      <c r="O78" s="245">
        <v>0</v>
      </c>
      <c r="P78" s="245"/>
      <c r="Q78" s="245">
        <v>0</v>
      </c>
      <c r="R78" s="245"/>
      <c r="S78" s="245">
        <v>0</v>
      </c>
      <c r="T78" s="245"/>
      <c r="U78" s="245">
        <v>0</v>
      </c>
      <c r="V78" s="245"/>
      <c r="W78" s="245">
        <v>0</v>
      </c>
      <c r="X78" s="245"/>
      <c r="Y78" s="245">
        <v>0</v>
      </c>
      <c r="Z78" s="245"/>
      <c r="AA78" s="245">
        <v>0</v>
      </c>
      <c r="AB78" s="245"/>
      <c r="AC78" s="245">
        <f t="shared" si="10"/>
        <v>0</v>
      </c>
      <c r="AD78" s="245">
        <f t="shared" si="11"/>
        <v>0</v>
      </c>
      <c r="AE78" s="214">
        <f t="shared" si="12"/>
        <v>298.91</v>
      </c>
      <c r="AF78" s="11">
        <f t="shared" si="8"/>
        <v>0</v>
      </c>
      <c r="AG78" s="11">
        <f t="shared" si="9"/>
        <v>0</v>
      </c>
      <c r="AI78" s="11" t="e">
        <f>#REF!-U78+V78-W78+X78-Y78+Z78-AA78+AB78</f>
        <v>#REF!</v>
      </c>
    </row>
    <row r="79" customHeight="1" spans="1:35">
      <c r="A79" s="242">
        <v>75</v>
      </c>
      <c r="B79" s="242" t="s">
        <v>183</v>
      </c>
      <c r="C79" s="243" t="s">
        <v>184</v>
      </c>
      <c r="D79" s="225">
        <v>-216.47</v>
      </c>
      <c r="E79" s="225">
        <v>229.07</v>
      </c>
      <c r="F79" s="225">
        <v>1000</v>
      </c>
      <c r="G79" s="225">
        <v>342.78</v>
      </c>
      <c r="H79" s="245"/>
      <c r="I79" s="245">
        <v>96.85</v>
      </c>
      <c r="J79" s="245"/>
      <c r="K79" s="245">
        <v>215.46</v>
      </c>
      <c r="L79" s="245"/>
      <c r="M79" s="245">
        <v>164.32</v>
      </c>
      <c r="N79" s="245">
        <v>1000</v>
      </c>
      <c r="O79" s="245">
        <v>163.77</v>
      </c>
      <c r="P79" s="245"/>
      <c r="Q79" s="245">
        <v>307.42</v>
      </c>
      <c r="R79" s="245"/>
      <c r="S79" s="245">
        <v>244.3</v>
      </c>
      <c r="T79" s="245">
        <v>1500</v>
      </c>
      <c r="U79" s="245">
        <v>264.98</v>
      </c>
      <c r="V79" s="245"/>
      <c r="W79" s="245">
        <v>170.85</v>
      </c>
      <c r="X79" s="245"/>
      <c r="Y79" s="245">
        <v>173.02</v>
      </c>
      <c r="Z79" s="245"/>
      <c r="AA79" s="245">
        <v>230.15</v>
      </c>
      <c r="AB79" s="245"/>
      <c r="AC79" s="245">
        <f t="shared" si="10"/>
        <v>2602.97</v>
      </c>
      <c r="AD79" s="245">
        <f t="shared" si="11"/>
        <v>3500</v>
      </c>
      <c r="AE79" s="214">
        <f t="shared" si="12"/>
        <v>680.56</v>
      </c>
      <c r="AF79" s="11">
        <f t="shared" si="8"/>
        <v>839</v>
      </c>
      <c r="AG79" s="11">
        <f t="shared" si="9"/>
        <v>0</v>
      </c>
      <c r="AI79" s="11" t="e">
        <f>#REF!-U79+V79-W79+X79-Y79+Z79-AA79+AB79</f>
        <v>#REF!</v>
      </c>
    </row>
    <row r="80" customHeight="1" spans="1:35">
      <c r="A80" s="242">
        <v>76</v>
      </c>
      <c r="B80" s="242" t="s">
        <v>185</v>
      </c>
      <c r="C80" s="243" t="s">
        <v>186</v>
      </c>
      <c r="D80" s="225">
        <v>91.07</v>
      </c>
      <c r="E80" s="225">
        <v>42.44</v>
      </c>
      <c r="F80" s="225">
        <v>500</v>
      </c>
      <c r="G80" s="225">
        <v>81.07</v>
      </c>
      <c r="H80" s="245"/>
      <c r="I80" s="245">
        <v>35.37</v>
      </c>
      <c r="J80" s="245"/>
      <c r="K80" s="245">
        <v>55.5</v>
      </c>
      <c r="L80" s="245"/>
      <c r="M80" s="245">
        <v>38.09</v>
      </c>
      <c r="N80" s="245"/>
      <c r="O80" s="245">
        <v>33.19</v>
      </c>
      <c r="P80" s="245"/>
      <c r="Q80" s="245">
        <v>39.18</v>
      </c>
      <c r="R80" s="245"/>
      <c r="S80" s="245">
        <v>32.65</v>
      </c>
      <c r="T80" s="245"/>
      <c r="U80" s="245">
        <v>34.82</v>
      </c>
      <c r="V80" s="245"/>
      <c r="W80" s="245">
        <v>31.01</v>
      </c>
      <c r="X80" s="245">
        <v>500</v>
      </c>
      <c r="Y80" s="245">
        <v>39.72</v>
      </c>
      <c r="Z80" s="245"/>
      <c r="AA80" s="245">
        <v>57.67</v>
      </c>
      <c r="AB80" s="245"/>
      <c r="AC80" s="245">
        <f t="shared" si="10"/>
        <v>520.71</v>
      </c>
      <c r="AD80" s="245">
        <f t="shared" si="11"/>
        <v>1000</v>
      </c>
      <c r="AE80" s="214">
        <f t="shared" si="12"/>
        <v>570.36</v>
      </c>
      <c r="AF80" s="11">
        <f t="shared" si="8"/>
        <v>163.22</v>
      </c>
      <c r="AG80" s="11">
        <f t="shared" si="9"/>
        <v>500</v>
      </c>
      <c r="AI80" s="11" t="e">
        <f>#REF!-U80+V80-W80+X80-Y80+Z80-AA80+AB80</f>
        <v>#REF!</v>
      </c>
    </row>
    <row r="81" customHeight="1" spans="1:35">
      <c r="A81" s="242">
        <v>77</v>
      </c>
      <c r="B81" s="242" t="s">
        <v>187</v>
      </c>
      <c r="C81" s="247" t="s">
        <v>188</v>
      </c>
      <c r="D81" s="225">
        <v>957.49</v>
      </c>
      <c r="E81" s="225">
        <v>318.3</v>
      </c>
      <c r="F81" s="225"/>
      <c r="G81" s="225">
        <v>346.59</v>
      </c>
      <c r="H81" s="245"/>
      <c r="I81" s="245">
        <v>143.1</v>
      </c>
      <c r="J81" s="245"/>
      <c r="K81" s="245">
        <v>204.58</v>
      </c>
      <c r="L81" s="245"/>
      <c r="M81" s="245">
        <v>184.45</v>
      </c>
      <c r="N81" s="245"/>
      <c r="O81" s="245">
        <v>196.42</v>
      </c>
      <c r="P81" s="245"/>
      <c r="Q81" s="245">
        <v>293.27</v>
      </c>
      <c r="R81" s="245"/>
      <c r="S81" s="245">
        <v>244.85</v>
      </c>
      <c r="T81" s="245">
        <v>2000</v>
      </c>
      <c r="U81" s="245">
        <v>223.63</v>
      </c>
      <c r="V81" s="245"/>
      <c r="W81" s="245">
        <v>156.7</v>
      </c>
      <c r="X81" s="245"/>
      <c r="Y81" s="245">
        <v>145.82</v>
      </c>
      <c r="Z81" s="245"/>
      <c r="AA81" s="245">
        <v>200.23</v>
      </c>
      <c r="AB81" s="245"/>
      <c r="AC81" s="245">
        <f t="shared" si="10"/>
        <v>2657.94</v>
      </c>
      <c r="AD81" s="245">
        <f t="shared" si="11"/>
        <v>2000</v>
      </c>
      <c r="AE81" s="214">
        <f t="shared" si="12"/>
        <v>299.55</v>
      </c>
      <c r="AF81" s="11">
        <f t="shared" si="8"/>
        <v>726.38</v>
      </c>
      <c r="AG81" s="11">
        <f t="shared" si="9"/>
        <v>0</v>
      </c>
      <c r="AI81" s="11" t="e">
        <f>#REF!-U81+V81-W81+X81-Y81+Z81-AA81+AB81</f>
        <v>#REF!</v>
      </c>
    </row>
    <row r="82" customHeight="1" spans="1:35">
      <c r="A82" s="242">
        <v>78</v>
      </c>
      <c r="B82" s="242" t="s">
        <v>189</v>
      </c>
      <c r="C82" s="243" t="s">
        <v>190</v>
      </c>
      <c r="D82" s="225">
        <v>-1191.37</v>
      </c>
      <c r="E82" s="225">
        <v>339.52</v>
      </c>
      <c r="F82" s="225">
        <v>2000</v>
      </c>
      <c r="G82" s="225">
        <v>496.22</v>
      </c>
      <c r="H82" s="245"/>
      <c r="I82" s="245">
        <v>153.44</v>
      </c>
      <c r="J82" s="245"/>
      <c r="K82" s="245">
        <v>189.89</v>
      </c>
      <c r="L82" s="245"/>
      <c r="M82" s="245">
        <v>188.8</v>
      </c>
      <c r="N82" s="245">
        <v>500</v>
      </c>
      <c r="O82" s="245">
        <v>220.36</v>
      </c>
      <c r="P82" s="245"/>
      <c r="Q82" s="245">
        <v>394.47</v>
      </c>
      <c r="R82" s="245">
        <v>200</v>
      </c>
      <c r="S82" s="245">
        <v>368.9</v>
      </c>
      <c r="T82" s="245">
        <v>700</v>
      </c>
      <c r="U82" s="245">
        <v>297.08</v>
      </c>
      <c r="V82" s="245">
        <v>400</v>
      </c>
      <c r="W82" s="245">
        <v>185.54</v>
      </c>
      <c r="X82" s="245">
        <v>400</v>
      </c>
      <c r="Y82" s="245">
        <v>204.04</v>
      </c>
      <c r="Z82" s="245"/>
      <c r="AA82" s="245">
        <v>353.67</v>
      </c>
      <c r="AB82" s="245"/>
      <c r="AC82" s="245">
        <f t="shared" si="10"/>
        <v>3391.93</v>
      </c>
      <c r="AD82" s="245">
        <f t="shared" si="11"/>
        <v>4200</v>
      </c>
      <c r="AE82" s="214">
        <f t="shared" si="12"/>
        <v>-383.3</v>
      </c>
      <c r="AF82" s="11">
        <f t="shared" si="8"/>
        <v>1040.33</v>
      </c>
      <c r="AG82" s="11">
        <f t="shared" si="9"/>
        <v>800</v>
      </c>
      <c r="AI82" s="11" t="e">
        <f>#REF!-U82+V82-W82+X82-Y82+Z82-AA82+AB82</f>
        <v>#REF!</v>
      </c>
    </row>
    <row r="83" customHeight="1" spans="1:35">
      <c r="A83" s="242">
        <v>79</v>
      </c>
      <c r="B83" s="242" t="s">
        <v>191</v>
      </c>
      <c r="C83" s="243" t="s">
        <v>192</v>
      </c>
      <c r="D83" s="225">
        <v>18.72</v>
      </c>
      <c r="E83" s="225">
        <v>189.35</v>
      </c>
      <c r="F83" s="225">
        <v>800</v>
      </c>
      <c r="G83" s="225">
        <v>248.65</v>
      </c>
      <c r="H83" s="245"/>
      <c r="I83" s="245">
        <v>110.45</v>
      </c>
      <c r="J83" s="245"/>
      <c r="K83" s="245">
        <v>151.26</v>
      </c>
      <c r="L83" s="245"/>
      <c r="M83" s="245">
        <v>123.51</v>
      </c>
      <c r="N83" s="245"/>
      <c r="O83" s="245">
        <v>132.22</v>
      </c>
      <c r="P83" s="245"/>
      <c r="Q83" s="245">
        <v>195.88</v>
      </c>
      <c r="R83" s="245"/>
      <c r="S83" s="245">
        <v>161.05</v>
      </c>
      <c r="T83" s="245">
        <v>647</v>
      </c>
      <c r="U83" s="245">
        <v>183.91</v>
      </c>
      <c r="V83" s="245"/>
      <c r="W83" s="245">
        <v>114.26</v>
      </c>
      <c r="X83" s="245">
        <v>184.38</v>
      </c>
      <c r="Y83" s="245">
        <v>121.33</v>
      </c>
      <c r="Z83" s="245"/>
      <c r="AA83" s="245">
        <v>167.58</v>
      </c>
      <c r="AB83" s="245"/>
      <c r="AC83" s="245">
        <f t="shared" si="10"/>
        <v>1899.45</v>
      </c>
      <c r="AD83" s="245">
        <f t="shared" si="11"/>
        <v>1631.38</v>
      </c>
      <c r="AE83" s="214">
        <f t="shared" si="12"/>
        <v>-249.35</v>
      </c>
      <c r="AF83" s="11">
        <f t="shared" si="8"/>
        <v>587.08</v>
      </c>
      <c r="AG83" s="11">
        <f t="shared" si="9"/>
        <v>184.38</v>
      </c>
      <c r="AI83" s="11" t="e">
        <f>#REF!-U83+V83-W83+X83-Y83+Z83-AA83+AB83</f>
        <v>#REF!</v>
      </c>
    </row>
    <row r="84" customHeight="1" spans="1:35">
      <c r="A84" s="242">
        <v>80</v>
      </c>
      <c r="B84" s="242" t="s">
        <v>193</v>
      </c>
      <c r="C84" s="243" t="s">
        <v>194</v>
      </c>
      <c r="D84" s="225">
        <v>300</v>
      </c>
      <c r="E84" s="225">
        <v>0</v>
      </c>
      <c r="F84" s="225"/>
      <c r="G84" s="225">
        <v>0</v>
      </c>
      <c r="H84" s="245"/>
      <c r="I84" s="245">
        <v>0</v>
      </c>
      <c r="J84" s="245"/>
      <c r="K84" s="245">
        <v>0</v>
      </c>
      <c r="L84" s="245"/>
      <c r="M84" s="245">
        <v>0</v>
      </c>
      <c r="N84" s="245"/>
      <c r="O84" s="245">
        <v>0</v>
      </c>
      <c r="P84" s="245"/>
      <c r="Q84" s="245">
        <v>0</v>
      </c>
      <c r="R84" s="245"/>
      <c r="S84" s="245">
        <v>0</v>
      </c>
      <c r="T84" s="245"/>
      <c r="U84" s="245">
        <v>0</v>
      </c>
      <c r="V84" s="245"/>
      <c r="W84" s="245">
        <v>0</v>
      </c>
      <c r="X84" s="245"/>
      <c r="Y84" s="245">
        <v>0</v>
      </c>
      <c r="Z84" s="245"/>
      <c r="AA84" s="245">
        <v>0</v>
      </c>
      <c r="AB84" s="245"/>
      <c r="AC84" s="245">
        <f t="shared" si="10"/>
        <v>0</v>
      </c>
      <c r="AD84" s="245">
        <f t="shared" si="11"/>
        <v>0</v>
      </c>
      <c r="AE84" s="214">
        <f t="shared" si="12"/>
        <v>300</v>
      </c>
      <c r="AF84" s="11">
        <f t="shared" si="8"/>
        <v>0</v>
      </c>
      <c r="AG84" s="11">
        <f t="shared" si="9"/>
        <v>0</v>
      </c>
      <c r="AI84" s="11" t="e">
        <f>#REF!-U84+V84-W84+X84-Y84+Z84-AA84+AB84</f>
        <v>#REF!</v>
      </c>
    </row>
    <row r="85" customHeight="1" spans="1:35">
      <c r="A85" s="242">
        <v>81</v>
      </c>
      <c r="B85" s="242" t="s">
        <v>195</v>
      </c>
      <c r="C85" s="243" t="s">
        <v>196</v>
      </c>
      <c r="D85" s="225">
        <v>1174.32</v>
      </c>
      <c r="E85" s="225">
        <v>121.88</v>
      </c>
      <c r="F85" s="225"/>
      <c r="G85" s="225">
        <v>103.38</v>
      </c>
      <c r="H85" s="245"/>
      <c r="I85" s="245">
        <v>0</v>
      </c>
      <c r="J85" s="245"/>
      <c r="K85" s="245">
        <v>0</v>
      </c>
      <c r="L85" s="245"/>
      <c r="M85" s="245">
        <v>0</v>
      </c>
      <c r="N85" s="245"/>
      <c r="O85" s="245">
        <v>57.67</v>
      </c>
      <c r="P85" s="245"/>
      <c r="Q85" s="245">
        <v>11.97</v>
      </c>
      <c r="R85" s="245"/>
      <c r="S85" s="245">
        <v>30.47</v>
      </c>
      <c r="T85" s="245"/>
      <c r="U85" s="245">
        <v>0</v>
      </c>
      <c r="V85" s="245"/>
      <c r="W85" s="245">
        <v>5.44</v>
      </c>
      <c r="X85" s="245"/>
      <c r="Y85" s="245">
        <v>3.26</v>
      </c>
      <c r="Z85" s="245"/>
      <c r="AA85" s="245">
        <v>0</v>
      </c>
      <c r="AB85" s="245"/>
      <c r="AC85" s="245">
        <f t="shared" si="10"/>
        <v>334.07</v>
      </c>
      <c r="AD85" s="245">
        <f t="shared" si="11"/>
        <v>0</v>
      </c>
      <c r="AE85" s="214">
        <f t="shared" si="12"/>
        <v>840.25</v>
      </c>
      <c r="AF85" s="11">
        <f t="shared" si="8"/>
        <v>8.7</v>
      </c>
      <c r="AG85" s="11">
        <f t="shared" si="9"/>
        <v>0</v>
      </c>
      <c r="AI85" s="11" t="e">
        <f>#REF!-U85+V85-W85+X85-Y85+Z85-AA85+AB85</f>
        <v>#REF!</v>
      </c>
    </row>
    <row r="86" customHeight="1" spans="1:35">
      <c r="A86" s="242">
        <v>82</v>
      </c>
      <c r="B86" s="242" t="s">
        <v>197</v>
      </c>
      <c r="C86" s="243" t="s">
        <v>198</v>
      </c>
      <c r="D86" s="225">
        <v>1644.9</v>
      </c>
      <c r="E86" s="225">
        <v>137.66</v>
      </c>
      <c r="F86" s="225"/>
      <c r="G86" s="225">
        <v>231.79</v>
      </c>
      <c r="H86" s="245"/>
      <c r="I86" s="245">
        <v>59.31</v>
      </c>
      <c r="J86" s="245"/>
      <c r="K86" s="245">
        <v>92.5</v>
      </c>
      <c r="L86" s="245"/>
      <c r="M86" s="245">
        <v>75.63</v>
      </c>
      <c r="N86" s="245"/>
      <c r="O86" s="245">
        <v>40.26</v>
      </c>
      <c r="P86" s="245"/>
      <c r="Q86" s="245">
        <v>74.54</v>
      </c>
      <c r="R86" s="245"/>
      <c r="S86" s="245">
        <v>111</v>
      </c>
      <c r="T86" s="245"/>
      <c r="U86" s="245">
        <v>70.73</v>
      </c>
      <c r="V86" s="245"/>
      <c r="W86" s="245">
        <v>24.48</v>
      </c>
      <c r="X86" s="245"/>
      <c r="Y86" s="245">
        <v>84.88</v>
      </c>
      <c r="Z86" s="245"/>
      <c r="AA86" s="245">
        <v>203.49</v>
      </c>
      <c r="AB86" s="245"/>
      <c r="AC86" s="245">
        <f t="shared" si="10"/>
        <v>1206.27</v>
      </c>
      <c r="AD86" s="245">
        <f t="shared" si="11"/>
        <v>0</v>
      </c>
      <c r="AE86" s="214">
        <f t="shared" si="12"/>
        <v>438.63</v>
      </c>
      <c r="AF86" s="11">
        <f t="shared" si="8"/>
        <v>383.58</v>
      </c>
      <c r="AG86" s="11">
        <f t="shared" si="9"/>
        <v>0</v>
      </c>
      <c r="AI86" s="11" t="e">
        <f>#REF!-U86+V86-W86+X86-Y86+Z86-AA86+AB86</f>
        <v>#REF!</v>
      </c>
    </row>
    <row r="87" customHeight="1" spans="1:35">
      <c r="A87" s="242">
        <v>83</v>
      </c>
      <c r="B87" s="242" t="s">
        <v>199</v>
      </c>
      <c r="C87" s="243" t="s">
        <v>200</v>
      </c>
      <c r="D87" s="225">
        <v>79.08</v>
      </c>
      <c r="E87" s="225">
        <v>72.37</v>
      </c>
      <c r="F87" s="225">
        <v>200</v>
      </c>
      <c r="G87" s="225">
        <v>83.25</v>
      </c>
      <c r="H87" s="245"/>
      <c r="I87" s="245">
        <v>40.26</v>
      </c>
      <c r="J87" s="245">
        <v>500</v>
      </c>
      <c r="K87" s="245">
        <v>53.87</v>
      </c>
      <c r="L87" s="245"/>
      <c r="M87" s="245">
        <v>75.63</v>
      </c>
      <c r="N87" s="245"/>
      <c r="O87" s="245">
        <v>68.56</v>
      </c>
      <c r="P87" s="245"/>
      <c r="Q87" s="245">
        <v>87.6</v>
      </c>
      <c r="R87" s="245"/>
      <c r="S87" s="245">
        <v>77.81</v>
      </c>
      <c r="T87" s="245"/>
      <c r="U87" s="245">
        <v>89.78</v>
      </c>
      <c r="V87" s="245">
        <v>500</v>
      </c>
      <c r="W87" s="245">
        <v>56.04</v>
      </c>
      <c r="X87" s="245"/>
      <c r="Y87" s="245">
        <v>94.13</v>
      </c>
      <c r="Z87" s="245"/>
      <c r="AA87" s="245">
        <v>100.11</v>
      </c>
      <c r="AB87" s="245"/>
      <c r="AC87" s="245">
        <f t="shared" si="10"/>
        <v>899.41</v>
      </c>
      <c r="AD87" s="245">
        <f t="shared" si="11"/>
        <v>1200</v>
      </c>
      <c r="AE87" s="214">
        <f t="shared" si="12"/>
        <v>379.67</v>
      </c>
      <c r="AF87" s="11">
        <f t="shared" si="8"/>
        <v>340.06</v>
      </c>
      <c r="AG87" s="11">
        <f t="shared" si="9"/>
        <v>500</v>
      </c>
      <c r="AI87" s="11" t="e">
        <f>#REF!-U87+V87-W87+X87-Y87+Z87-AA87+AB87</f>
        <v>#REF!</v>
      </c>
    </row>
    <row r="88" customHeight="1" spans="1:35">
      <c r="A88" s="242">
        <v>84</v>
      </c>
      <c r="B88" s="242" t="s">
        <v>201</v>
      </c>
      <c r="C88" s="243" t="s">
        <v>202</v>
      </c>
      <c r="D88" s="225">
        <v>231.46</v>
      </c>
      <c r="E88" s="225">
        <v>39.18</v>
      </c>
      <c r="F88" s="225"/>
      <c r="G88" s="225">
        <v>322.11</v>
      </c>
      <c r="H88" s="245"/>
      <c r="I88" s="245">
        <v>138.75</v>
      </c>
      <c r="J88" s="245">
        <v>200</v>
      </c>
      <c r="K88" s="245">
        <v>184.99</v>
      </c>
      <c r="L88" s="245"/>
      <c r="M88" s="245">
        <v>161.05</v>
      </c>
      <c r="N88" s="245">
        <v>500</v>
      </c>
      <c r="O88" s="245">
        <v>144.73</v>
      </c>
      <c r="P88" s="245"/>
      <c r="Q88" s="245">
        <v>174.66</v>
      </c>
      <c r="R88" s="245"/>
      <c r="S88" s="245">
        <v>147.45</v>
      </c>
      <c r="T88" s="245">
        <v>500</v>
      </c>
      <c r="U88" s="245">
        <v>205.67</v>
      </c>
      <c r="V88" s="245"/>
      <c r="W88" s="245">
        <v>157.79</v>
      </c>
      <c r="X88" s="245">
        <v>500</v>
      </c>
      <c r="Y88" s="245">
        <v>196.96</v>
      </c>
      <c r="Z88" s="245"/>
      <c r="AA88" s="245">
        <v>255.18</v>
      </c>
      <c r="AB88" s="245">
        <v>1000</v>
      </c>
      <c r="AC88" s="245">
        <f t="shared" si="10"/>
        <v>2128.52</v>
      </c>
      <c r="AD88" s="245">
        <f t="shared" si="11"/>
        <v>2700</v>
      </c>
      <c r="AE88" s="214">
        <f t="shared" si="12"/>
        <v>802.94</v>
      </c>
      <c r="AF88" s="11">
        <f t="shared" si="8"/>
        <v>815.6</v>
      </c>
      <c r="AG88" s="11">
        <f t="shared" si="9"/>
        <v>1500</v>
      </c>
      <c r="AI88" s="11" t="e">
        <f>#REF!-U88+V88-W88+X88-Y88+Z88-AA88+AB88</f>
        <v>#REF!</v>
      </c>
    </row>
    <row r="89" customHeight="1" spans="1:35">
      <c r="A89" s="242">
        <v>85</v>
      </c>
      <c r="B89" s="242" t="s">
        <v>203</v>
      </c>
      <c r="C89" s="243" t="s">
        <v>204</v>
      </c>
      <c r="D89" s="225">
        <v>588.96</v>
      </c>
      <c r="E89" s="225">
        <v>95.22</v>
      </c>
      <c r="F89" s="225"/>
      <c r="G89" s="225">
        <v>182.27</v>
      </c>
      <c r="H89" s="245"/>
      <c r="I89" s="245">
        <v>40.81</v>
      </c>
      <c r="J89" s="245"/>
      <c r="K89" s="245">
        <v>51.15</v>
      </c>
      <c r="L89" s="245"/>
      <c r="M89" s="245">
        <v>59.85</v>
      </c>
      <c r="N89" s="245"/>
      <c r="O89" s="245">
        <v>46.25</v>
      </c>
      <c r="P89" s="245"/>
      <c r="Q89" s="245">
        <v>57.13</v>
      </c>
      <c r="R89" s="245"/>
      <c r="S89" s="245">
        <v>35.37</v>
      </c>
      <c r="T89" s="245"/>
      <c r="U89" s="245">
        <v>48.42</v>
      </c>
      <c r="V89" s="245">
        <v>500</v>
      </c>
      <c r="W89" s="245">
        <v>44.62</v>
      </c>
      <c r="X89" s="245"/>
      <c r="Y89" s="245">
        <v>50.06</v>
      </c>
      <c r="Z89" s="245"/>
      <c r="AA89" s="245">
        <v>51.69</v>
      </c>
      <c r="AB89" s="245"/>
      <c r="AC89" s="245">
        <f t="shared" si="10"/>
        <v>762.84</v>
      </c>
      <c r="AD89" s="245">
        <f t="shared" si="11"/>
        <v>500</v>
      </c>
      <c r="AE89" s="214">
        <f t="shared" si="12"/>
        <v>326.12</v>
      </c>
      <c r="AF89" s="11">
        <f t="shared" si="8"/>
        <v>194.79</v>
      </c>
      <c r="AG89" s="11">
        <f t="shared" si="9"/>
        <v>500</v>
      </c>
      <c r="AI89" s="11" t="e">
        <f>#REF!-U89+V89-W89+X89-Y89+Z89-AA89+AB89</f>
        <v>#REF!</v>
      </c>
    </row>
    <row r="90" customHeight="1" spans="1:35">
      <c r="A90" s="242">
        <v>86</v>
      </c>
      <c r="B90" s="242" t="s">
        <v>205</v>
      </c>
      <c r="C90" s="243" t="s">
        <v>206</v>
      </c>
      <c r="D90" s="225">
        <v>230.24</v>
      </c>
      <c r="E90" s="225">
        <v>188.8</v>
      </c>
      <c r="F90" s="225"/>
      <c r="G90" s="225">
        <v>253.01</v>
      </c>
      <c r="H90" s="245"/>
      <c r="I90" s="245">
        <v>87.06</v>
      </c>
      <c r="J90" s="245">
        <v>1000</v>
      </c>
      <c r="K90" s="245">
        <v>124.6</v>
      </c>
      <c r="L90" s="245"/>
      <c r="M90" s="245">
        <v>107.73</v>
      </c>
      <c r="N90" s="245"/>
      <c r="O90" s="245">
        <v>102.29</v>
      </c>
      <c r="P90" s="245"/>
      <c r="Q90" s="245">
        <v>145.27</v>
      </c>
      <c r="R90" s="245"/>
      <c r="S90" s="245">
        <v>119.16</v>
      </c>
      <c r="T90" s="245">
        <v>1000</v>
      </c>
      <c r="U90" s="245">
        <v>106.64</v>
      </c>
      <c r="V90" s="245"/>
      <c r="W90" s="245">
        <v>83.25</v>
      </c>
      <c r="X90" s="245"/>
      <c r="Y90" s="245">
        <v>129.5</v>
      </c>
      <c r="Z90" s="245"/>
      <c r="AA90" s="245">
        <v>149.63</v>
      </c>
      <c r="AB90" s="245"/>
      <c r="AC90" s="245">
        <f t="shared" si="10"/>
        <v>1596.94</v>
      </c>
      <c r="AD90" s="245">
        <f t="shared" si="11"/>
        <v>2000</v>
      </c>
      <c r="AE90" s="214">
        <f t="shared" si="12"/>
        <v>633.3</v>
      </c>
      <c r="AF90" s="11">
        <f t="shared" si="8"/>
        <v>469.02</v>
      </c>
      <c r="AG90" s="11">
        <f t="shared" si="9"/>
        <v>0</v>
      </c>
      <c r="AI90" s="11" t="e">
        <f>#REF!-U90+V90-W90+X90-Y90+Z90-AA90+AB90</f>
        <v>#REF!</v>
      </c>
    </row>
    <row r="91" customHeight="1" spans="1:35">
      <c r="A91" s="242">
        <v>87</v>
      </c>
      <c r="B91" s="242" t="s">
        <v>207</v>
      </c>
      <c r="C91" s="243" t="s">
        <v>208</v>
      </c>
      <c r="D91" s="225">
        <v>960.42</v>
      </c>
      <c r="E91" s="225">
        <v>114.81</v>
      </c>
      <c r="F91" s="225"/>
      <c r="G91" s="225">
        <v>140.92</v>
      </c>
      <c r="H91" s="245"/>
      <c r="I91" s="245">
        <v>53.32</v>
      </c>
      <c r="J91" s="245"/>
      <c r="K91" s="245">
        <v>60.4</v>
      </c>
      <c r="L91" s="245"/>
      <c r="M91" s="245">
        <v>48.97</v>
      </c>
      <c r="N91" s="245"/>
      <c r="O91" s="245">
        <v>81.62</v>
      </c>
      <c r="P91" s="245"/>
      <c r="Q91" s="245">
        <v>174.66</v>
      </c>
      <c r="R91" s="245"/>
      <c r="S91" s="245">
        <v>132.76</v>
      </c>
      <c r="T91" s="245">
        <v>1000</v>
      </c>
      <c r="U91" s="245">
        <v>89.78</v>
      </c>
      <c r="V91" s="245"/>
      <c r="W91" s="245">
        <v>58.76</v>
      </c>
      <c r="X91" s="245"/>
      <c r="Y91" s="245">
        <v>62.03</v>
      </c>
      <c r="Z91" s="245"/>
      <c r="AA91" s="245">
        <v>100.66</v>
      </c>
      <c r="AB91" s="245"/>
      <c r="AC91" s="245">
        <f t="shared" si="10"/>
        <v>1118.69</v>
      </c>
      <c r="AD91" s="245">
        <f t="shared" si="11"/>
        <v>1000</v>
      </c>
      <c r="AE91" s="214">
        <f t="shared" si="12"/>
        <v>841.73</v>
      </c>
      <c r="AF91" s="11">
        <f t="shared" si="8"/>
        <v>311.23</v>
      </c>
      <c r="AG91" s="11">
        <f t="shared" si="9"/>
        <v>0</v>
      </c>
      <c r="AI91" s="11" t="e">
        <f>#REF!-U91+V91-W91+X91-Y91+Z91-AA91+AB91</f>
        <v>#REF!</v>
      </c>
    </row>
    <row r="92" customHeight="1" spans="1:35">
      <c r="A92" s="242">
        <v>88</v>
      </c>
      <c r="B92" s="242" t="s">
        <v>209</v>
      </c>
      <c r="C92" s="243" t="s">
        <v>210</v>
      </c>
      <c r="D92" s="225">
        <v>134.06</v>
      </c>
      <c r="E92" s="225">
        <v>31.01</v>
      </c>
      <c r="F92" s="225"/>
      <c r="G92" s="225">
        <v>94.13</v>
      </c>
      <c r="H92" s="245"/>
      <c r="I92" s="245">
        <v>23.94</v>
      </c>
      <c r="J92" s="245">
        <v>300</v>
      </c>
      <c r="K92" s="245">
        <v>42.98</v>
      </c>
      <c r="L92" s="245"/>
      <c r="M92" s="245">
        <v>31.01</v>
      </c>
      <c r="N92" s="245"/>
      <c r="O92" s="245">
        <v>14.15</v>
      </c>
      <c r="P92" s="245"/>
      <c r="Q92" s="245">
        <v>39.72</v>
      </c>
      <c r="R92" s="245"/>
      <c r="S92" s="245">
        <v>31.56</v>
      </c>
      <c r="T92" s="245"/>
      <c r="U92" s="245">
        <v>26.66</v>
      </c>
      <c r="V92" s="245"/>
      <c r="W92" s="245">
        <v>18.5</v>
      </c>
      <c r="X92" s="245"/>
      <c r="Y92" s="245">
        <v>22.31</v>
      </c>
      <c r="Z92" s="245"/>
      <c r="AA92" s="245">
        <v>28.84</v>
      </c>
      <c r="AB92" s="245"/>
      <c r="AC92" s="245">
        <f t="shared" si="10"/>
        <v>404.81</v>
      </c>
      <c r="AD92" s="245">
        <f t="shared" si="11"/>
        <v>300</v>
      </c>
      <c r="AE92" s="214">
        <f t="shared" si="12"/>
        <v>29.2499999999999</v>
      </c>
      <c r="AF92" s="11">
        <f t="shared" si="8"/>
        <v>96.31</v>
      </c>
      <c r="AG92" s="11">
        <f t="shared" si="9"/>
        <v>0</v>
      </c>
      <c r="AI92" s="11" t="e">
        <f>#REF!-U92+V92-W92+X92-Y92+Z92-AA92+AB92</f>
        <v>#REF!</v>
      </c>
    </row>
    <row r="93" customHeight="1" spans="1:35">
      <c r="A93" s="242">
        <v>89</v>
      </c>
      <c r="B93" s="242" t="s">
        <v>211</v>
      </c>
      <c r="C93" s="243" t="s">
        <v>212</v>
      </c>
      <c r="D93" s="225">
        <v>238.4</v>
      </c>
      <c r="E93" s="225">
        <v>137.66</v>
      </c>
      <c r="F93" s="225"/>
      <c r="G93" s="225">
        <v>321.02</v>
      </c>
      <c r="H93" s="245"/>
      <c r="I93" s="245">
        <v>94.13</v>
      </c>
      <c r="J93" s="245"/>
      <c r="K93" s="245">
        <v>147.45</v>
      </c>
      <c r="L93" s="245">
        <v>500</v>
      </c>
      <c r="M93" s="245">
        <v>114.26</v>
      </c>
      <c r="N93" s="245">
        <v>300</v>
      </c>
      <c r="O93" s="245">
        <v>115.35</v>
      </c>
      <c r="P93" s="245"/>
      <c r="Q93" s="245">
        <v>191.52</v>
      </c>
      <c r="R93" s="245"/>
      <c r="S93" s="245">
        <v>149.08</v>
      </c>
      <c r="T93" s="245"/>
      <c r="U93" s="245">
        <v>99.57</v>
      </c>
      <c r="V93" s="245">
        <v>500</v>
      </c>
      <c r="W93" s="245">
        <v>5.99</v>
      </c>
      <c r="X93" s="245"/>
      <c r="Y93" s="245">
        <v>72.37</v>
      </c>
      <c r="Z93" s="245"/>
      <c r="AA93" s="245">
        <v>150.72</v>
      </c>
      <c r="AB93" s="245">
        <v>300</v>
      </c>
      <c r="AC93" s="245">
        <f t="shared" si="10"/>
        <v>1599.12</v>
      </c>
      <c r="AD93" s="245">
        <f t="shared" si="11"/>
        <v>1600</v>
      </c>
      <c r="AE93" s="214">
        <f t="shared" si="12"/>
        <v>239.28</v>
      </c>
      <c r="AF93" s="11">
        <f t="shared" si="8"/>
        <v>328.65</v>
      </c>
      <c r="AG93" s="11">
        <f t="shared" si="9"/>
        <v>800</v>
      </c>
      <c r="AI93" s="11" t="e">
        <f>#REF!-U93+V93-W93+X93-Y93+Z93-AA93+AB93</f>
        <v>#REF!</v>
      </c>
    </row>
    <row r="94" customHeight="1" spans="1:35">
      <c r="A94" s="242">
        <v>90</v>
      </c>
      <c r="B94" s="242" t="s">
        <v>213</v>
      </c>
      <c r="C94" s="243" t="s">
        <v>214</v>
      </c>
      <c r="D94" s="225">
        <v>435.61</v>
      </c>
      <c r="E94" s="225">
        <v>250.29</v>
      </c>
      <c r="F94" s="225"/>
      <c r="G94" s="225">
        <v>323.74</v>
      </c>
      <c r="H94" s="245"/>
      <c r="I94" s="245">
        <v>109.36</v>
      </c>
      <c r="J94" s="245"/>
      <c r="K94" s="245">
        <v>147.45</v>
      </c>
      <c r="L94" s="245">
        <v>1000</v>
      </c>
      <c r="M94" s="245">
        <v>109.36</v>
      </c>
      <c r="N94" s="245"/>
      <c r="O94" s="245">
        <v>121.88</v>
      </c>
      <c r="P94" s="245"/>
      <c r="Q94" s="245">
        <v>164.86</v>
      </c>
      <c r="R94" s="245"/>
      <c r="S94" s="245">
        <v>125.14</v>
      </c>
      <c r="T94" s="245">
        <v>1000</v>
      </c>
      <c r="U94" s="245">
        <v>128.95</v>
      </c>
      <c r="V94" s="245"/>
      <c r="W94" s="245">
        <v>123.51</v>
      </c>
      <c r="X94" s="245"/>
      <c r="Y94" s="245">
        <v>138.2</v>
      </c>
      <c r="Z94" s="245"/>
      <c r="AA94" s="245">
        <v>222.54</v>
      </c>
      <c r="AB94" s="245"/>
      <c r="AC94" s="245">
        <f t="shared" si="10"/>
        <v>1965.28</v>
      </c>
      <c r="AD94" s="245">
        <f t="shared" si="11"/>
        <v>2000</v>
      </c>
      <c r="AE94" s="214">
        <f t="shared" si="12"/>
        <v>470.33</v>
      </c>
      <c r="AF94" s="11">
        <f t="shared" si="8"/>
        <v>613.2</v>
      </c>
      <c r="AG94" s="11">
        <f t="shared" si="9"/>
        <v>0</v>
      </c>
      <c r="AI94" s="11" t="e">
        <f>#REF!-U94+V94-W94+X94-Y94+Z94-AA94+AB94</f>
        <v>#REF!</v>
      </c>
    </row>
    <row r="95" customHeight="1" spans="1:35">
      <c r="A95" s="242">
        <v>91</v>
      </c>
      <c r="B95" s="242" t="s">
        <v>215</v>
      </c>
      <c r="C95" s="243" t="s">
        <v>216</v>
      </c>
      <c r="D95" s="225">
        <v>-312.2</v>
      </c>
      <c r="E95" s="225">
        <v>135.48</v>
      </c>
      <c r="F95" s="225">
        <v>600</v>
      </c>
      <c r="G95" s="225">
        <v>185.54</v>
      </c>
      <c r="H95" s="245"/>
      <c r="I95" s="245">
        <v>68.56</v>
      </c>
      <c r="J95" s="245"/>
      <c r="K95" s="245">
        <v>111.54</v>
      </c>
      <c r="L95" s="245"/>
      <c r="M95" s="245">
        <v>78.89</v>
      </c>
      <c r="N95" s="245"/>
      <c r="O95" s="245">
        <v>132.76</v>
      </c>
      <c r="P95" s="245">
        <v>600</v>
      </c>
      <c r="Q95" s="245">
        <v>165.95</v>
      </c>
      <c r="R95" s="245"/>
      <c r="S95" s="245">
        <v>212.2</v>
      </c>
      <c r="T95" s="245"/>
      <c r="U95" s="245">
        <v>176.83</v>
      </c>
      <c r="V95" s="245"/>
      <c r="W95" s="245">
        <v>87.6</v>
      </c>
      <c r="X95" s="245">
        <v>826.12</v>
      </c>
      <c r="Y95" s="245">
        <v>90.86</v>
      </c>
      <c r="Z95" s="245"/>
      <c r="AA95" s="245">
        <v>50.6</v>
      </c>
      <c r="AB95" s="245"/>
      <c r="AC95" s="245">
        <f t="shared" si="10"/>
        <v>1496.81</v>
      </c>
      <c r="AD95" s="245">
        <f t="shared" si="11"/>
        <v>2026.12</v>
      </c>
      <c r="AE95" s="214">
        <f t="shared" si="12"/>
        <v>217.11</v>
      </c>
      <c r="AF95" s="11">
        <f t="shared" si="8"/>
        <v>405.89</v>
      </c>
      <c r="AG95" s="11">
        <f t="shared" si="9"/>
        <v>826.12</v>
      </c>
      <c r="AI95" s="11" t="e">
        <f>#REF!-U95+V95-W95+X95-Y95+Z95-AA95+AB95</f>
        <v>#REF!</v>
      </c>
    </row>
    <row r="96" customHeight="1" spans="1:35">
      <c r="A96" s="242">
        <v>92</v>
      </c>
      <c r="B96" s="242" t="s">
        <v>217</v>
      </c>
      <c r="C96" s="243" t="s">
        <v>218</v>
      </c>
      <c r="D96" s="225">
        <v>1282.83</v>
      </c>
      <c r="E96" s="225">
        <v>227.98</v>
      </c>
      <c r="F96" s="225"/>
      <c r="G96" s="225">
        <v>259.54</v>
      </c>
      <c r="H96" s="245"/>
      <c r="I96" s="245">
        <v>79.98</v>
      </c>
      <c r="J96" s="245"/>
      <c r="K96" s="245">
        <v>103.38</v>
      </c>
      <c r="L96" s="245"/>
      <c r="M96" s="245">
        <v>95.76</v>
      </c>
      <c r="N96" s="245"/>
      <c r="O96" s="245">
        <v>108.32</v>
      </c>
      <c r="P96" s="245"/>
      <c r="Q96" s="245">
        <v>193.7</v>
      </c>
      <c r="R96" s="245"/>
      <c r="S96" s="245">
        <v>136.57</v>
      </c>
      <c r="T96" s="245">
        <v>2000</v>
      </c>
      <c r="U96" s="245">
        <v>173.02</v>
      </c>
      <c r="V96" s="245"/>
      <c r="W96" s="245">
        <v>92.5</v>
      </c>
      <c r="X96" s="245"/>
      <c r="Y96" s="245">
        <v>85.97</v>
      </c>
      <c r="Z96" s="245"/>
      <c r="AA96" s="245">
        <v>115.89</v>
      </c>
      <c r="AB96" s="245"/>
      <c r="AC96" s="245">
        <f t="shared" si="10"/>
        <v>1672.61</v>
      </c>
      <c r="AD96" s="245">
        <f t="shared" si="11"/>
        <v>2000</v>
      </c>
      <c r="AE96" s="214">
        <f t="shared" si="12"/>
        <v>1610.22</v>
      </c>
      <c r="AF96" s="11">
        <f t="shared" si="8"/>
        <v>467.38</v>
      </c>
      <c r="AG96" s="11">
        <f t="shared" si="9"/>
        <v>0</v>
      </c>
      <c r="AI96" s="11" t="e">
        <f>#REF!-U96+V96-W96+X96-Y96+Z96-AA96+AB96</f>
        <v>#REF!</v>
      </c>
    </row>
    <row r="97" customHeight="1" spans="1:35">
      <c r="A97" s="242">
        <v>93</v>
      </c>
      <c r="B97" s="242" t="s">
        <v>219</v>
      </c>
      <c r="C97" s="243" t="s">
        <v>220</v>
      </c>
      <c r="D97" s="225">
        <v>300</v>
      </c>
      <c r="E97" s="225">
        <v>0</v>
      </c>
      <c r="F97" s="225"/>
      <c r="G97" s="225">
        <v>0</v>
      </c>
      <c r="H97" s="245"/>
      <c r="I97" s="245">
        <v>0</v>
      </c>
      <c r="J97" s="245"/>
      <c r="K97" s="245">
        <v>0</v>
      </c>
      <c r="L97" s="245"/>
      <c r="M97" s="245">
        <v>0</v>
      </c>
      <c r="N97" s="245"/>
      <c r="O97" s="245">
        <v>0</v>
      </c>
      <c r="P97" s="245"/>
      <c r="Q97" s="245">
        <v>0</v>
      </c>
      <c r="R97" s="245"/>
      <c r="S97" s="245">
        <v>0</v>
      </c>
      <c r="T97" s="245"/>
      <c r="U97" s="245">
        <v>0</v>
      </c>
      <c r="V97" s="245"/>
      <c r="W97" s="245">
        <v>0</v>
      </c>
      <c r="X97" s="245"/>
      <c r="Y97" s="245">
        <v>0</v>
      </c>
      <c r="Z97" s="245"/>
      <c r="AA97" s="245">
        <v>0</v>
      </c>
      <c r="AB97" s="245"/>
      <c r="AC97" s="245">
        <f t="shared" si="10"/>
        <v>0</v>
      </c>
      <c r="AD97" s="245">
        <f t="shared" si="11"/>
        <v>0</v>
      </c>
      <c r="AE97" s="214">
        <f t="shared" si="12"/>
        <v>300</v>
      </c>
      <c r="AF97" s="11">
        <f t="shared" si="8"/>
        <v>0</v>
      </c>
      <c r="AG97" s="11">
        <f t="shared" si="9"/>
        <v>0</v>
      </c>
      <c r="AI97" s="11" t="e">
        <f>#REF!-U97+V97-W97+X97-Y97+Z97-AA97+AB97</f>
        <v>#REF!</v>
      </c>
    </row>
    <row r="98" customHeight="1" spans="1:35">
      <c r="A98" s="242">
        <v>94</v>
      </c>
      <c r="B98" s="242" t="s">
        <v>221</v>
      </c>
      <c r="C98" s="243" t="s">
        <v>222</v>
      </c>
      <c r="D98" s="225">
        <v>456.55</v>
      </c>
      <c r="E98" s="225">
        <v>155.07</v>
      </c>
      <c r="F98" s="225"/>
      <c r="G98" s="225">
        <v>152.35</v>
      </c>
      <c r="H98" s="245"/>
      <c r="I98" s="245">
        <v>102.83</v>
      </c>
      <c r="J98" s="245"/>
      <c r="K98" s="245">
        <v>130.04</v>
      </c>
      <c r="L98" s="245"/>
      <c r="M98" s="245">
        <v>125.14</v>
      </c>
      <c r="N98" s="245">
        <v>500</v>
      </c>
      <c r="O98" s="245">
        <v>115.35</v>
      </c>
      <c r="P98" s="245"/>
      <c r="Q98" s="245">
        <v>151.8</v>
      </c>
      <c r="R98" s="245"/>
      <c r="S98" s="245">
        <v>100.11</v>
      </c>
      <c r="T98" s="245"/>
      <c r="U98" s="245">
        <v>109.91</v>
      </c>
      <c r="V98" s="245">
        <v>500</v>
      </c>
      <c r="W98" s="245">
        <v>115.89</v>
      </c>
      <c r="X98" s="245"/>
      <c r="Y98" s="245">
        <v>142.01</v>
      </c>
      <c r="Z98" s="245"/>
      <c r="AA98" s="245">
        <v>190.98</v>
      </c>
      <c r="AB98" s="245">
        <v>300</v>
      </c>
      <c r="AC98" s="245">
        <f t="shared" si="10"/>
        <v>1591.48</v>
      </c>
      <c r="AD98" s="245">
        <f t="shared" si="11"/>
        <v>1300</v>
      </c>
      <c r="AE98" s="214">
        <f t="shared" si="12"/>
        <v>165.07</v>
      </c>
      <c r="AF98" s="11">
        <f t="shared" si="8"/>
        <v>558.79</v>
      </c>
      <c r="AG98" s="11">
        <f t="shared" si="9"/>
        <v>800</v>
      </c>
      <c r="AI98" s="11" t="e">
        <f>#REF!-U98+V98-W98+X98-Y98+Z98-AA98+AB98</f>
        <v>#REF!</v>
      </c>
    </row>
    <row r="99" customHeight="1" spans="1:35">
      <c r="A99" s="242">
        <v>95</v>
      </c>
      <c r="B99" s="242" t="s">
        <v>223</v>
      </c>
      <c r="C99" s="243" t="s">
        <v>224</v>
      </c>
      <c r="D99" s="225">
        <v>-52.39</v>
      </c>
      <c r="E99" s="225">
        <v>53.32</v>
      </c>
      <c r="F99" s="225"/>
      <c r="G99" s="225">
        <v>75.09</v>
      </c>
      <c r="H99" s="245">
        <v>1000</v>
      </c>
      <c r="I99" s="245">
        <v>33.73</v>
      </c>
      <c r="J99" s="245"/>
      <c r="K99" s="245">
        <v>54.95</v>
      </c>
      <c r="L99" s="245"/>
      <c r="M99" s="245">
        <v>38.63</v>
      </c>
      <c r="N99" s="245"/>
      <c r="O99" s="245">
        <v>52.78</v>
      </c>
      <c r="P99" s="245"/>
      <c r="Q99" s="245">
        <v>71.28</v>
      </c>
      <c r="R99" s="245"/>
      <c r="S99" s="245">
        <v>112.63</v>
      </c>
      <c r="T99" s="245"/>
      <c r="U99" s="245">
        <v>119.16</v>
      </c>
      <c r="V99" s="245"/>
      <c r="W99" s="245">
        <v>49.51</v>
      </c>
      <c r="X99" s="245"/>
      <c r="Y99" s="245">
        <v>72.91</v>
      </c>
      <c r="Z99" s="245"/>
      <c r="AA99" s="245">
        <v>55.5</v>
      </c>
      <c r="AB99" s="245"/>
      <c r="AC99" s="245">
        <f t="shared" si="10"/>
        <v>789.49</v>
      </c>
      <c r="AD99" s="245">
        <f t="shared" si="11"/>
        <v>1000</v>
      </c>
      <c r="AE99" s="214">
        <f t="shared" si="12"/>
        <v>158.12</v>
      </c>
      <c r="AF99" s="11">
        <f t="shared" si="8"/>
        <v>297.08</v>
      </c>
      <c r="AG99" s="11">
        <f t="shared" si="9"/>
        <v>0</v>
      </c>
      <c r="AI99" s="11" t="e">
        <f>#REF!-U99+V99-W99+X99-Y99+Z99-AA99+AB99</f>
        <v>#REF!</v>
      </c>
    </row>
    <row r="100" customHeight="1" spans="1:35">
      <c r="A100" s="242">
        <v>96</v>
      </c>
      <c r="B100" s="242" t="s">
        <v>225</v>
      </c>
      <c r="C100" s="243" t="s">
        <v>226</v>
      </c>
      <c r="D100" s="225">
        <v>-65.52</v>
      </c>
      <c r="E100" s="225">
        <v>260.08</v>
      </c>
      <c r="F100" s="225">
        <v>800</v>
      </c>
      <c r="G100" s="225">
        <v>313.95</v>
      </c>
      <c r="H100" s="245"/>
      <c r="I100" s="245">
        <v>156.7</v>
      </c>
      <c r="J100" s="245"/>
      <c r="K100" s="245">
        <v>243.76</v>
      </c>
      <c r="L100" s="245"/>
      <c r="M100" s="245">
        <v>173.02</v>
      </c>
      <c r="N100" s="245">
        <v>500</v>
      </c>
      <c r="O100" s="245">
        <v>134.94</v>
      </c>
      <c r="P100" s="245">
        <v>500</v>
      </c>
      <c r="Q100" s="245">
        <v>265.52</v>
      </c>
      <c r="R100" s="245"/>
      <c r="S100" s="245">
        <v>278.04</v>
      </c>
      <c r="T100" s="245">
        <v>500</v>
      </c>
      <c r="U100" s="245">
        <v>270.42</v>
      </c>
      <c r="V100" s="245"/>
      <c r="W100" s="245">
        <v>145.27</v>
      </c>
      <c r="X100" s="245">
        <v>500</v>
      </c>
      <c r="Y100" s="245">
        <v>161.6</v>
      </c>
      <c r="Z100" s="245"/>
      <c r="AA100" s="245">
        <v>210.57</v>
      </c>
      <c r="AB100" s="245">
        <v>500</v>
      </c>
      <c r="AC100" s="245">
        <f t="shared" si="10"/>
        <v>2613.87</v>
      </c>
      <c r="AD100" s="245">
        <f t="shared" si="11"/>
        <v>3300</v>
      </c>
      <c r="AE100" s="214">
        <f t="shared" si="12"/>
        <v>620.61</v>
      </c>
      <c r="AF100" s="11">
        <f t="shared" si="8"/>
        <v>787.86</v>
      </c>
      <c r="AG100" s="11">
        <f t="shared" si="9"/>
        <v>1000</v>
      </c>
      <c r="AI100" s="11" t="e">
        <f>#REF!-U100+V100-W100+X100-Y100+Z100-AA100+AB100</f>
        <v>#REF!</v>
      </c>
    </row>
    <row r="101" customHeight="1" spans="1:35">
      <c r="A101" s="242">
        <v>97</v>
      </c>
      <c r="B101" s="242" t="s">
        <v>227</v>
      </c>
      <c r="C101" s="243" t="s">
        <v>228</v>
      </c>
      <c r="D101" s="225">
        <v>471.16</v>
      </c>
      <c r="E101" s="225">
        <v>0</v>
      </c>
      <c r="F101" s="225"/>
      <c r="G101" s="225">
        <v>8.71</v>
      </c>
      <c r="H101" s="245"/>
      <c r="I101" s="245">
        <v>0</v>
      </c>
      <c r="J101" s="245"/>
      <c r="K101" s="245">
        <v>0</v>
      </c>
      <c r="L101" s="245"/>
      <c r="M101" s="245">
        <v>0</v>
      </c>
      <c r="N101" s="245"/>
      <c r="O101" s="245">
        <v>61.48</v>
      </c>
      <c r="P101" s="245"/>
      <c r="Q101" s="245">
        <v>152.89</v>
      </c>
      <c r="R101" s="245"/>
      <c r="S101" s="245">
        <v>116.44</v>
      </c>
      <c r="T101" s="245">
        <v>200</v>
      </c>
      <c r="U101" s="245">
        <v>120.79</v>
      </c>
      <c r="V101" s="245"/>
      <c r="W101" s="245">
        <v>100.66</v>
      </c>
      <c r="X101" s="245"/>
      <c r="Y101" s="245">
        <v>156.16</v>
      </c>
      <c r="Z101" s="245">
        <v>300</v>
      </c>
      <c r="AA101" s="245">
        <v>219.82</v>
      </c>
      <c r="AB101" s="245"/>
      <c r="AC101" s="245">
        <f t="shared" si="10"/>
        <v>936.95</v>
      </c>
      <c r="AD101" s="245">
        <f t="shared" si="11"/>
        <v>500</v>
      </c>
      <c r="AE101" s="214">
        <f t="shared" si="12"/>
        <v>34.21</v>
      </c>
      <c r="AF101" s="11">
        <f t="shared" si="8"/>
        <v>597.43</v>
      </c>
      <c r="AG101" s="11">
        <f t="shared" si="9"/>
        <v>300</v>
      </c>
      <c r="AI101" s="11" t="e">
        <f>#REF!-U101+V101-W101+X101-Y101+Z101-AA101+AB101</f>
        <v>#REF!</v>
      </c>
    </row>
    <row r="102" customHeight="1" spans="1:35">
      <c r="A102" s="242">
        <v>98</v>
      </c>
      <c r="B102" s="242" t="s">
        <v>229</v>
      </c>
      <c r="C102" s="243" t="s">
        <v>230</v>
      </c>
      <c r="D102" s="225">
        <v>-476.5</v>
      </c>
      <c r="E102" s="225">
        <v>250.83</v>
      </c>
      <c r="F102" s="225">
        <v>2000</v>
      </c>
      <c r="G102" s="225">
        <v>343.33</v>
      </c>
      <c r="H102" s="245"/>
      <c r="I102" s="245">
        <v>100.66</v>
      </c>
      <c r="J102" s="245"/>
      <c r="K102" s="245">
        <v>131.67</v>
      </c>
      <c r="L102" s="245"/>
      <c r="M102" s="245">
        <v>120.79</v>
      </c>
      <c r="N102" s="245"/>
      <c r="O102" s="245">
        <v>128.95</v>
      </c>
      <c r="P102" s="245"/>
      <c r="Q102" s="245">
        <v>199.14</v>
      </c>
      <c r="R102" s="245"/>
      <c r="S102" s="245">
        <v>96.85</v>
      </c>
      <c r="T102" s="245"/>
      <c r="U102" s="245">
        <v>133.85</v>
      </c>
      <c r="V102" s="245"/>
      <c r="W102" s="245">
        <v>85.42</v>
      </c>
      <c r="X102" s="245"/>
      <c r="Y102" s="245">
        <v>126.23</v>
      </c>
      <c r="Z102" s="245"/>
      <c r="AA102" s="245">
        <v>183.36</v>
      </c>
      <c r="AB102" s="245">
        <v>2000</v>
      </c>
      <c r="AC102" s="245">
        <f t="shared" ref="AC102:AC136" si="13">AA102+Y102+W102+U102+S102+Q102+O102+M102+K102+I102+G102+E102</f>
        <v>1901.08</v>
      </c>
      <c r="AD102" s="245">
        <f t="shared" ref="AD102:AD136" si="14">AB102+Z102+X102+V102+T102+R102+P102+N102+L102+J102+H102+F102</f>
        <v>4000</v>
      </c>
      <c r="AE102" s="214">
        <f t="shared" ref="AE102:AE136" si="15">D102+AD102-AC102</f>
        <v>1622.42</v>
      </c>
      <c r="AF102" s="11">
        <f t="shared" si="8"/>
        <v>528.86</v>
      </c>
      <c r="AG102" s="11">
        <f t="shared" si="9"/>
        <v>2000</v>
      </c>
      <c r="AI102" s="11" t="e">
        <f>#REF!-U102+V102-W102+X102-Y102+Z102-AA102+AB102</f>
        <v>#REF!</v>
      </c>
    </row>
    <row r="103" customHeight="1" spans="1:35">
      <c r="A103" s="242">
        <v>99</v>
      </c>
      <c r="B103" s="242" t="s">
        <v>231</v>
      </c>
      <c r="C103" s="243" t="s">
        <v>232</v>
      </c>
      <c r="D103" s="225">
        <v>773.34</v>
      </c>
      <c r="E103" s="225"/>
      <c r="F103" s="225"/>
      <c r="G103" s="225">
        <v>205.67</v>
      </c>
      <c r="H103" s="245"/>
      <c r="I103" s="245">
        <v>89.78</v>
      </c>
      <c r="J103" s="245"/>
      <c r="K103" s="245">
        <v>162.69</v>
      </c>
      <c r="L103" s="245"/>
      <c r="M103" s="245">
        <v>144.73</v>
      </c>
      <c r="N103" s="245"/>
      <c r="O103" s="245">
        <v>79.44</v>
      </c>
      <c r="P103" s="245"/>
      <c r="Q103" s="245">
        <v>114.26</v>
      </c>
      <c r="R103" s="245"/>
      <c r="S103" s="245">
        <v>77.26</v>
      </c>
      <c r="T103" s="245">
        <v>330</v>
      </c>
      <c r="U103" s="245">
        <v>120.25</v>
      </c>
      <c r="V103" s="245">
        <v>120</v>
      </c>
      <c r="W103" s="245">
        <v>121.33</v>
      </c>
      <c r="X103" s="245"/>
      <c r="Y103" s="245">
        <v>169.22</v>
      </c>
      <c r="Z103" s="245">
        <v>290</v>
      </c>
      <c r="AA103" s="245">
        <v>238.32</v>
      </c>
      <c r="AB103" s="245">
        <v>275</v>
      </c>
      <c r="AC103" s="245">
        <f t="shared" si="13"/>
        <v>1522.95</v>
      </c>
      <c r="AD103" s="245">
        <f t="shared" si="14"/>
        <v>1015</v>
      </c>
      <c r="AE103" s="214">
        <f t="shared" si="15"/>
        <v>265.39</v>
      </c>
      <c r="AF103" s="11">
        <f t="shared" si="8"/>
        <v>649.12</v>
      </c>
      <c r="AG103" s="11">
        <f t="shared" si="9"/>
        <v>685</v>
      </c>
      <c r="AI103" s="11" t="e">
        <f>#REF!-U103+V103-W103+X103-Y103+Z103-AA103+AB103</f>
        <v>#REF!</v>
      </c>
    </row>
    <row r="104" customHeight="1" spans="1:35">
      <c r="A104" s="242">
        <v>100</v>
      </c>
      <c r="B104" s="242" t="s">
        <v>233</v>
      </c>
      <c r="C104" s="243" t="s">
        <v>234</v>
      </c>
      <c r="D104" s="225">
        <v>101.89</v>
      </c>
      <c r="E104" s="225">
        <v>26.66</v>
      </c>
      <c r="F104" s="225">
        <v>1000</v>
      </c>
      <c r="G104" s="225">
        <v>330.27</v>
      </c>
      <c r="H104" s="245"/>
      <c r="I104" s="245">
        <v>57.13</v>
      </c>
      <c r="J104" s="245"/>
      <c r="K104" s="245">
        <v>75.09</v>
      </c>
      <c r="L104" s="245"/>
      <c r="M104" s="245">
        <v>56.04</v>
      </c>
      <c r="N104" s="245"/>
      <c r="O104" s="245">
        <v>62.57</v>
      </c>
      <c r="P104" s="245"/>
      <c r="Q104" s="245">
        <v>79.98</v>
      </c>
      <c r="R104" s="245"/>
      <c r="S104" s="245">
        <v>70.73</v>
      </c>
      <c r="T104" s="245"/>
      <c r="U104" s="245">
        <v>70.19</v>
      </c>
      <c r="V104" s="245"/>
      <c r="W104" s="245">
        <v>60.4</v>
      </c>
      <c r="X104" s="245"/>
      <c r="Y104" s="245">
        <v>60.4</v>
      </c>
      <c r="Z104" s="245"/>
      <c r="AA104" s="245">
        <v>75.63</v>
      </c>
      <c r="AB104" s="245"/>
      <c r="AC104" s="245">
        <f t="shared" si="13"/>
        <v>1025.09</v>
      </c>
      <c r="AD104" s="245">
        <f t="shared" si="14"/>
        <v>1000</v>
      </c>
      <c r="AE104" s="214">
        <f t="shared" si="15"/>
        <v>76.8</v>
      </c>
      <c r="AF104" s="11">
        <f t="shared" si="8"/>
        <v>266.62</v>
      </c>
      <c r="AG104" s="11">
        <f t="shared" si="9"/>
        <v>0</v>
      </c>
      <c r="AI104" s="11" t="e">
        <f>#REF!-U104+V104-W104+X104-Y104+Z104-AA104+AB104</f>
        <v>#REF!</v>
      </c>
    </row>
    <row r="105" customHeight="1" spans="1:35">
      <c r="A105" s="242">
        <v>101</v>
      </c>
      <c r="B105" s="242" t="s">
        <v>235</v>
      </c>
      <c r="C105" s="243" t="s">
        <v>236</v>
      </c>
      <c r="D105" s="225">
        <v>1014.19</v>
      </c>
      <c r="E105" s="225">
        <v>245.93</v>
      </c>
      <c r="F105" s="225"/>
      <c r="G105" s="225">
        <v>391.21</v>
      </c>
      <c r="H105" s="245"/>
      <c r="I105" s="245">
        <v>146.91</v>
      </c>
      <c r="J105" s="245"/>
      <c r="K105" s="245">
        <v>170.85</v>
      </c>
      <c r="L105" s="245"/>
      <c r="M105" s="245">
        <v>134.94</v>
      </c>
      <c r="N105" s="245"/>
      <c r="O105" s="245">
        <v>136.03</v>
      </c>
      <c r="P105" s="245"/>
      <c r="Q105" s="245">
        <v>126.78</v>
      </c>
      <c r="R105" s="245"/>
      <c r="S105" s="245">
        <v>126.78</v>
      </c>
      <c r="T105" s="245"/>
      <c r="U105" s="245">
        <v>114.81</v>
      </c>
      <c r="V105" s="245"/>
      <c r="W105" s="245">
        <v>143.1</v>
      </c>
      <c r="X105" s="245"/>
      <c r="Y105" s="245">
        <v>206.21</v>
      </c>
      <c r="Z105" s="245"/>
      <c r="AA105" s="245">
        <v>282.39</v>
      </c>
      <c r="AB105" s="245"/>
      <c r="AC105" s="245">
        <f t="shared" si="13"/>
        <v>2225.94</v>
      </c>
      <c r="AD105" s="245">
        <f t="shared" si="14"/>
        <v>0</v>
      </c>
      <c r="AE105" s="214">
        <f t="shared" si="15"/>
        <v>-1211.75</v>
      </c>
      <c r="AF105" s="11">
        <f t="shared" si="8"/>
        <v>746.51</v>
      </c>
      <c r="AG105" s="11">
        <f t="shared" si="9"/>
        <v>0</v>
      </c>
      <c r="AI105" s="11" t="e">
        <f>#REF!-U105+V105-W105+X105-Y105+Z105-AA105+AB105</f>
        <v>#REF!</v>
      </c>
    </row>
    <row r="106" customHeight="1" spans="1:35">
      <c r="A106" s="242">
        <v>102</v>
      </c>
      <c r="B106" s="242" t="s">
        <v>237</v>
      </c>
      <c r="C106" s="243" t="s">
        <v>238</v>
      </c>
      <c r="D106" s="225">
        <v>300</v>
      </c>
      <c r="E106" s="225">
        <v>0</v>
      </c>
      <c r="F106" s="225"/>
      <c r="G106" s="225"/>
      <c r="H106" s="245"/>
      <c r="I106" s="245">
        <v>0</v>
      </c>
      <c r="J106" s="245"/>
      <c r="K106" s="245">
        <v>0</v>
      </c>
      <c r="L106" s="245"/>
      <c r="M106" s="245">
        <v>0</v>
      </c>
      <c r="N106" s="245"/>
      <c r="O106" s="245">
        <v>0</v>
      </c>
      <c r="P106" s="245"/>
      <c r="Q106" s="245">
        <v>0</v>
      </c>
      <c r="R106" s="245"/>
      <c r="S106" s="245">
        <v>0</v>
      </c>
      <c r="T106" s="245"/>
      <c r="U106" s="245">
        <v>0</v>
      </c>
      <c r="V106" s="245"/>
      <c r="W106" s="245">
        <v>0</v>
      </c>
      <c r="X106" s="245"/>
      <c r="Y106" s="245">
        <v>0</v>
      </c>
      <c r="Z106" s="245"/>
      <c r="AA106" s="245">
        <v>0</v>
      </c>
      <c r="AB106" s="245"/>
      <c r="AC106" s="245">
        <f t="shared" si="13"/>
        <v>0</v>
      </c>
      <c r="AD106" s="245">
        <f t="shared" si="14"/>
        <v>0</v>
      </c>
      <c r="AE106" s="214">
        <f t="shared" si="15"/>
        <v>300</v>
      </c>
      <c r="AF106" s="11">
        <f t="shared" si="8"/>
        <v>0</v>
      </c>
      <c r="AG106" s="11">
        <f t="shared" si="9"/>
        <v>0</v>
      </c>
      <c r="AI106" s="11" t="e">
        <f>#REF!-U106+V106-W106+X106-Y106+Z106-AA106+AB106</f>
        <v>#REF!</v>
      </c>
    </row>
    <row r="107" customHeight="1" spans="1:35">
      <c r="A107" s="242">
        <v>103</v>
      </c>
      <c r="B107" s="242" t="s">
        <v>239</v>
      </c>
      <c r="C107" s="243" t="s">
        <v>240</v>
      </c>
      <c r="D107" s="225">
        <v>475.54</v>
      </c>
      <c r="E107" s="225">
        <v>88.14</v>
      </c>
      <c r="F107" s="225">
        <v>1000</v>
      </c>
      <c r="G107" s="225">
        <v>102.83</v>
      </c>
      <c r="H107" s="245"/>
      <c r="I107" s="245">
        <v>76.72</v>
      </c>
      <c r="J107" s="245"/>
      <c r="K107" s="245">
        <v>42.44</v>
      </c>
      <c r="L107" s="245"/>
      <c r="M107" s="245">
        <v>42.98</v>
      </c>
      <c r="N107" s="245"/>
      <c r="O107" s="245">
        <v>35.91</v>
      </c>
      <c r="P107" s="245"/>
      <c r="Q107" s="245">
        <v>44.07</v>
      </c>
      <c r="R107" s="245"/>
      <c r="S107" s="245">
        <v>41.35</v>
      </c>
      <c r="T107" s="245"/>
      <c r="U107" s="245">
        <v>41.9</v>
      </c>
      <c r="V107" s="245"/>
      <c r="W107" s="245">
        <v>39.72</v>
      </c>
      <c r="X107" s="245"/>
      <c r="Y107" s="245">
        <v>42.44</v>
      </c>
      <c r="Z107" s="245"/>
      <c r="AA107" s="245">
        <v>51.69</v>
      </c>
      <c r="AB107" s="245"/>
      <c r="AC107" s="245">
        <f t="shared" si="13"/>
        <v>650.19</v>
      </c>
      <c r="AD107" s="245">
        <f t="shared" si="14"/>
        <v>1000</v>
      </c>
      <c r="AE107" s="214">
        <f t="shared" si="15"/>
        <v>825.35</v>
      </c>
      <c r="AF107" s="11">
        <f t="shared" si="8"/>
        <v>175.75</v>
      </c>
      <c r="AG107" s="11">
        <f t="shared" si="9"/>
        <v>0</v>
      </c>
      <c r="AI107" s="11" t="e">
        <f>#REF!-U107+V107-W107+X107-Y107+Z107-AA107+AB107</f>
        <v>#REF!</v>
      </c>
    </row>
    <row r="108" customHeight="1" spans="1:35">
      <c r="A108" s="242">
        <v>104</v>
      </c>
      <c r="B108" s="242" t="s">
        <v>241</v>
      </c>
      <c r="C108" s="243" t="s">
        <v>242</v>
      </c>
      <c r="D108" s="225">
        <v>727.19</v>
      </c>
      <c r="E108" s="225">
        <v>27.21</v>
      </c>
      <c r="F108" s="225"/>
      <c r="G108" s="225">
        <v>74.54</v>
      </c>
      <c r="H108" s="245"/>
      <c r="I108" s="245">
        <v>14.69</v>
      </c>
      <c r="J108" s="245"/>
      <c r="K108" s="245">
        <v>24.48</v>
      </c>
      <c r="L108" s="245"/>
      <c r="M108" s="245">
        <v>37</v>
      </c>
      <c r="N108" s="245"/>
      <c r="O108" s="245">
        <v>39.72</v>
      </c>
      <c r="P108" s="245"/>
      <c r="Q108" s="245">
        <v>58.76</v>
      </c>
      <c r="R108" s="245"/>
      <c r="S108" s="245">
        <v>71.28</v>
      </c>
      <c r="T108" s="245"/>
      <c r="U108" s="245">
        <v>61.48</v>
      </c>
      <c r="V108" s="245">
        <v>71</v>
      </c>
      <c r="W108" s="245">
        <v>0</v>
      </c>
      <c r="X108" s="245"/>
      <c r="Y108" s="245">
        <v>4.35</v>
      </c>
      <c r="Z108" s="245"/>
      <c r="AA108" s="245">
        <v>19.04</v>
      </c>
      <c r="AB108" s="245"/>
      <c r="AC108" s="245">
        <f t="shared" si="13"/>
        <v>432.55</v>
      </c>
      <c r="AD108" s="245">
        <f t="shared" si="14"/>
        <v>71</v>
      </c>
      <c r="AE108" s="214">
        <f t="shared" si="15"/>
        <v>365.64</v>
      </c>
      <c r="AF108" s="11">
        <f t="shared" si="8"/>
        <v>84.87</v>
      </c>
      <c r="AG108" s="11">
        <f t="shared" si="9"/>
        <v>71</v>
      </c>
      <c r="AI108" s="11" t="e">
        <f>#REF!-U108+V108-W108+X108-Y108+Z108-AA108+AB108</f>
        <v>#REF!</v>
      </c>
    </row>
    <row r="109" customHeight="1" spans="1:35">
      <c r="A109" s="242">
        <v>105</v>
      </c>
      <c r="B109" s="242" t="s">
        <v>243</v>
      </c>
      <c r="C109" s="243" t="s">
        <v>244</v>
      </c>
      <c r="D109" s="225">
        <v>161.99</v>
      </c>
      <c r="E109" s="225">
        <v>26.66</v>
      </c>
      <c r="F109" s="225"/>
      <c r="G109" s="225">
        <v>34.82</v>
      </c>
      <c r="H109" s="245"/>
      <c r="I109" s="245">
        <v>15.78</v>
      </c>
      <c r="J109" s="245">
        <v>300</v>
      </c>
      <c r="K109" s="245">
        <v>27.75</v>
      </c>
      <c r="L109" s="245"/>
      <c r="M109" s="245">
        <v>34.28</v>
      </c>
      <c r="N109" s="245"/>
      <c r="O109" s="245">
        <v>125.14</v>
      </c>
      <c r="P109" s="245"/>
      <c r="Q109" s="245">
        <v>182.27</v>
      </c>
      <c r="R109" s="245">
        <v>600</v>
      </c>
      <c r="S109" s="245">
        <v>167.04</v>
      </c>
      <c r="T109" s="245"/>
      <c r="U109" s="245">
        <v>207.85</v>
      </c>
      <c r="V109" s="245"/>
      <c r="W109" s="245">
        <v>74</v>
      </c>
      <c r="X109" s="245"/>
      <c r="Y109" s="245">
        <v>36.45</v>
      </c>
      <c r="Z109" s="245">
        <v>600</v>
      </c>
      <c r="AA109" s="245">
        <v>34.28</v>
      </c>
      <c r="AB109" s="245"/>
      <c r="AC109" s="245">
        <f t="shared" si="13"/>
        <v>966.32</v>
      </c>
      <c r="AD109" s="245">
        <f t="shared" si="14"/>
        <v>1500</v>
      </c>
      <c r="AE109" s="214">
        <f t="shared" si="15"/>
        <v>695.67</v>
      </c>
      <c r="AF109" s="11">
        <f t="shared" si="8"/>
        <v>352.58</v>
      </c>
      <c r="AG109" s="11">
        <f t="shared" si="9"/>
        <v>600</v>
      </c>
      <c r="AI109" s="11" t="e">
        <f>#REF!-U109+V109-W109+X109-Y109+Z109-AA109+AB109</f>
        <v>#REF!</v>
      </c>
    </row>
    <row r="110" customHeight="1" spans="1:35">
      <c r="A110" s="242">
        <v>106</v>
      </c>
      <c r="B110" s="242" t="s">
        <v>245</v>
      </c>
      <c r="C110" s="243" t="s">
        <v>246</v>
      </c>
      <c r="D110" s="225">
        <v>78.4300000000007</v>
      </c>
      <c r="E110" s="225">
        <v>317.75</v>
      </c>
      <c r="F110" s="225"/>
      <c r="G110" s="225">
        <v>429.84</v>
      </c>
      <c r="H110" s="245">
        <v>300</v>
      </c>
      <c r="I110" s="245">
        <v>146.91</v>
      </c>
      <c r="J110" s="245">
        <v>450</v>
      </c>
      <c r="K110" s="245">
        <v>220.9</v>
      </c>
      <c r="L110" s="245"/>
      <c r="M110" s="245">
        <v>175.74</v>
      </c>
      <c r="N110" s="245">
        <v>370</v>
      </c>
      <c r="O110" s="245">
        <v>210.02</v>
      </c>
      <c r="P110" s="245">
        <v>200</v>
      </c>
      <c r="Q110" s="245">
        <v>258.45</v>
      </c>
      <c r="R110" s="245">
        <v>200</v>
      </c>
      <c r="S110" s="245">
        <v>243.21</v>
      </c>
      <c r="T110" s="245">
        <v>600</v>
      </c>
      <c r="U110" s="245">
        <v>248.65</v>
      </c>
      <c r="V110" s="245">
        <v>250</v>
      </c>
      <c r="W110" s="245">
        <v>148</v>
      </c>
      <c r="X110" s="245">
        <v>140</v>
      </c>
      <c r="Y110" s="245">
        <v>174.66</v>
      </c>
      <c r="Z110" s="245">
        <v>170</v>
      </c>
      <c r="AA110" s="245">
        <v>284.02</v>
      </c>
      <c r="AB110" s="245">
        <v>280</v>
      </c>
      <c r="AC110" s="245">
        <f t="shared" si="13"/>
        <v>2858.15</v>
      </c>
      <c r="AD110" s="245">
        <f t="shared" si="14"/>
        <v>2960</v>
      </c>
      <c r="AE110" s="214">
        <f t="shared" si="15"/>
        <v>180.280000000001</v>
      </c>
      <c r="AF110" s="11">
        <f t="shared" si="8"/>
        <v>855.33</v>
      </c>
      <c r="AG110" s="11">
        <f t="shared" si="9"/>
        <v>840</v>
      </c>
      <c r="AI110" s="11" t="e">
        <f>#REF!-U110+V110-W110+X110-Y110+Z110-AA110+AB110</f>
        <v>#REF!</v>
      </c>
    </row>
    <row r="111" customHeight="1" spans="1:35">
      <c r="A111" s="242">
        <v>107</v>
      </c>
      <c r="B111" s="242" t="s">
        <v>247</v>
      </c>
      <c r="C111" s="243" t="s">
        <v>248</v>
      </c>
      <c r="D111" s="225">
        <v>265.72</v>
      </c>
      <c r="E111" s="225">
        <v>87.06</v>
      </c>
      <c r="F111" s="225">
        <v>200</v>
      </c>
      <c r="G111" s="225">
        <v>329.72</v>
      </c>
      <c r="H111" s="245"/>
      <c r="I111" s="245">
        <v>84.88</v>
      </c>
      <c r="J111" s="245"/>
      <c r="K111" s="245">
        <v>125.14</v>
      </c>
      <c r="L111" s="245">
        <v>500</v>
      </c>
      <c r="M111" s="245">
        <v>79.44</v>
      </c>
      <c r="N111" s="245"/>
      <c r="O111" s="245">
        <v>92.5</v>
      </c>
      <c r="P111" s="245"/>
      <c r="Q111" s="245">
        <v>97.94</v>
      </c>
      <c r="R111" s="245"/>
      <c r="S111" s="245">
        <v>40.26</v>
      </c>
      <c r="T111" s="245">
        <v>400</v>
      </c>
      <c r="U111" s="245">
        <v>33.73</v>
      </c>
      <c r="V111" s="245"/>
      <c r="W111" s="245">
        <v>71.82</v>
      </c>
      <c r="X111" s="245"/>
      <c r="Y111" s="245">
        <v>86.51</v>
      </c>
      <c r="Z111" s="245"/>
      <c r="AA111" s="245">
        <v>155.61</v>
      </c>
      <c r="AB111" s="245"/>
      <c r="AC111" s="245">
        <f t="shared" si="13"/>
        <v>1284.61</v>
      </c>
      <c r="AD111" s="245">
        <f t="shared" si="14"/>
        <v>1100</v>
      </c>
      <c r="AE111" s="214">
        <f t="shared" si="15"/>
        <v>81.1100000000001</v>
      </c>
      <c r="AF111" s="11">
        <f t="shared" si="8"/>
        <v>347.67</v>
      </c>
      <c r="AG111" s="11">
        <f t="shared" si="9"/>
        <v>0</v>
      </c>
      <c r="AI111" s="11" t="e">
        <f>#REF!-U111+V111-W111+X111-Y111+Z111-AA111+AB111</f>
        <v>#REF!</v>
      </c>
    </row>
    <row r="112" customHeight="1" spans="1:35">
      <c r="A112" s="242">
        <v>108</v>
      </c>
      <c r="B112" s="242" t="s">
        <v>249</v>
      </c>
      <c r="C112" s="243" t="s">
        <v>250</v>
      </c>
      <c r="D112" s="225">
        <v>392.380000000001</v>
      </c>
      <c r="E112" s="225">
        <v>214.92</v>
      </c>
      <c r="F112" s="225"/>
      <c r="G112" s="225">
        <v>343.33</v>
      </c>
      <c r="H112" s="245"/>
      <c r="I112" s="245">
        <v>145.27</v>
      </c>
      <c r="J112" s="245"/>
      <c r="K112" s="245">
        <v>202.95</v>
      </c>
      <c r="L112" s="245">
        <v>1000</v>
      </c>
      <c r="M112" s="245">
        <v>187.17</v>
      </c>
      <c r="N112" s="245"/>
      <c r="O112" s="245">
        <v>161.05</v>
      </c>
      <c r="P112" s="245"/>
      <c r="Q112" s="245">
        <v>184.45</v>
      </c>
      <c r="R112" s="245"/>
      <c r="S112" s="245">
        <v>177.38</v>
      </c>
      <c r="T112" s="245"/>
      <c r="U112" s="245">
        <v>173.57</v>
      </c>
      <c r="V112" s="245">
        <v>1000</v>
      </c>
      <c r="W112" s="245">
        <v>150.17</v>
      </c>
      <c r="X112" s="245"/>
      <c r="Y112" s="245">
        <v>166.49</v>
      </c>
      <c r="Z112" s="245">
        <v>400</v>
      </c>
      <c r="AA112" s="245">
        <v>224.17</v>
      </c>
      <c r="AB112" s="245"/>
      <c r="AC112" s="245">
        <f t="shared" si="13"/>
        <v>2330.92</v>
      </c>
      <c r="AD112" s="245">
        <f t="shared" si="14"/>
        <v>2400</v>
      </c>
      <c r="AE112" s="214">
        <f t="shared" si="15"/>
        <v>461.460000000001</v>
      </c>
      <c r="AF112" s="11">
        <f t="shared" si="8"/>
        <v>714.4</v>
      </c>
      <c r="AG112" s="11">
        <f t="shared" si="9"/>
        <v>1400</v>
      </c>
      <c r="AI112" s="11" t="e">
        <f>#REF!-U112+V112-W112+X112-Y112+Z112-AA112+AB112</f>
        <v>#REF!</v>
      </c>
    </row>
    <row r="113" customHeight="1" spans="1:35">
      <c r="A113" s="242">
        <v>109</v>
      </c>
      <c r="B113" s="242" t="s">
        <v>251</v>
      </c>
      <c r="C113" s="243" t="s">
        <v>252</v>
      </c>
      <c r="D113" s="225">
        <v>258.12</v>
      </c>
      <c r="E113" s="225">
        <v>4.9</v>
      </c>
      <c r="F113" s="225"/>
      <c r="G113" s="225">
        <v>1.09</v>
      </c>
      <c r="H113" s="245"/>
      <c r="I113" s="245">
        <v>0</v>
      </c>
      <c r="J113" s="245"/>
      <c r="K113" s="245">
        <v>1.63</v>
      </c>
      <c r="L113" s="245"/>
      <c r="M113" s="245">
        <v>3.81</v>
      </c>
      <c r="N113" s="245"/>
      <c r="O113" s="245">
        <v>93.04</v>
      </c>
      <c r="P113" s="245"/>
      <c r="Q113" s="245">
        <v>112.63</v>
      </c>
      <c r="R113" s="245"/>
      <c r="S113" s="245">
        <v>132.76</v>
      </c>
      <c r="T113" s="245">
        <v>600</v>
      </c>
      <c r="U113" s="245">
        <v>187.71</v>
      </c>
      <c r="V113" s="245"/>
      <c r="W113" s="245">
        <v>218.18</v>
      </c>
      <c r="X113" s="245"/>
      <c r="Y113" s="245">
        <v>254.64</v>
      </c>
      <c r="Z113" s="245">
        <v>300</v>
      </c>
      <c r="AA113" s="245">
        <v>304.15</v>
      </c>
      <c r="AB113" s="245">
        <v>500</v>
      </c>
      <c r="AC113" s="245">
        <f t="shared" si="13"/>
        <v>1314.54</v>
      </c>
      <c r="AD113" s="245">
        <f t="shared" si="14"/>
        <v>1400</v>
      </c>
      <c r="AE113" s="214">
        <f t="shared" si="15"/>
        <v>343.58</v>
      </c>
      <c r="AF113" s="11">
        <f t="shared" si="8"/>
        <v>964.68</v>
      </c>
      <c r="AG113" s="11">
        <f t="shared" si="9"/>
        <v>800</v>
      </c>
      <c r="AI113" s="11" t="e">
        <f>#REF!-U113+V113-W113+X113-Y113+Z113-AA113+AB113</f>
        <v>#REF!</v>
      </c>
    </row>
    <row r="114" customHeight="1" spans="1:35">
      <c r="A114" s="242">
        <v>110</v>
      </c>
      <c r="B114" s="242" t="s">
        <v>253</v>
      </c>
      <c r="C114" s="243" t="s">
        <v>254</v>
      </c>
      <c r="D114" s="225">
        <v>-116.05</v>
      </c>
      <c r="E114" s="225">
        <v>186.63</v>
      </c>
      <c r="F114" s="225">
        <v>300</v>
      </c>
      <c r="G114" s="225">
        <v>235.05</v>
      </c>
      <c r="H114" s="245"/>
      <c r="I114" s="245">
        <v>53.32</v>
      </c>
      <c r="J114" s="245">
        <v>500</v>
      </c>
      <c r="K114" s="245">
        <v>68.01</v>
      </c>
      <c r="L114" s="245"/>
      <c r="M114" s="245">
        <v>83.79</v>
      </c>
      <c r="N114" s="245"/>
      <c r="O114" s="245">
        <v>65.84</v>
      </c>
      <c r="P114" s="245"/>
      <c r="Q114" s="245">
        <v>77.81</v>
      </c>
      <c r="R114" s="245"/>
      <c r="S114" s="245">
        <v>52.78</v>
      </c>
      <c r="T114" s="245">
        <v>500</v>
      </c>
      <c r="U114" s="245">
        <v>53.87</v>
      </c>
      <c r="V114" s="245"/>
      <c r="W114" s="245">
        <v>55.5</v>
      </c>
      <c r="X114" s="245"/>
      <c r="Y114" s="245">
        <v>27.21</v>
      </c>
      <c r="Z114" s="245"/>
      <c r="AA114" s="245">
        <v>43.53</v>
      </c>
      <c r="AB114" s="245"/>
      <c r="AC114" s="245">
        <f t="shared" si="13"/>
        <v>1003.34</v>
      </c>
      <c r="AD114" s="245">
        <f t="shared" si="14"/>
        <v>1300</v>
      </c>
      <c r="AE114" s="214">
        <f t="shared" si="15"/>
        <v>180.61</v>
      </c>
      <c r="AF114" s="11">
        <f t="shared" si="8"/>
        <v>180.11</v>
      </c>
      <c r="AG114" s="11">
        <f t="shared" si="9"/>
        <v>0</v>
      </c>
      <c r="AI114" s="11" t="e">
        <f>#REF!-U114+V114-W114+X114-Y114+Z114-AA114+AB114</f>
        <v>#REF!</v>
      </c>
    </row>
    <row r="115" customHeight="1" spans="1:35">
      <c r="A115" s="242">
        <v>111</v>
      </c>
      <c r="B115" s="242" t="s">
        <v>255</v>
      </c>
      <c r="C115" s="243" t="s">
        <v>256</v>
      </c>
      <c r="D115" s="225">
        <v>248.866</v>
      </c>
      <c r="E115" s="225">
        <v>10.34</v>
      </c>
      <c r="F115" s="225"/>
      <c r="G115" s="225">
        <v>48.42</v>
      </c>
      <c r="H115" s="245"/>
      <c r="I115" s="245">
        <v>57.67</v>
      </c>
      <c r="J115" s="245">
        <v>1000</v>
      </c>
      <c r="K115" s="245">
        <v>117.53</v>
      </c>
      <c r="L115" s="245"/>
      <c r="M115" s="245">
        <v>121.88</v>
      </c>
      <c r="N115" s="245"/>
      <c r="O115" s="245">
        <v>84.88</v>
      </c>
      <c r="P115" s="245"/>
      <c r="Q115" s="245">
        <v>94.67</v>
      </c>
      <c r="R115" s="245"/>
      <c r="S115" s="245">
        <v>100.11</v>
      </c>
      <c r="T115" s="245"/>
      <c r="U115" s="245">
        <v>97.39</v>
      </c>
      <c r="V115" s="245">
        <v>1000</v>
      </c>
      <c r="W115" s="245">
        <v>105.01</v>
      </c>
      <c r="X115" s="245"/>
      <c r="Y115" s="245">
        <v>107.19</v>
      </c>
      <c r="Z115" s="245"/>
      <c r="AA115" s="245">
        <v>128.41</v>
      </c>
      <c r="AB115" s="245"/>
      <c r="AC115" s="245">
        <f t="shared" si="13"/>
        <v>1073.5</v>
      </c>
      <c r="AD115" s="245">
        <f t="shared" si="14"/>
        <v>2000</v>
      </c>
      <c r="AE115" s="214">
        <f t="shared" si="15"/>
        <v>1175.366</v>
      </c>
      <c r="AF115" s="11">
        <f t="shared" si="8"/>
        <v>438</v>
      </c>
      <c r="AG115" s="11">
        <f t="shared" si="9"/>
        <v>1000</v>
      </c>
      <c r="AI115" s="11" t="e">
        <f>#REF!-U115+V115-W115+X115-Y115+Z115-AA115+AB115</f>
        <v>#REF!</v>
      </c>
    </row>
    <row r="116" customHeight="1" spans="1:35">
      <c r="A116" s="242">
        <v>112</v>
      </c>
      <c r="B116" s="242" t="s">
        <v>257</v>
      </c>
      <c r="C116" s="243" t="s">
        <v>258</v>
      </c>
      <c r="D116" s="225">
        <v>-1099.84</v>
      </c>
      <c r="E116" s="225">
        <v>286.74</v>
      </c>
      <c r="F116" s="225">
        <v>3000</v>
      </c>
      <c r="G116" s="225">
        <v>395.56</v>
      </c>
      <c r="H116" s="245"/>
      <c r="I116" s="245">
        <v>162.14</v>
      </c>
      <c r="J116" s="245"/>
      <c r="K116" s="245">
        <v>222.54</v>
      </c>
      <c r="L116" s="245"/>
      <c r="M116" s="245">
        <v>170.3</v>
      </c>
      <c r="N116" s="245"/>
      <c r="O116" s="245">
        <v>171.39</v>
      </c>
      <c r="P116" s="245"/>
      <c r="Q116" s="245">
        <v>200.23</v>
      </c>
      <c r="R116" s="245"/>
      <c r="S116" s="245">
        <v>174.11</v>
      </c>
      <c r="T116" s="245"/>
      <c r="U116" s="245">
        <v>193.7</v>
      </c>
      <c r="V116" s="245">
        <v>1000</v>
      </c>
      <c r="W116" s="245">
        <v>163.77</v>
      </c>
      <c r="X116" s="245"/>
      <c r="Y116" s="245">
        <v>198.6</v>
      </c>
      <c r="Z116" s="245"/>
      <c r="AA116" s="245">
        <v>254.09</v>
      </c>
      <c r="AB116" s="245"/>
      <c r="AC116" s="245">
        <f t="shared" si="13"/>
        <v>2593.17</v>
      </c>
      <c r="AD116" s="245">
        <f t="shared" si="14"/>
        <v>4000</v>
      </c>
      <c r="AE116" s="214">
        <f t="shared" si="15"/>
        <v>306.99</v>
      </c>
      <c r="AF116" s="11">
        <f t="shared" si="8"/>
        <v>810.16</v>
      </c>
      <c r="AG116" s="11">
        <f t="shared" si="9"/>
        <v>1000</v>
      </c>
      <c r="AI116" s="11" t="e">
        <f>#REF!-U116+V116-W116+X116-Y116+Z116-AA116+AB116</f>
        <v>#REF!</v>
      </c>
    </row>
    <row r="117" customHeight="1" spans="1:35">
      <c r="A117" s="242">
        <v>113</v>
      </c>
      <c r="B117" s="242" t="s">
        <v>259</v>
      </c>
      <c r="C117" s="243" t="s">
        <v>260</v>
      </c>
      <c r="D117" s="225">
        <v>243.42</v>
      </c>
      <c r="E117" s="225">
        <v>92.5</v>
      </c>
      <c r="F117" s="225"/>
      <c r="G117" s="225">
        <v>35.91</v>
      </c>
      <c r="H117" s="245"/>
      <c r="I117" s="245">
        <v>1.63</v>
      </c>
      <c r="J117" s="245"/>
      <c r="K117" s="245">
        <v>2.18</v>
      </c>
      <c r="L117" s="245"/>
      <c r="M117" s="245">
        <v>1.63</v>
      </c>
      <c r="N117" s="245"/>
      <c r="O117" s="245">
        <v>2.18</v>
      </c>
      <c r="P117" s="245"/>
      <c r="Q117" s="245">
        <v>2.18</v>
      </c>
      <c r="R117" s="245"/>
      <c r="S117" s="245">
        <v>169.22</v>
      </c>
      <c r="T117" s="245">
        <v>300</v>
      </c>
      <c r="U117" s="245">
        <v>213.29</v>
      </c>
      <c r="V117" s="245"/>
      <c r="W117" s="245">
        <v>115.89</v>
      </c>
      <c r="X117" s="245"/>
      <c r="Y117" s="245">
        <v>142.55</v>
      </c>
      <c r="Z117" s="245">
        <v>1000</v>
      </c>
      <c r="AA117" s="245">
        <v>176.83</v>
      </c>
      <c r="AB117" s="245"/>
      <c r="AC117" s="245">
        <f t="shared" si="13"/>
        <v>955.99</v>
      </c>
      <c r="AD117" s="245">
        <f t="shared" si="14"/>
        <v>1300</v>
      </c>
      <c r="AE117" s="214">
        <f t="shared" si="15"/>
        <v>587.43</v>
      </c>
      <c r="AF117" s="11">
        <f t="shared" si="8"/>
        <v>648.56</v>
      </c>
      <c r="AG117" s="11">
        <f t="shared" si="9"/>
        <v>1000</v>
      </c>
      <c r="AI117" s="11" t="e">
        <f>#REF!-U117+V117-W117+X117-Y117+Z117-AA117+AB117</f>
        <v>#REF!</v>
      </c>
    </row>
    <row r="118" customHeight="1" spans="1:35">
      <c r="A118" s="242">
        <v>114</v>
      </c>
      <c r="B118" s="242" t="s">
        <v>261</v>
      </c>
      <c r="C118" s="243" t="s">
        <v>262</v>
      </c>
      <c r="D118" s="225">
        <v>-1799.81</v>
      </c>
      <c r="E118" s="225">
        <v>339.52</v>
      </c>
      <c r="F118" s="225">
        <v>1000</v>
      </c>
      <c r="G118" s="225">
        <v>545.73</v>
      </c>
      <c r="H118" s="245"/>
      <c r="I118" s="245">
        <v>238.86</v>
      </c>
      <c r="J118" s="245">
        <v>1000</v>
      </c>
      <c r="K118" s="245">
        <v>200.77</v>
      </c>
      <c r="L118" s="245"/>
      <c r="M118" s="245">
        <v>215.46</v>
      </c>
      <c r="N118" s="245"/>
      <c r="O118" s="245">
        <v>183.36</v>
      </c>
      <c r="P118" s="245">
        <v>800</v>
      </c>
      <c r="Q118" s="245">
        <v>456.5</v>
      </c>
      <c r="R118" s="245"/>
      <c r="S118" s="245">
        <v>522.88</v>
      </c>
      <c r="T118" s="245"/>
      <c r="U118" s="245">
        <v>248.65</v>
      </c>
      <c r="V118" s="245">
        <v>1500</v>
      </c>
      <c r="W118" s="245">
        <v>206.21</v>
      </c>
      <c r="X118" s="245"/>
      <c r="Y118" s="245">
        <v>212.2</v>
      </c>
      <c r="Z118" s="245"/>
      <c r="AA118" s="245">
        <v>260.62</v>
      </c>
      <c r="AB118" s="245"/>
      <c r="AC118" s="245">
        <f t="shared" si="13"/>
        <v>3630.76</v>
      </c>
      <c r="AD118" s="245">
        <f t="shared" si="14"/>
        <v>4300</v>
      </c>
      <c r="AE118" s="214">
        <f t="shared" si="15"/>
        <v>-1130.57</v>
      </c>
      <c r="AF118" s="11">
        <f t="shared" si="8"/>
        <v>927.68</v>
      </c>
      <c r="AG118" s="11">
        <f t="shared" si="9"/>
        <v>1500</v>
      </c>
      <c r="AI118" s="11" t="e">
        <f>#REF!-U118+V118-W118+X118-Y118+Z118-AA118+AB118</f>
        <v>#REF!</v>
      </c>
    </row>
    <row r="119" customHeight="1" spans="1:35">
      <c r="A119" s="242">
        <v>115</v>
      </c>
      <c r="B119" s="242" t="s">
        <v>263</v>
      </c>
      <c r="C119" s="243" t="s">
        <v>264</v>
      </c>
      <c r="D119" s="225">
        <v>-576.8</v>
      </c>
      <c r="E119" s="225">
        <v>131.13</v>
      </c>
      <c r="F119" s="225">
        <v>1000</v>
      </c>
      <c r="G119" s="225">
        <v>104.47</v>
      </c>
      <c r="H119" s="245"/>
      <c r="I119" s="245">
        <v>79.44</v>
      </c>
      <c r="J119" s="245"/>
      <c r="K119" s="245">
        <v>53.32</v>
      </c>
      <c r="L119" s="245"/>
      <c r="M119" s="245">
        <v>152.89</v>
      </c>
      <c r="N119" s="245"/>
      <c r="O119" s="245">
        <v>90.32</v>
      </c>
      <c r="P119" s="245"/>
      <c r="Q119" s="245">
        <v>81.62</v>
      </c>
      <c r="R119" s="245"/>
      <c r="S119" s="245">
        <v>66.38</v>
      </c>
      <c r="T119" s="245"/>
      <c r="U119" s="245">
        <v>70.73</v>
      </c>
      <c r="V119" s="245">
        <v>1000</v>
      </c>
      <c r="W119" s="245">
        <v>72.91</v>
      </c>
      <c r="X119" s="245"/>
      <c r="Y119" s="245">
        <v>96.31</v>
      </c>
      <c r="Z119" s="245"/>
      <c r="AA119" s="245">
        <v>186.08</v>
      </c>
      <c r="AB119" s="245"/>
      <c r="AC119" s="245">
        <f t="shared" si="13"/>
        <v>1185.6</v>
      </c>
      <c r="AD119" s="245">
        <f t="shared" si="14"/>
        <v>2000</v>
      </c>
      <c r="AE119" s="214">
        <f t="shared" si="15"/>
        <v>237.6</v>
      </c>
      <c r="AF119" s="11">
        <f t="shared" si="8"/>
        <v>426.03</v>
      </c>
      <c r="AG119" s="11">
        <f t="shared" si="9"/>
        <v>1000</v>
      </c>
      <c r="AI119" s="11" t="e">
        <f>#REF!-U119+V119-W119+X119-Y119+Z119-AA119+AB119</f>
        <v>#REF!</v>
      </c>
    </row>
    <row r="120" customHeight="1" spans="1:35">
      <c r="A120" s="242">
        <v>116</v>
      </c>
      <c r="B120" s="242" t="s">
        <v>265</v>
      </c>
      <c r="C120" s="243" t="s">
        <v>266</v>
      </c>
      <c r="D120" s="225">
        <v>299.46</v>
      </c>
      <c r="E120" s="225">
        <v>0</v>
      </c>
      <c r="F120" s="225"/>
      <c r="G120" s="225">
        <v>0</v>
      </c>
      <c r="H120" s="245"/>
      <c r="I120" s="245">
        <v>0</v>
      </c>
      <c r="J120" s="245"/>
      <c r="K120" s="245">
        <v>0</v>
      </c>
      <c r="L120" s="245"/>
      <c r="M120" s="245">
        <v>0</v>
      </c>
      <c r="N120" s="245"/>
      <c r="O120" s="245">
        <v>0</v>
      </c>
      <c r="P120" s="245"/>
      <c r="Q120" s="245">
        <v>0</v>
      </c>
      <c r="R120" s="245"/>
      <c r="S120" s="245">
        <v>0</v>
      </c>
      <c r="T120" s="245"/>
      <c r="U120" s="245">
        <v>0</v>
      </c>
      <c r="V120" s="245"/>
      <c r="W120" s="245">
        <v>0</v>
      </c>
      <c r="X120" s="245"/>
      <c r="Y120" s="245">
        <v>0</v>
      </c>
      <c r="Z120" s="245"/>
      <c r="AA120" s="245">
        <v>0</v>
      </c>
      <c r="AB120" s="245"/>
      <c r="AC120" s="245">
        <f t="shared" si="13"/>
        <v>0</v>
      </c>
      <c r="AD120" s="245">
        <f t="shared" si="14"/>
        <v>0</v>
      </c>
      <c r="AE120" s="214">
        <f t="shared" si="15"/>
        <v>299.46</v>
      </c>
      <c r="AF120" s="11">
        <f t="shared" si="8"/>
        <v>0</v>
      </c>
      <c r="AG120" s="11">
        <f t="shared" si="9"/>
        <v>0</v>
      </c>
      <c r="AI120" s="11" t="e">
        <f>#REF!-U120+V120-W120+X120-Y120+Z120-AA120+AB120</f>
        <v>#REF!</v>
      </c>
    </row>
    <row r="121" customHeight="1" spans="1:35">
      <c r="A121" s="242">
        <v>117</v>
      </c>
      <c r="B121" s="242" t="s">
        <v>267</v>
      </c>
      <c r="C121" s="243" t="s">
        <v>268</v>
      </c>
      <c r="D121" s="225">
        <v>-147.31</v>
      </c>
      <c r="E121" s="225">
        <v>124.05</v>
      </c>
      <c r="F121" s="225">
        <v>205.67</v>
      </c>
      <c r="G121" s="225">
        <v>164.32</v>
      </c>
      <c r="H121" s="245">
        <v>124.05</v>
      </c>
      <c r="I121" s="245">
        <v>31.56</v>
      </c>
      <c r="J121" s="245">
        <v>164.32</v>
      </c>
      <c r="K121" s="245">
        <v>30.47</v>
      </c>
      <c r="L121" s="245"/>
      <c r="M121" s="245">
        <v>40.81</v>
      </c>
      <c r="N121" s="245">
        <v>62.03</v>
      </c>
      <c r="O121" s="245">
        <v>68.56</v>
      </c>
      <c r="P121" s="245"/>
      <c r="Q121" s="245">
        <v>103.92</v>
      </c>
      <c r="R121" s="245">
        <v>109.37</v>
      </c>
      <c r="S121" s="245">
        <v>99.57</v>
      </c>
      <c r="T121" s="245">
        <v>306.6</v>
      </c>
      <c r="U121" s="245">
        <v>113.72</v>
      </c>
      <c r="V121" s="245"/>
      <c r="W121" s="245">
        <v>60.94</v>
      </c>
      <c r="X121" s="245"/>
      <c r="Y121" s="245">
        <v>37</v>
      </c>
      <c r="Z121" s="245">
        <v>211</v>
      </c>
      <c r="AA121" s="245">
        <v>59.85</v>
      </c>
      <c r="AB121" s="245"/>
      <c r="AC121" s="245">
        <f t="shared" si="13"/>
        <v>934.77</v>
      </c>
      <c r="AD121" s="245">
        <f t="shared" si="14"/>
        <v>1183.04</v>
      </c>
      <c r="AE121" s="214">
        <f t="shared" si="15"/>
        <v>100.96</v>
      </c>
      <c r="AF121" s="11">
        <f t="shared" si="8"/>
        <v>271.51</v>
      </c>
      <c r="AG121" s="11">
        <f t="shared" si="9"/>
        <v>211</v>
      </c>
      <c r="AI121" s="11" t="e">
        <f>#REF!-U121+V121-W121+X121-Y121+Z121-AA121+AB121</f>
        <v>#REF!</v>
      </c>
    </row>
    <row r="122" customHeight="1" spans="1:35">
      <c r="A122" s="242">
        <v>118</v>
      </c>
      <c r="B122" s="242" t="s">
        <v>269</v>
      </c>
      <c r="C122" s="243" t="s">
        <v>270</v>
      </c>
      <c r="D122" s="225">
        <v>594.24</v>
      </c>
      <c r="E122" s="225">
        <v>154.52</v>
      </c>
      <c r="F122" s="225"/>
      <c r="G122" s="225">
        <v>212.2</v>
      </c>
      <c r="H122" s="245"/>
      <c r="I122" s="245">
        <v>90.86</v>
      </c>
      <c r="J122" s="245"/>
      <c r="K122" s="245">
        <v>130.58</v>
      </c>
      <c r="L122" s="245"/>
      <c r="M122" s="245">
        <v>95.22</v>
      </c>
      <c r="N122" s="245"/>
      <c r="O122" s="245">
        <v>74.54</v>
      </c>
      <c r="P122" s="245"/>
      <c r="Q122" s="245">
        <v>107.73</v>
      </c>
      <c r="R122" s="245">
        <v>2000</v>
      </c>
      <c r="S122" s="245">
        <v>120.79</v>
      </c>
      <c r="T122" s="245"/>
      <c r="U122" s="245">
        <v>125.14</v>
      </c>
      <c r="V122" s="245"/>
      <c r="W122" s="245">
        <v>131.67</v>
      </c>
      <c r="X122" s="245"/>
      <c r="Y122" s="245">
        <v>152.35</v>
      </c>
      <c r="Z122" s="245"/>
      <c r="AA122" s="245">
        <v>212.74</v>
      </c>
      <c r="AB122" s="245"/>
      <c r="AC122" s="245">
        <f t="shared" si="13"/>
        <v>1608.34</v>
      </c>
      <c r="AD122" s="245">
        <f t="shared" si="14"/>
        <v>2000</v>
      </c>
      <c r="AE122" s="214">
        <f t="shared" si="15"/>
        <v>985.9</v>
      </c>
      <c r="AF122" s="11">
        <f t="shared" si="8"/>
        <v>621.9</v>
      </c>
      <c r="AG122" s="11">
        <f t="shared" si="9"/>
        <v>0</v>
      </c>
      <c r="AI122" s="11" t="e">
        <f>#REF!-U122+V122-W122+X122-Y122+Z122-AA122+AB122</f>
        <v>#REF!</v>
      </c>
    </row>
    <row r="123" customHeight="1" spans="1:35">
      <c r="A123" s="242">
        <v>119</v>
      </c>
      <c r="B123" s="242" t="s">
        <v>271</v>
      </c>
      <c r="C123" s="243" t="s">
        <v>272</v>
      </c>
      <c r="D123" s="225">
        <v>795.54</v>
      </c>
      <c r="E123" s="225">
        <v>15.23</v>
      </c>
      <c r="F123" s="225"/>
      <c r="G123" s="225">
        <v>3.26</v>
      </c>
      <c r="H123" s="245"/>
      <c r="I123" s="245">
        <v>1.09</v>
      </c>
      <c r="J123" s="245"/>
      <c r="K123" s="245">
        <v>2.18</v>
      </c>
      <c r="L123" s="245"/>
      <c r="M123" s="245">
        <v>1.63</v>
      </c>
      <c r="N123" s="245"/>
      <c r="O123" s="245">
        <v>6.53</v>
      </c>
      <c r="P123" s="245"/>
      <c r="Q123" s="245">
        <v>2.18</v>
      </c>
      <c r="R123" s="245"/>
      <c r="S123" s="245">
        <v>3.26</v>
      </c>
      <c r="T123" s="245"/>
      <c r="U123" s="245">
        <v>3.81</v>
      </c>
      <c r="V123" s="245"/>
      <c r="W123" s="245">
        <v>0.54</v>
      </c>
      <c r="X123" s="245"/>
      <c r="Y123" s="245">
        <v>6.53</v>
      </c>
      <c r="Z123" s="245"/>
      <c r="AA123" s="245">
        <v>35.37</v>
      </c>
      <c r="AB123" s="245"/>
      <c r="AC123" s="245">
        <f t="shared" si="13"/>
        <v>81.61</v>
      </c>
      <c r="AD123" s="245">
        <f t="shared" si="14"/>
        <v>0</v>
      </c>
      <c r="AE123" s="214">
        <f t="shared" si="15"/>
        <v>713.93</v>
      </c>
      <c r="AF123" s="11">
        <f t="shared" si="8"/>
        <v>46.25</v>
      </c>
      <c r="AG123" s="11">
        <f t="shared" si="9"/>
        <v>0</v>
      </c>
      <c r="AI123" s="11" t="e">
        <f>#REF!-U123+V123-W123+X123-Y123+Z123-AA123+AB123</f>
        <v>#REF!</v>
      </c>
    </row>
    <row r="124" customHeight="1" spans="1:35">
      <c r="A124" s="242">
        <v>120</v>
      </c>
      <c r="B124" s="242" t="s">
        <v>273</v>
      </c>
      <c r="C124" s="243" t="s">
        <v>274</v>
      </c>
      <c r="D124" s="225">
        <v>-720.8</v>
      </c>
      <c r="E124" s="225">
        <v>256.82</v>
      </c>
      <c r="F124" s="225">
        <v>900</v>
      </c>
      <c r="G124" s="225">
        <v>332.45</v>
      </c>
      <c r="H124" s="245"/>
      <c r="I124" s="245">
        <v>116.44</v>
      </c>
      <c r="J124" s="245"/>
      <c r="K124" s="245">
        <v>161.6</v>
      </c>
      <c r="L124" s="245">
        <v>1000</v>
      </c>
      <c r="M124" s="245">
        <v>139.83</v>
      </c>
      <c r="N124" s="245"/>
      <c r="O124" s="245">
        <v>128.41</v>
      </c>
      <c r="P124" s="245"/>
      <c r="Q124" s="245">
        <v>158.88</v>
      </c>
      <c r="R124" s="245"/>
      <c r="S124" s="245">
        <v>125.14</v>
      </c>
      <c r="T124" s="245">
        <v>600</v>
      </c>
      <c r="U124" s="245">
        <v>150.72</v>
      </c>
      <c r="V124" s="245"/>
      <c r="W124" s="245">
        <v>137.66</v>
      </c>
      <c r="X124" s="245"/>
      <c r="Y124" s="245">
        <v>173.02</v>
      </c>
      <c r="Z124" s="245">
        <v>300</v>
      </c>
      <c r="AA124" s="245">
        <v>179.01</v>
      </c>
      <c r="AB124" s="245"/>
      <c r="AC124" s="245">
        <f t="shared" si="13"/>
        <v>2059.98</v>
      </c>
      <c r="AD124" s="245">
        <f t="shared" si="14"/>
        <v>2800</v>
      </c>
      <c r="AE124" s="214">
        <f t="shared" si="15"/>
        <v>19.2199999999998</v>
      </c>
      <c r="AF124" s="11">
        <f t="shared" si="8"/>
        <v>640.41</v>
      </c>
      <c r="AG124" s="11">
        <f t="shared" si="9"/>
        <v>300</v>
      </c>
      <c r="AI124" s="11" t="e">
        <f>#REF!-U124+V124-W124+X124-Y124+Z124-AA124+AB124</f>
        <v>#REF!</v>
      </c>
    </row>
    <row r="125" customHeight="1" spans="1:35">
      <c r="A125" s="242">
        <v>121</v>
      </c>
      <c r="B125" s="242" t="s">
        <v>275</v>
      </c>
      <c r="C125" s="243" t="s">
        <v>276</v>
      </c>
      <c r="D125" s="225">
        <v>-109.07</v>
      </c>
      <c r="E125" s="225">
        <v>213.83</v>
      </c>
      <c r="F125" s="225"/>
      <c r="G125" s="225">
        <v>236.14</v>
      </c>
      <c r="H125" s="245"/>
      <c r="I125" s="245">
        <v>73.45</v>
      </c>
      <c r="J125" s="245">
        <v>620</v>
      </c>
      <c r="K125" s="245">
        <v>24.48</v>
      </c>
      <c r="L125" s="245"/>
      <c r="M125" s="245">
        <v>81.07</v>
      </c>
      <c r="N125" s="245">
        <v>100</v>
      </c>
      <c r="O125" s="245">
        <v>99.57</v>
      </c>
      <c r="P125" s="245"/>
      <c r="Q125" s="245">
        <v>128.95</v>
      </c>
      <c r="R125" s="245"/>
      <c r="S125" s="245">
        <v>33.73</v>
      </c>
      <c r="T125" s="245">
        <v>450</v>
      </c>
      <c r="U125" s="245">
        <v>123.51</v>
      </c>
      <c r="V125" s="245">
        <v>174</v>
      </c>
      <c r="W125" s="245">
        <v>102.29</v>
      </c>
      <c r="X125" s="245"/>
      <c r="Y125" s="245">
        <v>113.72</v>
      </c>
      <c r="Z125" s="245">
        <v>44.58</v>
      </c>
      <c r="AA125" s="245">
        <v>155.07</v>
      </c>
      <c r="AB125" s="245">
        <v>268.79</v>
      </c>
      <c r="AC125" s="245">
        <f t="shared" si="13"/>
        <v>1385.81</v>
      </c>
      <c r="AD125" s="245">
        <f t="shared" si="14"/>
        <v>1657.37</v>
      </c>
      <c r="AE125" s="214">
        <f t="shared" si="15"/>
        <v>162.49</v>
      </c>
      <c r="AF125" s="11">
        <f t="shared" si="8"/>
        <v>494.59</v>
      </c>
      <c r="AG125" s="11">
        <f t="shared" si="9"/>
        <v>487.37</v>
      </c>
      <c r="AI125" s="11" t="e">
        <f>#REF!-U125+V125-W125+X125-Y125+Z125-AA125+AB125</f>
        <v>#REF!</v>
      </c>
    </row>
    <row r="126" customHeight="1" spans="1:35">
      <c r="A126" s="242">
        <v>122</v>
      </c>
      <c r="B126" s="242" t="s">
        <v>277</v>
      </c>
      <c r="C126" s="243" t="s">
        <v>278</v>
      </c>
      <c r="D126" s="225">
        <v>-70.6000000000001</v>
      </c>
      <c r="E126" s="225">
        <v>189.35</v>
      </c>
      <c r="F126" s="225">
        <v>500</v>
      </c>
      <c r="G126" s="225">
        <v>245.93</v>
      </c>
      <c r="H126" s="245"/>
      <c r="I126" s="245">
        <v>115.35</v>
      </c>
      <c r="J126" s="245"/>
      <c r="K126" s="245">
        <v>124.05</v>
      </c>
      <c r="L126" s="245"/>
      <c r="M126" s="245">
        <v>116.44</v>
      </c>
      <c r="N126" s="245">
        <v>500</v>
      </c>
      <c r="O126" s="245">
        <v>113.17</v>
      </c>
      <c r="P126" s="245"/>
      <c r="Q126" s="245">
        <v>171.39</v>
      </c>
      <c r="R126" s="245"/>
      <c r="S126" s="245">
        <v>140.38</v>
      </c>
      <c r="T126" s="245">
        <v>500</v>
      </c>
      <c r="U126" s="245">
        <v>226.35</v>
      </c>
      <c r="V126" s="245">
        <v>160</v>
      </c>
      <c r="W126" s="245">
        <v>143.1</v>
      </c>
      <c r="X126" s="245">
        <v>143</v>
      </c>
      <c r="Y126" s="245">
        <v>119.7</v>
      </c>
      <c r="Z126" s="245">
        <v>120</v>
      </c>
      <c r="AA126" s="245">
        <v>170.85</v>
      </c>
      <c r="AB126" s="245">
        <v>170</v>
      </c>
      <c r="AC126" s="245">
        <f t="shared" si="13"/>
        <v>1876.06</v>
      </c>
      <c r="AD126" s="245">
        <f t="shared" si="14"/>
        <v>2093</v>
      </c>
      <c r="AE126" s="214">
        <f t="shared" si="15"/>
        <v>146.34</v>
      </c>
      <c r="AF126" s="11">
        <f t="shared" si="8"/>
        <v>660</v>
      </c>
      <c r="AG126" s="11">
        <f t="shared" si="9"/>
        <v>593</v>
      </c>
      <c r="AI126" s="11" t="e">
        <f>#REF!-U126+V126-W126+X126-Y126+Z126-AA126+AB126</f>
        <v>#REF!</v>
      </c>
    </row>
    <row r="127" customHeight="1" spans="1:35">
      <c r="A127" s="242">
        <v>123</v>
      </c>
      <c r="B127" s="242" t="s">
        <v>279</v>
      </c>
      <c r="C127" s="243" t="s">
        <v>280</v>
      </c>
      <c r="D127" s="225">
        <v>253.77</v>
      </c>
      <c r="E127" s="225">
        <v>68.56</v>
      </c>
      <c r="F127" s="225"/>
      <c r="G127" s="225">
        <v>218.73</v>
      </c>
      <c r="H127" s="245"/>
      <c r="I127" s="245">
        <v>77.81</v>
      </c>
      <c r="J127" s="245">
        <v>500</v>
      </c>
      <c r="K127" s="245">
        <v>119.16</v>
      </c>
      <c r="L127" s="245"/>
      <c r="M127" s="245">
        <v>98.48</v>
      </c>
      <c r="N127" s="245"/>
      <c r="O127" s="245">
        <v>93.04</v>
      </c>
      <c r="P127" s="245"/>
      <c r="Q127" s="245">
        <v>126.78</v>
      </c>
      <c r="R127" s="245">
        <v>2000</v>
      </c>
      <c r="S127" s="245">
        <v>103.38</v>
      </c>
      <c r="T127" s="245">
        <v>300</v>
      </c>
      <c r="U127" s="245">
        <v>108.82</v>
      </c>
      <c r="V127" s="245">
        <v>200</v>
      </c>
      <c r="W127" s="245">
        <v>96.31</v>
      </c>
      <c r="X127" s="245">
        <v>200</v>
      </c>
      <c r="Y127" s="245">
        <v>114.26</v>
      </c>
      <c r="Z127" s="245"/>
      <c r="AA127" s="245">
        <v>146.91</v>
      </c>
      <c r="AB127" s="245">
        <v>300</v>
      </c>
      <c r="AC127" s="245">
        <f t="shared" si="13"/>
        <v>1372.24</v>
      </c>
      <c r="AD127" s="245">
        <f t="shared" si="14"/>
        <v>3500</v>
      </c>
      <c r="AE127" s="214">
        <f t="shared" si="15"/>
        <v>2381.53</v>
      </c>
      <c r="AF127" s="11">
        <f t="shared" si="8"/>
        <v>466.3</v>
      </c>
      <c r="AG127" s="11">
        <f t="shared" si="9"/>
        <v>700</v>
      </c>
      <c r="AI127" s="11" t="e">
        <f>#REF!-U127+V127-W127+X127-Y127+Z127-AA127+AB127</f>
        <v>#REF!</v>
      </c>
    </row>
    <row r="128" customHeight="1" spans="1:35">
      <c r="A128" s="242">
        <v>124</v>
      </c>
      <c r="B128" s="242" t="s">
        <v>281</v>
      </c>
      <c r="C128" s="243" t="s">
        <v>282</v>
      </c>
      <c r="D128" s="225">
        <v>274.44</v>
      </c>
      <c r="E128" s="225">
        <v>1.09</v>
      </c>
      <c r="F128" s="225"/>
      <c r="G128" s="225">
        <v>0.54</v>
      </c>
      <c r="H128" s="245"/>
      <c r="I128" s="245">
        <v>0</v>
      </c>
      <c r="J128" s="245"/>
      <c r="K128" s="245">
        <v>0</v>
      </c>
      <c r="L128" s="245"/>
      <c r="M128" s="245">
        <v>5.44</v>
      </c>
      <c r="N128" s="245"/>
      <c r="O128" s="245">
        <v>4.35</v>
      </c>
      <c r="P128" s="245"/>
      <c r="Q128" s="245">
        <v>0.54</v>
      </c>
      <c r="R128" s="245"/>
      <c r="S128" s="245">
        <v>4.9</v>
      </c>
      <c r="T128" s="245"/>
      <c r="U128" s="245">
        <v>1.09</v>
      </c>
      <c r="V128" s="245"/>
      <c r="W128" s="245">
        <v>7.07</v>
      </c>
      <c r="X128" s="245"/>
      <c r="Y128" s="245">
        <v>4.35</v>
      </c>
      <c r="Z128" s="245"/>
      <c r="AA128" s="245">
        <v>10.88</v>
      </c>
      <c r="AB128" s="245"/>
      <c r="AC128" s="245">
        <f t="shared" si="13"/>
        <v>40.25</v>
      </c>
      <c r="AD128" s="245">
        <f t="shared" si="14"/>
        <v>0</v>
      </c>
      <c r="AE128" s="214">
        <f t="shared" si="15"/>
        <v>234.19</v>
      </c>
      <c r="AF128" s="11">
        <f t="shared" si="8"/>
        <v>23.39</v>
      </c>
      <c r="AG128" s="11">
        <f t="shared" si="9"/>
        <v>0</v>
      </c>
      <c r="AI128" s="11" t="e">
        <f>#REF!-U128+V128-W128+X128-Y128+Z128-AA128+AB128</f>
        <v>#REF!</v>
      </c>
    </row>
    <row r="129" customHeight="1" spans="1:35">
      <c r="A129" s="242">
        <v>125</v>
      </c>
      <c r="B129" s="242" t="s">
        <v>283</v>
      </c>
      <c r="C129" s="243" t="s">
        <v>284</v>
      </c>
      <c r="D129" s="225">
        <v>-828.83</v>
      </c>
      <c r="E129" s="225">
        <v>207.3</v>
      </c>
      <c r="F129" s="225">
        <v>900</v>
      </c>
      <c r="G129" s="225">
        <v>397.74</v>
      </c>
      <c r="H129" s="245"/>
      <c r="I129" s="245">
        <v>131.13</v>
      </c>
      <c r="J129" s="245">
        <v>600</v>
      </c>
      <c r="K129" s="245">
        <v>162.69</v>
      </c>
      <c r="L129" s="245"/>
      <c r="M129" s="245">
        <v>152.89</v>
      </c>
      <c r="N129" s="245">
        <v>300</v>
      </c>
      <c r="O129" s="245">
        <v>138.2</v>
      </c>
      <c r="P129" s="245"/>
      <c r="Q129" s="245">
        <v>195.33</v>
      </c>
      <c r="R129" s="245"/>
      <c r="S129" s="245">
        <v>180.64</v>
      </c>
      <c r="T129" s="245">
        <v>300</v>
      </c>
      <c r="U129" s="245">
        <v>181.73</v>
      </c>
      <c r="V129" s="245">
        <v>700</v>
      </c>
      <c r="W129" s="245">
        <v>153.44</v>
      </c>
      <c r="X129" s="245">
        <v>100</v>
      </c>
      <c r="Y129" s="245">
        <v>174.66</v>
      </c>
      <c r="Z129" s="245">
        <v>180</v>
      </c>
      <c r="AA129" s="245">
        <v>204.58</v>
      </c>
      <c r="AB129" s="245"/>
      <c r="AC129" s="245">
        <f t="shared" si="13"/>
        <v>2280.33</v>
      </c>
      <c r="AD129" s="245">
        <f t="shared" si="14"/>
        <v>3080</v>
      </c>
      <c r="AE129" s="214">
        <f t="shared" si="15"/>
        <v>-29.1600000000008</v>
      </c>
      <c r="AF129" s="11">
        <f t="shared" si="8"/>
        <v>714.41</v>
      </c>
      <c r="AG129" s="11">
        <f t="shared" si="9"/>
        <v>980</v>
      </c>
      <c r="AI129" s="11" t="e">
        <f>#REF!-U129+V129-W129+X129-Y129+Z129-AA129+AB129</f>
        <v>#REF!</v>
      </c>
    </row>
    <row r="130" customHeight="1" spans="1:35">
      <c r="A130" s="242">
        <v>126</v>
      </c>
      <c r="B130" s="242" t="s">
        <v>285</v>
      </c>
      <c r="C130" s="243" t="s">
        <v>286</v>
      </c>
      <c r="D130" s="225">
        <v>10.09</v>
      </c>
      <c r="E130" s="225">
        <v>57.13</v>
      </c>
      <c r="F130" s="225"/>
      <c r="G130" s="225">
        <v>115.89</v>
      </c>
      <c r="H130" s="245"/>
      <c r="I130" s="245">
        <v>81.07</v>
      </c>
      <c r="J130" s="245">
        <v>400</v>
      </c>
      <c r="K130" s="245">
        <v>77.81</v>
      </c>
      <c r="L130" s="245"/>
      <c r="M130" s="245">
        <v>40.26</v>
      </c>
      <c r="N130" s="245"/>
      <c r="O130" s="245">
        <v>39.72</v>
      </c>
      <c r="P130" s="245"/>
      <c r="Q130" s="245">
        <v>64.2</v>
      </c>
      <c r="R130" s="245"/>
      <c r="S130" s="245">
        <v>61.48</v>
      </c>
      <c r="T130" s="245"/>
      <c r="U130" s="245">
        <v>29.93</v>
      </c>
      <c r="V130" s="245">
        <v>400</v>
      </c>
      <c r="W130" s="245">
        <v>26.66</v>
      </c>
      <c r="X130" s="245"/>
      <c r="Y130" s="245">
        <v>40.81</v>
      </c>
      <c r="Z130" s="245"/>
      <c r="AA130" s="245">
        <v>61.48</v>
      </c>
      <c r="AB130" s="245"/>
      <c r="AC130" s="245">
        <f t="shared" si="13"/>
        <v>696.44</v>
      </c>
      <c r="AD130" s="245">
        <f t="shared" si="14"/>
        <v>800</v>
      </c>
      <c r="AE130" s="214">
        <f t="shared" si="15"/>
        <v>113.65</v>
      </c>
      <c r="AF130" s="11">
        <f t="shared" si="8"/>
        <v>158.88</v>
      </c>
      <c r="AG130" s="11">
        <f t="shared" si="9"/>
        <v>400</v>
      </c>
      <c r="AI130" s="11" t="e">
        <f>#REF!-U130+V130-W130+X130-Y130+Z130-AA130+AB130</f>
        <v>#REF!</v>
      </c>
    </row>
    <row r="131" customHeight="1" spans="1:35">
      <c r="A131" s="242">
        <v>127</v>
      </c>
      <c r="B131" s="242" t="s">
        <v>287</v>
      </c>
      <c r="C131" s="243" t="s">
        <v>288</v>
      </c>
      <c r="D131" s="225">
        <v>161.44</v>
      </c>
      <c r="E131" s="225">
        <v>106.64</v>
      </c>
      <c r="F131" s="225"/>
      <c r="G131" s="225">
        <v>125.69</v>
      </c>
      <c r="H131" s="245">
        <v>1000</v>
      </c>
      <c r="I131" s="245">
        <v>40.81</v>
      </c>
      <c r="J131" s="245"/>
      <c r="K131" s="245">
        <v>63.66</v>
      </c>
      <c r="L131" s="245"/>
      <c r="M131" s="245">
        <v>39.72</v>
      </c>
      <c r="N131" s="245"/>
      <c r="O131" s="245">
        <v>83.25</v>
      </c>
      <c r="P131" s="245"/>
      <c r="Q131" s="245">
        <v>78.35</v>
      </c>
      <c r="R131" s="245"/>
      <c r="S131" s="245">
        <v>66.38</v>
      </c>
      <c r="T131" s="245"/>
      <c r="U131" s="245">
        <v>72.91</v>
      </c>
      <c r="V131" s="245"/>
      <c r="W131" s="245">
        <v>71.28</v>
      </c>
      <c r="X131" s="245"/>
      <c r="Y131" s="245">
        <v>87.6</v>
      </c>
      <c r="Z131" s="245"/>
      <c r="AA131" s="245">
        <v>97.39</v>
      </c>
      <c r="AB131" s="245"/>
      <c r="AC131" s="245">
        <f t="shared" si="13"/>
        <v>933.68</v>
      </c>
      <c r="AD131" s="245">
        <f t="shared" si="14"/>
        <v>1000</v>
      </c>
      <c r="AE131" s="214">
        <f t="shared" si="15"/>
        <v>227.76</v>
      </c>
      <c r="AF131" s="11">
        <f t="shared" si="8"/>
        <v>329.18</v>
      </c>
      <c r="AG131" s="11">
        <f t="shared" si="9"/>
        <v>0</v>
      </c>
      <c r="AI131" s="11" t="e">
        <f>#REF!-U131+V131-W131+X131-Y131+Z131-AA131+AB131</f>
        <v>#REF!</v>
      </c>
    </row>
    <row r="132" customHeight="1" spans="1:35">
      <c r="A132" s="242">
        <v>128</v>
      </c>
      <c r="B132" s="242" t="s">
        <v>289</v>
      </c>
      <c r="C132" s="243" t="s">
        <v>290</v>
      </c>
      <c r="D132" s="225">
        <v>188.84</v>
      </c>
      <c r="E132" s="225">
        <v>72.37</v>
      </c>
      <c r="F132" s="225"/>
      <c r="G132" s="225">
        <v>131.67</v>
      </c>
      <c r="H132" s="245"/>
      <c r="I132" s="245">
        <v>29.38</v>
      </c>
      <c r="J132" s="245">
        <v>100</v>
      </c>
      <c r="K132" s="245">
        <v>39.72</v>
      </c>
      <c r="L132" s="245"/>
      <c r="M132" s="245">
        <v>32.65</v>
      </c>
      <c r="N132" s="245"/>
      <c r="O132" s="245">
        <v>42.44</v>
      </c>
      <c r="P132" s="245"/>
      <c r="Q132" s="245">
        <v>77.26</v>
      </c>
      <c r="R132" s="245">
        <v>20</v>
      </c>
      <c r="S132" s="245">
        <v>58.22</v>
      </c>
      <c r="T132" s="245">
        <v>300</v>
      </c>
      <c r="U132" s="245">
        <v>37</v>
      </c>
      <c r="V132" s="245">
        <v>200</v>
      </c>
      <c r="W132" s="245">
        <v>41.9</v>
      </c>
      <c r="X132" s="245"/>
      <c r="Y132" s="245">
        <v>87.6</v>
      </c>
      <c r="Z132" s="245"/>
      <c r="AA132" s="245">
        <v>180.1</v>
      </c>
      <c r="AB132" s="245"/>
      <c r="AC132" s="245">
        <f t="shared" si="13"/>
        <v>830.31</v>
      </c>
      <c r="AD132" s="245">
        <f t="shared" si="14"/>
        <v>620</v>
      </c>
      <c r="AE132" s="214">
        <f t="shared" si="15"/>
        <v>-21.4699999999999</v>
      </c>
      <c r="AF132" s="11">
        <f t="shared" si="8"/>
        <v>346.6</v>
      </c>
      <c r="AG132" s="11">
        <f t="shared" si="9"/>
        <v>200</v>
      </c>
      <c r="AI132" s="11" t="e">
        <f>#REF!-U132+V132-W132+X132-Y132+Z132-AA132+AB132</f>
        <v>#REF!</v>
      </c>
    </row>
    <row r="133" customHeight="1" spans="1:35">
      <c r="A133" s="242">
        <v>129</v>
      </c>
      <c r="B133" s="242" t="s">
        <v>291</v>
      </c>
      <c r="C133" s="243" t="s">
        <v>292</v>
      </c>
      <c r="D133" s="225">
        <v>18.16</v>
      </c>
      <c r="E133" s="225">
        <v>310.14</v>
      </c>
      <c r="F133" s="225"/>
      <c r="G133" s="225">
        <v>434.19</v>
      </c>
      <c r="H133" s="245"/>
      <c r="I133" s="245">
        <v>173.02</v>
      </c>
      <c r="J133" s="245"/>
      <c r="K133" s="245">
        <v>252.46</v>
      </c>
      <c r="L133" s="245"/>
      <c r="M133" s="245">
        <v>195.88</v>
      </c>
      <c r="N133" s="245"/>
      <c r="O133" s="245">
        <v>152.89</v>
      </c>
      <c r="P133" s="245"/>
      <c r="Q133" s="245">
        <v>170.85</v>
      </c>
      <c r="R133" s="245"/>
      <c r="S133" s="245">
        <v>306.87</v>
      </c>
      <c r="T133" s="245"/>
      <c r="U133" s="245">
        <v>260.08</v>
      </c>
      <c r="V133" s="245">
        <v>1000</v>
      </c>
      <c r="W133" s="245">
        <v>159.97</v>
      </c>
      <c r="X133" s="245"/>
      <c r="Y133" s="245">
        <v>246.48</v>
      </c>
      <c r="Z133" s="245"/>
      <c r="AA133" s="245">
        <v>256.27</v>
      </c>
      <c r="AB133" s="245"/>
      <c r="AC133" s="245">
        <f t="shared" si="13"/>
        <v>2919.1</v>
      </c>
      <c r="AD133" s="245">
        <f t="shared" si="14"/>
        <v>1000</v>
      </c>
      <c r="AE133" s="214">
        <f t="shared" si="15"/>
        <v>-1900.94</v>
      </c>
      <c r="AF133" s="11">
        <f>U133+W133+Y133+AA133</f>
        <v>922.8</v>
      </c>
      <c r="AG133" s="11">
        <f>V133+X133+Z133+AB133</f>
        <v>1000</v>
      </c>
      <c r="AI133" s="11" t="e">
        <f>#REF!-U133+V133-W133+X133-Y133+Z133-AA133+AB133</f>
        <v>#REF!</v>
      </c>
    </row>
    <row r="134" customHeight="1" spans="1:35">
      <c r="A134" s="242">
        <v>130</v>
      </c>
      <c r="B134" s="108"/>
      <c r="C134" s="108" t="s">
        <v>3</v>
      </c>
      <c r="D134" s="245">
        <f>SUM(D5:D133)</f>
        <v>26388.626</v>
      </c>
      <c r="E134" s="245">
        <f t="shared" ref="E134:AE134" si="16">SUM(E5:E133)</f>
        <v>15482.92</v>
      </c>
      <c r="F134" s="245">
        <f t="shared" si="16"/>
        <v>34803.73</v>
      </c>
      <c r="G134" s="245">
        <f t="shared" si="16"/>
        <v>24701.91</v>
      </c>
      <c r="H134" s="245">
        <f t="shared" si="16"/>
        <v>5224.05</v>
      </c>
      <c r="I134" s="245">
        <f t="shared" si="16"/>
        <v>9201.07</v>
      </c>
      <c r="J134" s="245">
        <f t="shared" si="16"/>
        <v>23867.19</v>
      </c>
      <c r="K134" s="245">
        <f t="shared" si="16"/>
        <v>12106.76</v>
      </c>
      <c r="L134" s="245">
        <f t="shared" si="16"/>
        <v>5000</v>
      </c>
      <c r="M134" s="245">
        <f t="shared" si="16"/>
        <v>10514.94</v>
      </c>
      <c r="N134" s="245">
        <f t="shared" si="16"/>
        <v>23382.03</v>
      </c>
      <c r="O134" s="245">
        <f t="shared" si="16"/>
        <v>11399.44</v>
      </c>
      <c r="P134" s="245">
        <f t="shared" si="16"/>
        <v>6950</v>
      </c>
      <c r="Q134" s="245">
        <f t="shared" si="16"/>
        <v>17622.85</v>
      </c>
      <c r="R134" s="245">
        <f t="shared" si="16"/>
        <v>14429.37</v>
      </c>
      <c r="S134" s="245">
        <f t="shared" si="16"/>
        <v>16192.1</v>
      </c>
      <c r="T134" s="245">
        <f t="shared" si="16"/>
        <v>31833.6</v>
      </c>
      <c r="U134" s="245">
        <f t="shared" si="16"/>
        <v>15340.66</v>
      </c>
      <c r="V134" s="245">
        <f t="shared" si="16"/>
        <v>25501.12</v>
      </c>
      <c r="W134" s="245">
        <f t="shared" si="16"/>
        <v>10618.21</v>
      </c>
      <c r="X134" s="245">
        <f t="shared" si="16"/>
        <v>6293.5</v>
      </c>
      <c r="Y134" s="245">
        <f t="shared" si="16"/>
        <v>12067.83</v>
      </c>
      <c r="Z134" s="245">
        <f t="shared" si="16"/>
        <v>8015.58</v>
      </c>
      <c r="AA134" s="245">
        <f t="shared" si="16"/>
        <v>16355.88</v>
      </c>
      <c r="AB134" s="245">
        <f t="shared" si="16"/>
        <v>13953.79</v>
      </c>
      <c r="AC134" s="245">
        <f t="shared" si="16"/>
        <v>171604.57</v>
      </c>
      <c r="AD134" s="245">
        <f t="shared" si="16"/>
        <v>199253.96</v>
      </c>
      <c r="AE134" s="245">
        <f t="shared" si="16"/>
        <v>54038.016</v>
      </c>
      <c r="AF134" s="11">
        <f>U134+W134+Y134+AA134</f>
        <v>54382.58</v>
      </c>
      <c r="AG134" s="11">
        <f>V134+X134+Z134+AB134</f>
        <v>53763.99</v>
      </c>
      <c r="AI134" s="11" t="e">
        <f>SUM(AI5:AI133)</f>
        <v>#REF!</v>
      </c>
    </row>
  </sheetData>
  <sheetProtection password="DE10" sheet="1" objects="1"/>
  <mergeCells count="4">
    <mergeCell ref="A1:AE1"/>
    <mergeCell ref="A2:D2"/>
    <mergeCell ref="Z2:AE2"/>
    <mergeCell ref="AF3:AG3"/>
  </mergeCells>
  <conditionalFormatting sqref="C5:C68">
    <cfRule type="cellIs" dxfId="0" priority="4" operator="equal">
      <formula>0</formula>
    </cfRule>
    <cfRule type="duplicateValues" dxfId="1" priority="3"/>
  </conditionalFormatting>
  <conditionalFormatting sqref="C71:C133">
    <cfRule type="cellIs" dxfId="0" priority="2" operator="equal">
      <formula>0</formula>
    </cfRule>
  </conditionalFormatting>
  <pageMargins left="0.393055555555556" right="0.393055555555556" top="0.393055555555556" bottom="0.393055555555556" header="0.298611111111111" footer="0.298611111111111"/>
  <pageSetup paperSize="9" scale="35" fitToHeight="0" orientation="landscape" horizontalDpi="6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34"/>
  <sheetViews>
    <sheetView zoomScale="85" zoomScaleNormal="85" workbookViewId="0">
      <selection activeCell="A1" sqref="$A1:$XFD1"/>
    </sheetView>
  </sheetViews>
  <sheetFormatPr defaultColWidth="9" defaultRowHeight="35" customHeight="1"/>
  <cols>
    <col min="1" max="1" width="6.925" style="12" customWidth="1"/>
    <col min="2" max="2" width="11.1083333333333" style="12" customWidth="1"/>
    <col min="3" max="3" width="10.45" style="12" customWidth="1"/>
    <col min="4" max="4" width="15.8166666666667" style="12" customWidth="1"/>
    <col min="5" max="5" width="14.25" style="12" customWidth="1"/>
    <col min="6" max="19" width="11.8833333333333" style="12" customWidth="1"/>
    <col min="20" max="20" width="14.2416666666667" style="12" customWidth="1"/>
    <col min="21" max="28" width="11.8833333333333" style="12" customWidth="1"/>
    <col min="29" max="29" width="14.5" style="12" customWidth="1"/>
    <col min="30" max="30" width="11.8833333333333" style="12" customWidth="1"/>
    <col min="31" max="31" width="14.3833333333333" style="12" customWidth="1"/>
    <col min="32" max="32" width="14.2416666666667" style="12" customWidth="1"/>
    <col min="33" max="33" width="14.5" style="15" customWidth="1"/>
    <col min="34" max="16384" width="9" style="1"/>
  </cols>
  <sheetData>
    <row r="1" s="238" customFormat="1" customHeight="1" spans="1:33">
      <c r="A1" s="241" t="s">
        <v>303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6"/>
    </row>
    <row r="2" s="2" customFormat="1" customHeight="1" spans="1:33">
      <c r="A2" s="45" t="s">
        <v>1</v>
      </c>
      <c r="B2" s="45"/>
      <c r="C2" s="45"/>
      <c r="D2" s="45"/>
      <c r="E2" s="72"/>
      <c r="F2" s="72"/>
      <c r="G2" s="7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74" t="s">
        <v>2</v>
      </c>
      <c r="AC2" s="174"/>
      <c r="AD2" s="174"/>
      <c r="AE2" s="174"/>
      <c r="AF2" s="174"/>
      <c r="AG2" s="179"/>
    </row>
    <row r="3" s="2" customFormat="1" ht="23" customHeight="1" spans="1:33">
      <c r="A3" s="45"/>
      <c r="B3" s="45"/>
      <c r="C3" s="45"/>
      <c r="D3" s="45"/>
      <c r="E3" s="72"/>
      <c r="F3" s="72"/>
      <c r="G3" s="7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74"/>
      <c r="AC3" s="174"/>
      <c r="AD3" s="174"/>
      <c r="AE3" s="174"/>
      <c r="AF3" s="174"/>
      <c r="AG3" s="179"/>
    </row>
    <row r="4" s="3" customFormat="1" ht="60" customHeight="1" spans="1:33">
      <c r="A4" s="48" t="s">
        <v>6</v>
      </c>
      <c r="B4" s="48" t="s">
        <v>7</v>
      </c>
      <c r="C4" s="48" t="s">
        <v>8</v>
      </c>
      <c r="D4" s="209" t="s">
        <v>9</v>
      </c>
      <c r="E4" s="209" t="s">
        <v>304</v>
      </c>
      <c r="F4" s="64" t="s">
        <v>11</v>
      </c>
      <c r="G4" s="64" t="s">
        <v>12</v>
      </c>
      <c r="H4" s="64" t="s">
        <v>13</v>
      </c>
      <c r="I4" s="64" t="s">
        <v>14</v>
      </c>
      <c r="J4" s="64" t="s">
        <v>15</v>
      </c>
      <c r="K4" s="64" t="s">
        <v>16</v>
      </c>
      <c r="L4" s="64" t="s">
        <v>17</v>
      </c>
      <c r="M4" s="64" t="s">
        <v>18</v>
      </c>
      <c r="N4" s="64" t="s">
        <v>19</v>
      </c>
      <c r="O4" s="64" t="s">
        <v>20</v>
      </c>
      <c r="P4" s="64" t="s">
        <v>21</v>
      </c>
      <c r="Q4" s="64" t="s">
        <v>22</v>
      </c>
      <c r="R4" s="64" t="s">
        <v>23</v>
      </c>
      <c r="S4" s="64" t="s">
        <v>24</v>
      </c>
      <c r="T4" s="64" t="s">
        <v>305</v>
      </c>
      <c r="U4" s="64" t="s">
        <v>25</v>
      </c>
      <c r="V4" s="64" t="s">
        <v>306</v>
      </c>
      <c r="W4" s="64" t="s">
        <v>26</v>
      </c>
      <c r="X4" s="64" t="s">
        <v>27</v>
      </c>
      <c r="Y4" s="64" t="s">
        <v>28</v>
      </c>
      <c r="Z4" s="64" t="s">
        <v>29</v>
      </c>
      <c r="AA4" s="64" t="s">
        <v>30</v>
      </c>
      <c r="AB4" s="64" t="s">
        <v>31</v>
      </c>
      <c r="AC4" s="209" t="s">
        <v>307</v>
      </c>
      <c r="AD4" s="64" t="s">
        <v>33</v>
      </c>
      <c r="AE4" s="108" t="s">
        <v>308</v>
      </c>
      <c r="AF4" s="108" t="s">
        <v>309</v>
      </c>
      <c r="AG4" s="206" t="s">
        <v>36</v>
      </c>
    </row>
    <row r="5" s="1" customFormat="1" customHeight="1" spans="1:33">
      <c r="A5" s="242">
        <v>1</v>
      </c>
      <c r="B5" s="242" t="s">
        <v>37</v>
      </c>
      <c r="C5" s="243" t="s">
        <v>38</v>
      </c>
      <c r="D5" s="225">
        <v>219.49</v>
      </c>
      <c r="E5" s="225">
        <v>0.54</v>
      </c>
      <c r="F5" s="225"/>
      <c r="G5" s="244"/>
      <c r="H5" s="245"/>
      <c r="I5" s="245"/>
      <c r="J5" s="245"/>
      <c r="K5" s="244">
        <v>0.54</v>
      </c>
      <c r="L5" s="245"/>
      <c r="M5" s="245"/>
      <c r="N5" s="245"/>
      <c r="O5" s="245"/>
      <c r="P5" s="245">
        <v>121.83</v>
      </c>
      <c r="Q5" s="245">
        <v>9.59</v>
      </c>
      <c r="R5" s="245"/>
      <c r="S5" s="244">
        <v>18.65</v>
      </c>
      <c r="T5" s="244">
        <v>13.95</v>
      </c>
      <c r="U5" s="245">
        <v>24.44</v>
      </c>
      <c r="V5" s="245">
        <v>155</v>
      </c>
      <c r="W5" s="245">
        <v>13.28</v>
      </c>
      <c r="X5" s="245"/>
      <c r="Y5" s="245">
        <v>11.26</v>
      </c>
      <c r="Z5" s="245"/>
      <c r="AA5" s="245">
        <v>12.51</v>
      </c>
      <c r="AB5" s="245">
        <v>100</v>
      </c>
      <c r="AC5" s="245">
        <v>17.96</v>
      </c>
      <c r="AD5" s="245"/>
      <c r="AE5" s="245">
        <f>E5+G5+I5+K5+M5+O5+Q5+S5+T5+W5+Y5+AA5+AC5</f>
        <v>98.28</v>
      </c>
      <c r="AF5" s="245">
        <f>F5+H5+J5+L5+N5+P5+R5+U5+X5+Z5+AB5+AD5</f>
        <v>246.27</v>
      </c>
      <c r="AG5" s="112">
        <f>D5+AF5-AE5</f>
        <v>367.48</v>
      </c>
    </row>
    <row r="6" s="1" customFormat="1" customHeight="1" spans="1:33">
      <c r="A6" s="242">
        <v>2</v>
      </c>
      <c r="B6" s="242" t="s">
        <v>39</v>
      </c>
      <c r="C6" s="243" t="s">
        <v>40</v>
      </c>
      <c r="D6" s="225">
        <v>677.53</v>
      </c>
      <c r="E6" s="225">
        <v>35.37</v>
      </c>
      <c r="F6" s="225"/>
      <c r="G6" s="244">
        <v>104.47</v>
      </c>
      <c r="H6" s="245"/>
      <c r="I6" s="244">
        <v>43.53</v>
      </c>
      <c r="J6" s="245">
        <v>1000</v>
      </c>
      <c r="K6" s="244">
        <v>60.4</v>
      </c>
      <c r="L6" s="245"/>
      <c r="M6" s="245">
        <v>55.22</v>
      </c>
      <c r="N6" s="245"/>
      <c r="O6" s="245">
        <v>25.22</v>
      </c>
      <c r="P6" s="245"/>
      <c r="Q6" s="245">
        <v>51.34</v>
      </c>
      <c r="R6" s="245"/>
      <c r="S6" s="244">
        <v>89.74</v>
      </c>
      <c r="T6" s="244">
        <v>41.36</v>
      </c>
      <c r="U6" s="245"/>
      <c r="V6" s="245"/>
      <c r="W6" s="245">
        <v>120.65</v>
      </c>
      <c r="X6" s="245"/>
      <c r="Y6" s="245">
        <v>127.83</v>
      </c>
      <c r="Z6" s="245"/>
      <c r="AA6" s="245">
        <v>72.37</v>
      </c>
      <c r="AB6" s="245"/>
      <c r="AC6" s="245">
        <v>86.51</v>
      </c>
      <c r="AD6" s="245"/>
      <c r="AE6" s="245">
        <f t="shared" ref="AE6:AE37" si="0">E6+G6+I6+K6+M6+O6+Q6+S6+T6+W6+Y6+AA6+AC6</f>
        <v>914.01</v>
      </c>
      <c r="AF6" s="245">
        <f t="shared" ref="AF6:AF37" si="1">F6+H6+J6+L6+N6+P6+R6+U6+X6+Z6+AB6+AD6</f>
        <v>1000</v>
      </c>
      <c r="AG6" s="112">
        <f t="shared" ref="AG6:AG37" si="2">D6+AF6-AE6</f>
        <v>763.52</v>
      </c>
    </row>
    <row r="7" s="1" customFormat="1" customHeight="1" spans="1:33">
      <c r="A7" s="242">
        <v>3</v>
      </c>
      <c r="B7" s="242" t="s">
        <v>41</v>
      </c>
      <c r="C7" s="243" t="s">
        <v>42</v>
      </c>
      <c r="D7" s="225">
        <v>295.13</v>
      </c>
      <c r="E7" s="225">
        <v>144.73</v>
      </c>
      <c r="F7" s="225">
        <v>100</v>
      </c>
      <c r="G7" s="244">
        <v>194.79</v>
      </c>
      <c r="H7" s="245"/>
      <c r="I7" s="244">
        <v>111</v>
      </c>
      <c r="J7" s="245">
        <f>150+150</f>
        <v>300</v>
      </c>
      <c r="K7" s="244">
        <v>74</v>
      </c>
      <c r="L7" s="245"/>
      <c r="M7" s="245">
        <v>35.87</v>
      </c>
      <c r="N7" s="245"/>
      <c r="O7" s="245">
        <v>93.6</v>
      </c>
      <c r="P7" s="245">
        <f>200+175+200</f>
        <v>575</v>
      </c>
      <c r="Q7" s="245">
        <v>152.33</v>
      </c>
      <c r="R7" s="245"/>
      <c r="S7" s="244">
        <v>233.68</v>
      </c>
      <c r="T7" s="244">
        <v>71.23</v>
      </c>
      <c r="U7" s="245">
        <v>300</v>
      </c>
      <c r="V7" s="245"/>
      <c r="W7" s="245">
        <v>228.61</v>
      </c>
      <c r="X7" s="245">
        <v>100</v>
      </c>
      <c r="Y7" s="245">
        <v>74.33</v>
      </c>
      <c r="Z7" s="245">
        <v>100</v>
      </c>
      <c r="AA7" s="245">
        <v>79.98</v>
      </c>
      <c r="AB7" s="245">
        <v>100</v>
      </c>
      <c r="AC7" s="245">
        <v>101.75</v>
      </c>
      <c r="AD7" s="245"/>
      <c r="AE7" s="245">
        <f t="shared" si="0"/>
        <v>1595.9</v>
      </c>
      <c r="AF7" s="245">
        <f t="shared" si="1"/>
        <v>1575</v>
      </c>
      <c r="AG7" s="112">
        <f t="shared" si="2"/>
        <v>274.23</v>
      </c>
    </row>
    <row r="8" s="1" customFormat="1" customHeight="1" spans="1:33">
      <c r="A8" s="242">
        <v>4</v>
      </c>
      <c r="B8" s="242" t="s">
        <v>43</v>
      </c>
      <c r="C8" s="243" t="s">
        <v>44</v>
      </c>
      <c r="D8" s="225">
        <v>630.81</v>
      </c>
      <c r="E8" s="225">
        <v>91.95</v>
      </c>
      <c r="F8" s="225"/>
      <c r="G8" s="244">
        <v>102.29</v>
      </c>
      <c r="H8" s="245"/>
      <c r="I8" s="244">
        <v>60.94</v>
      </c>
      <c r="J8" s="245"/>
      <c r="K8" s="244">
        <v>65.84</v>
      </c>
      <c r="L8" s="245"/>
      <c r="M8" s="245">
        <v>67.75</v>
      </c>
      <c r="N8" s="245"/>
      <c r="O8" s="245">
        <v>48.2</v>
      </c>
      <c r="P8" s="245">
        <v>100</v>
      </c>
      <c r="Q8" s="245">
        <v>84.06</v>
      </c>
      <c r="R8" s="245">
        <v>121.83</v>
      </c>
      <c r="S8" s="244">
        <v>89.16</v>
      </c>
      <c r="T8" s="244">
        <v>58.45</v>
      </c>
      <c r="U8" s="245">
        <v>500</v>
      </c>
      <c r="V8" s="245">
        <v>170</v>
      </c>
      <c r="W8" s="245">
        <v>88.33</v>
      </c>
      <c r="X8" s="245"/>
      <c r="Y8" s="245">
        <v>65.89</v>
      </c>
      <c r="Z8" s="245"/>
      <c r="AA8" s="245">
        <v>73.45</v>
      </c>
      <c r="AB8" s="245"/>
      <c r="AC8" s="245">
        <v>72.91</v>
      </c>
      <c r="AD8" s="245">
        <v>380</v>
      </c>
      <c r="AE8" s="245">
        <f t="shared" si="0"/>
        <v>969.22</v>
      </c>
      <c r="AF8" s="245">
        <f t="shared" si="1"/>
        <v>1101.83</v>
      </c>
      <c r="AG8" s="112">
        <f t="shared" si="2"/>
        <v>763.42</v>
      </c>
    </row>
    <row r="9" s="1" customFormat="1" customHeight="1" spans="1:33">
      <c r="A9" s="242">
        <v>5</v>
      </c>
      <c r="B9" s="242" t="s">
        <v>45</v>
      </c>
      <c r="C9" s="243" t="s">
        <v>46</v>
      </c>
      <c r="D9" s="225">
        <v>322.77</v>
      </c>
      <c r="E9" s="225">
        <v>242.12</v>
      </c>
      <c r="F9" s="225"/>
      <c r="G9" s="244">
        <v>160.51</v>
      </c>
      <c r="H9" s="245">
        <v>1000</v>
      </c>
      <c r="I9" s="244">
        <v>95.76</v>
      </c>
      <c r="J9" s="245"/>
      <c r="K9" s="244">
        <v>116.98</v>
      </c>
      <c r="L9" s="245"/>
      <c r="M9" s="245">
        <v>120.69</v>
      </c>
      <c r="N9" s="245"/>
      <c r="O9" s="245">
        <v>86.87</v>
      </c>
      <c r="P9" s="245"/>
      <c r="Q9" s="245">
        <v>133.15</v>
      </c>
      <c r="R9" s="245"/>
      <c r="S9" s="244">
        <v>138.11</v>
      </c>
      <c r="T9" s="244">
        <v>60.79</v>
      </c>
      <c r="U9" s="245">
        <v>405</v>
      </c>
      <c r="V9" s="245">
        <v>95</v>
      </c>
      <c r="W9" s="245">
        <v>137.97</v>
      </c>
      <c r="X9" s="245"/>
      <c r="Y9" s="245">
        <v>104.74</v>
      </c>
      <c r="Z9" s="245"/>
      <c r="AA9" s="245">
        <v>132.76</v>
      </c>
      <c r="AB9" s="245"/>
      <c r="AC9" s="245">
        <v>138.2</v>
      </c>
      <c r="AD9" s="245">
        <v>400</v>
      </c>
      <c r="AE9" s="245">
        <f t="shared" si="0"/>
        <v>1668.65</v>
      </c>
      <c r="AF9" s="245">
        <f t="shared" si="1"/>
        <v>1805</v>
      </c>
      <c r="AG9" s="112">
        <f t="shared" si="2"/>
        <v>459.12</v>
      </c>
    </row>
    <row r="10" s="1" customFormat="1" customHeight="1" spans="1:33">
      <c r="A10" s="242">
        <v>6</v>
      </c>
      <c r="B10" s="242" t="s">
        <v>47</v>
      </c>
      <c r="C10" s="243" t="s">
        <v>48</v>
      </c>
      <c r="D10" s="225">
        <v>300.67</v>
      </c>
      <c r="E10" s="225">
        <v>46.79</v>
      </c>
      <c r="F10" s="225"/>
      <c r="G10" s="244">
        <v>38.09</v>
      </c>
      <c r="H10" s="245"/>
      <c r="I10" s="244">
        <v>21.22</v>
      </c>
      <c r="J10" s="245"/>
      <c r="K10" s="244"/>
      <c r="L10" s="245">
        <v>200</v>
      </c>
      <c r="M10" s="245">
        <v>0.57</v>
      </c>
      <c r="N10" s="245"/>
      <c r="O10" s="245">
        <v>3.92</v>
      </c>
      <c r="P10" s="245"/>
      <c r="Q10" s="245">
        <v>18.05</v>
      </c>
      <c r="R10" s="245">
        <f>74+121.83+200</f>
        <v>395.83</v>
      </c>
      <c r="S10" s="244">
        <v>65.85</v>
      </c>
      <c r="T10" s="244">
        <v>54.99</v>
      </c>
      <c r="U10" s="245"/>
      <c r="V10" s="245"/>
      <c r="W10" s="245">
        <v>77.93</v>
      </c>
      <c r="X10" s="245"/>
      <c r="Y10" s="245">
        <v>13.52</v>
      </c>
      <c r="Z10" s="245"/>
      <c r="AA10" s="245">
        <v>26.12</v>
      </c>
      <c r="AB10" s="245"/>
      <c r="AC10" s="245">
        <v>17.41</v>
      </c>
      <c r="AD10" s="245"/>
      <c r="AE10" s="245">
        <f t="shared" si="0"/>
        <v>384.46</v>
      </c>
      <c r="AF10" s="245">
        <f t="shared" si="1"/>
        <v>595.83</v>
      </c>
      <c r="AG10" s="112">
        <f t="shared" si="2"/>
        <v>512.04</v>
      </c>
    </row>
    <row r="11" s="1" customFormat="1" customHeight="1" spans="1:33">
      <c r="A11" s="242">
        <v>7</v>
      </c>
      <c r="B11" s="242" t="s">
        <v>49</v>
      </c>
      <c r="C11" s="243" t="s">
        <v>50</v>
      </c>
      <c r="D11" s="225">
        <v>705.13</v>
      </c>
      <c r="E11" s="225">
        <v>224.17</v>
      </c>
      <c r="F11" s="225"/>
      <c r="G11" s="244">
        <v>190.98</v>
      </c>
      <c r="H11" s="245">
        <v>1000</v>
      </c>
      <c r="I11" s="244">
        <v>164.86</v>
      </c>
      <c r="J11" s="245"/>
      <c r="K11" s="244">
        <v>157.24</v>
      </c>
      <c r="L11" s="245"/>
      <c r="M11" s="245">
        <v>129.8</v>
      </c>
      <c r="N11" s="245"/>
      <c r="O11" s="245">
        <v>103.13</v>
      </c>
      <c r="P11" s="245"/>
      <c r="Q11" s="245">
        <v>213.82</v>
      </c>
      <c r="R11" s="245"/>
      <c r="S11" s="244">
        <v>284.37</v>
      </c>
      <c r="T11" s="244">
        <v>130.21</v>
      </c>
      <c r="U11" s="245">
        <v>500</v>
      </c>
      <c r="V11" s="245">
        <v>180</v>
      </c>
      <c r="W11" s="245">
        <v>377.55</v>
      </c>
      <c r="X11" s="245">
        <v>500</v>
      </c>
      <c r="Y11" s="245">
        <v>179.64</v>
      </c>
      <c r="Z11" s="245">
        <v>500</v>
      </c>
      <c r="AA11" s="245">
        <v>169.76</v>
      </c>
      <c r="AB11" s="245"/>
      <c r="AC11" s="245">
        <v>171.94</v>
      </c>
      <c r="AD11" s="245">
        <v>600</v>
      </c>
      <c r="AE11" s="245">
        <f t="shared" si="0"/>
        <v>2497.47</v>
      </c>
      <c r="AF11" s="245">
        <f t="shared" si="1"/>
        <v>3100</v>
      </c>
      <c r="AG11" s="112">
        <f t="shared" si="2"/>
        <v>1307.66</v>
      </c>
    </row>
    <row r="12" s="1" customFormat="1" customHeight="1" spans="1:33">
      <c r="A12" s="242">
        <v>8</v>
      </c>
      <c r="B12" s="242" t="s">
        <v>51</v>
      </c>
      <c r="C12" s="243" t="s">
        <v>52</v>
      </c>
      <c r="D12" s="225">
        <v>541.78</v>
      </c>
      <c r="E12" s="225">
        <v>179.01</v>
      </c>
      <c r="F12" s="225"/>
      <c r="G12" s="244">
        <v>293.81</v>
      </c>
      <c r="H12" s="245"/>
      <c r="I12" s="244">
        <v>141.47</v>
      </c>
      <c r="J12" s="245">
        <v>200</v>
      </c>
      <c r="K12" s="244">
        <v>160.51</v>
      </c>
      <c r="L12" s="245"/>
      <c r="M12" s="245">
        <v>121.26</v>
      </c>
      <c r="N12" s="245">
        <v>500</v>
      </c>
      <c r="O12" s="245">
        <v>77.34</v>
      </c>
      <c r="P12" s="245"/>
      <c r="Q12" s="245">
        <v>147.25</v>
      </c>
      <c r="R12" s="245">
        <v>121.83</v>
      </c>
      <c r="S12" s="244">
        <v>245.91</v>
      </c>
      <c r="T12" s="244">
        <v>183.16</v>
      </c>
      <c r="U12" s="245">
        <f>500+56</f>
        <v>556</v>
      </c>
      <c r="V12" s="245">
        <v>210</v>
      </c>
      <c r="W12" s="245">
        <v>270.17</v>
      </c>
      <c r="X12" s="245">
        <v>300</v>
      </c>
      <c r="Y12" s="245">
        <v>112.63</v>
      </c>
      <c r="Z12" s="245">
        <v>83.23</v>
      </c>
      <c r="AA12" s="245">
        <v>159.42</v>
      </c>
      <c r="AB12" s="245">
        <v>160</v>
      </c>
      <c r="AC12" s="245">
        <v>157.24</v>
      </c>
      <c r="AD12" s="245"/>
      <c r="AE12" s="245">
        <f t="shared" si="0"/>
        <v>2249.18</v>
      </c>
      <c r="AF12" s="245">
        <f t="shared" si="1"/>
        <v>1921.06</v>
      </c>
      <c r="AG12" s="112">
        <f t="shared" si="2"/>
        <v>213.66</v>
      </c>
    </row>
    <row r="13" s="1" customFormat="1" customHeight="1" spans="1:33">
      <c r="A13" s="242">
        <v>9</v>
      </c>
      <c r="B13" s="242" t="s">
        <v>53</v>
      </c>
      <c r="C13" s="243" t="s">
        <v>54</v>
      </c>
      <c r="D13" s="225">
        <v>-56.03</v>
      </c>
      <c r="E13" s="225">
        <v>202.95</v>
      </c>
      <c r="F13" s="225">
        <v>500</v>
      </c>
      <c r="G13" s="244">
        <v>255.18</v>
      </c>
      <c r="H13" s="245"/>
      <c r="I13" s="244">
        <v>119.7</v>
      </c>
      <c r="J13" s="245"/>
      <c r="K13" s="244">
        <v>119.7</v>
      </c>
      <c r="L13" s="245">
        <v>500</v>
      </c>
      <c r="M13" s="245">
        <v>125.24</v>
      </c>
      <c r="N13" s="245"/>
      <c r="O13" s="245">
        <v>123.3</v>
      </c>
      <c r="P13" s="245"/>
      <c r="Q13" s="245">
        <v>139.92</v>
      </c>
      <c r="R13" s="245">
        <v>500</v>
      </c>
      <c r="S13" s="244">
        <v>235.42</v>
      </c>
      <c r="T13" s="244">
        <v>15.13</v>
      </c>
      <c r="U13" s="245"/>
      <c r="V13" s="245"/>
      <c r="W13" s="245">
        <v>162.8</v>
      </c>
      <c r="X13" s="245">
        <v>500</v>
      </c>
      <c r="Y13" s="245">
        <v>59.69</v>
      </c>
      <c r="Z13" s="245"/>
      <c r="AA13" s="245">
        <v>67.47</v>
      </c>
      <c r="AB13" s="245"/>
      <c r="AC13" s="245">
        <v>83.79</v>
      </c>
      <c r="AD13" s="245"/>
      <c r="AE13" s="245">
        <f t="shared" si="0"/>
        <v>1710.29</v>
      </c>
      <c r="AF13" s="245">
        <f t="shared" si="1"/>
        <v>2000</v>
      </c>
      <c r="AG13" s="112">
        <f t="shared" si="2"/>
        <v>233.68</v>
      </c>
    </row>
    <row r="14" s="1" customFormat="1" customHeight="1" spans="1:33">
      <c r="A14" s="242">
        <v>10</v>
      </c>
      <c r="B14" s="242" t="s">
        <v>55</v>
      </c>
      <c r="C14" s="243" t="s">
        <v>56</v>
      </c>
      <c r="D14" s="225">
        <v>300</v>
      </c>
      <c r="E14" s="225"/>
      <c r="F14" s="225"/>
      <c r="G14" s="244"/>
      <c r="H14" s="245"/>
      <c r="I14" s="244"/>
      <c r="J14" s="245"/>
      <c r="K14" s="244"/>
      <c r="L14" s="245"/>
      <c r="M14" s="245"/>
      <c r="N14" s="245"/>
      <c r="O14" s="245"/>
      <c r="P14" s="245"/>
      <c r="Q14" s="245"/>
      <c r="R14" s="245"/>
      <c r="S14" s="244"/>
      <c r="T14" s="244">
        <v>0.19</v>
      </c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>
        <f t="shared" si="0"/>
        <v>0.19</v>
      </c>
      <c r="AF14" s="245">
        <f t="shared" si="1"/>
        <v>0</v>
      </c>
      <c r="AG14" s="112">
        <f t="shared" si="2"/>
        <v>299.81</v>
      </c>
    </row>
    <row r="15" s="1" customFormat="1" customHeight="1" spans="1:33">
      <c r="A15" s="242">
        <v>11</v>
      </c>
      <c r="B15" s="242" t="s">
        <v>57</v>
      </c>
      <c r="C15" s="243" t="s">
        <v>58</v>
      </c>
      <c r="D15" s="225">
        <v>300</v>
      </c>
      <c r="E15" s="225"/>
      <c r="F15" s="225"/>
      <c r="G15" s="244"/>
      <c r="H15" s="245"/>
      <c r="I15" s="244"/>
      <c r="J15" s="245"/>
      <c r="K15" s="244"/>
      <c r="L15" s="245"/>
      <c r="M15" s="245"/>
      <c r="N15" s="245"/>
      <c r="O15" s="245"/>
      <c r="P15" s="245"/>
      <c r="Q15" s="245"/>
      <c r="R15" s="245"/>
      <c r="S15" s="244"/>
      <c r="T15" s="244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>
        <f t="shared" si="0"/>
        <v>0</v>
      </c>
      <c r="AF15" s="245">
        <f t="shared" si="1"/>
        <v>0</v>
      </c>
      <c r="AG15" s="112">
        <f t="shared" si="2"/>
        <v>300</v>
      </c>
    </row>
    <row r="16" s="1" customFormat="1" customHeight="1" spans="1:33">
      <c r="A16" s="242">
        <v>12</v>
      </c>
      <c r="B16" s="242" t="s">
        <v>59</v>
      </c>
      <c r="C16" s="243" t="s">
        <v>60</v>
      </c>
      <c r="D16" s="225">
        <v>599.640000000001</v>
      </c>
      <c r="E16" s="225">
        <v>282.39</v>
      </c>
      <c r="F16" s="225"/>
      <c r="G16" s="244">
        <v>335.17</v>
      </c>
      <c r="H16" s="245"/>
      <c r="I16" s="244">
        <v>209.48</v>
      </c>
      <c r="J16" s="245">
        <v>500</v>
      </c>
      <c r="K16" s="244">
        <v>182.82</v>
      </c>
      <c r="L16" s="245">
        <v>500</v>
      </c>
      <c r="M16" s="245">
        <v>193.56</v>
      </c>
      <c r="N16" s="245"/>
      <c r="O16" s="245">
        <v>166.46</v>
      </c>
      <c r="P16" s="245">
        <v>121.83</v>
      </c>
      <c r="Q16" s="245">
        <v>269.11</v>
      </c>
      <c r="R16" s="245">
        <v>300</v>
      </c>
      <c r="S16" s="244">
        <v>420.15</v>
      </c>
      <c r="T16" s="244">
        <v>205.37</v>
      </c>
      <c r="U16" s="245">
        <f>450+300</f>
        <v>750</v>
      </c>
      <c r="V16" s="245">
        <v>180</v>
      </c>
      <c r="W16" s="245">
        <v>443.94</v>
      </c>
      <c r="X16" s="245">
        <v>300</v>
      </c>
      <c r="Y16" s="245">
        <v>208.93</v>
      </c>
      <c r="Z16" s="245">
        <v>200</v>
      </c>
      <c r="AA16" s="245">
        <v>211.65</v>
      </c>
      <c r="AB16" s="245">
        <v>200</v>
      </c>
      <c r="AC16" s="245">
        <v>255.73</v>
      </c>
      <c r="AD16" s="245">
        <v>300</v>
      </c>
      <c r="AE16" s="245">
        <f t="shared" si="0"/>
        <v>3384.76</v>
      </c>
      <c r="AF16" s="245">
        <f t="shared" si="1"/>
        <v>3171.83</v>
      </c>
      <c r="AG16" s="112">
        <f t="shared" si="2"/>
        <v>386.710000000001</v>
      </c>
    </row>
    <row r="17" s="1" customFormat="1" customHeight="1" spans="1:33">
      <c r="A17" s="242">
        <v>13</v>
      </c>
      <c r="B17" s="242" t="s">
        <v>61</v>
      </c>
      <c r="C17" s="243" t="s">
        <v>62</v>
      </c>
      <c r="D17" s="225">
        <v>773.869999999999</v>
      </c>
      <c r="E17" s="225">
        <v>214.92</v>
      </c>
      <c r="F17" s="225"/>
      <c r="G17" s="244">
        <v>377.06</v>
      </c>
      <c r="H17" s="245"/>
      <c r="I17" s="244">
        <v>165.41</v>
      </c>
      <c r="J17" s="245"/>
      <c r="K17" s="244">
        <v>182.82</v>
      </c>
      <c r="L17" s="245">
        <v>600</v>
      </c>
      <c r="M17" s="245">
        <v>136.06</v>
      </c>
      <c r="N17" s="245"/>
      <c r="O17" s="245">
        <v>102</v>
      </c>
      <c r="P17" s="245">
        <f>600+121.83</f>
        <v>721.83</v>
      </c>
      <c r="Q17" s="245">
        <v>143.3</v>
      </c>
      <c r="R17" s="245"/>
      <c r="S17" s="244">
        <v>212.7</v>
      </c>
      <c r="T17" s="244">
        <v>174.67</v>
      </c>
      <c r="U17" s="245">
        <v>600</v>
      </c>
      <c r="V17" s="245">
        <v>180</v>
      </c>
      <c r="W17" s="245">
        <v>161.06</v>
      </c>
      <c r="X17" s="245"/>
      <c r="Y17" s="245">
        <v>122.77</v>
      </c>
      <c r="Z17" s="245"/>
      <c r="AA17" s="245">
        <v>155.07</v>
      </c>
      <c r="AB17" s="245"/>
      <c r="AC17" s="245">
        <v>169.22</v>
      </c>
      <c r="AD17" s="245"/>
      <c r="AE17" s="245">
        <f t="shared" si="0"/>
        <v>2317.06</v>
      </c>
      <c r="AF17" s="245">
        <f t="shared" si="1"/>
        <v>1921.83</v>
      </c>
      <c r="AG17" s="112">
        <f t="shared" si="2"/>
        <v>378.639999999999</v>
      </c>
    </row>
    <row r="18" s="1" customFormat="1" customHeight="1" spans="1:33">
      <c r="A18" s="242">
        <v>14</v>
      </c>
      <c r="B18" s="242" t="s">
        <v>63</v>
      </c>
      <c r="C18" s="243" t="s">
        <v>64</v>
      </c>
      <c r="D18" s="225">
        <v>300</v>
      </c>
      <c r="E18" s="225"/>
      <c r="F18" s="225"/>
      <c r="G18" s="244"/>
      <c r="H18" s="245"/>
      <c r="I18" s="244"/>
      <c r="J18" s="245"/>
      <c r="K18" s="244"/>
      <c r="L18" s="245"/>
      <c r="M18" s="245"/>
      <c r="N18" s="245"/>
      <c r="O18" s="245"/>
      <c r="P18" s="245"/>
      <c r="Q18" s="245"/>
      <c r="R18" s="245"/>
      <c r="S18" s="244"/>
      <c r="T18" s="244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>
        <f t="shared" si="0"/>
        <v>0</v>
      </c>
      <c r="AF18" s="245">
        <f t="shared" si="1"/>
        <v>0</v>
      </c>
      <c r="AG18" s="112">
        <f t="shared" si="2"/>
        <v>300</v>
      </c>
    </row>
    <row r="19" s="1" customFormat="1" customHeight="1" spans="1:33">
      <c r="A19" s="242">
        <v>15</v>
      </c>
      <c r="B19" s="242" t="s">
        <v>65</v>
      </c>
      <c r="C19" s="243" t="s">
        <v>66</v>
      </c>
      <c r="D19" s="225">
        <v>300</v>
      </c>
      <c r="E19" s="225"/>
      <c r="F19" s="225"/>
      <c r="G19" s="244"/>
      <c r="H19" s="245"/>
      <c r="I19" s="244"/>
      <c r="J19" s="245"/>
      <c r="K19" s="244"/>
      <c r="L19" s="245"/>
      <c r="M19" s="245"/>
      <c r="N19" s="245"/>
      <c r="O19" s="245"/>
      <c r="P19" s="245"/>
      <c r="Q19" s="245"/>
      <c r="R19" s="245"/>
      <c r="S19" s="244"/>
      <c r="T19" s="244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  <c r="AE19" s="245">
        <f t="shared" si="0"/>
        <v>0</v>
      </c>
      <c r="AF19" s="245">
        <f t="shared" si="1"/>
        <v>0</v>
      </c>
      <c r="AG19" s="112">
        <f t="shared" si="2"/>
        <v>300</v>
      </c>
    </row>
    <row r="20" s="1" customFormat="1" customHeight="1" spans="1:33">
      <c r="A20" s="242">
        <v>16</v>
      </c>
      <c r="B20" s="242" t="s">
        <v>67</v>
      </c>
      <c r="C20" s="243" t="s">
        <v>68</v>
      </c>
      <c r="D20" s="225">
        <v>535.82</v>
      </c>
      <c r="E20" s="225">
        <v>201.86</v>
      </c>
      <c r="F20" s="225"/>
      <c r="G20" s="244">
        <v>212.74</v>
      </c>
      <c r="H20" s="245"/>
      <c r="I20" s="244">
        <v>169.76</v>
      </c>
      <c r="J20" s="245"/>
      <c r="K20" s="244">
        <v>137.66</v>
      </c>
      <c r="L20" s="245">
        <v>600</v>
      </c>
      <c r="M20" s="245">
        <v>140.05</v>
      </c>
      <c r="N20" s="245"/>
      <c r="O20" s="245">
        <v>100.88</v>
      </c>
      <c r="P20" s="245">
        <f>500+121.83</f>
        <v>621.83</v>
      </c>
      <c r="Q20" s="245">
        <v>152.33</v>
      </c>
      <c r="R20" s="245"/>
      <c r="S20" s="244">
        <v>135.78</v>
      </c>
      <c r="T20" s="244">
        <v>165.06</v>
      </c>
      <c r="U20" s="245">
        <v>500</v>
      </c>
      <c r="V20" s="245">
        <v>180</v>
      </c>
      <c r="W20" s="245">
        <v>155.87</v>
      </c>
      <c r="X20" s="245"/>
      <c r="Y20" s="245">
        <v>135.15</v>
      </c>
      <c r="Z20" s="245"/>
      <c r="AA20" s="245">
        <v>150.17</v>
      </c>
      <c r="AB20" s="245"/>
      <c r="AC20" s="245">
        <v>177.38</v>
      </c>
      <c r="AD20" s="245"/>
      <c r="AE20" s="245">
        <f t="shared" si="0"/>
        <v>2034.69</v>
      </c>
      <c r="AF20" s="245">
        <f t="shared" si="1"/>
        <v>1721.83</v>
      </c>
      <c r="AG20" s="112">
        <f t="shared" si="2"/>
        <v>222.96</v>
      </c>
    </row>
    <row r="21" s="1" customFormat="1" customHeight="1" spans="1:33">
      <c r="A21" s="242">
        <v>17</v>
      </c>
      <c r="B21" s="242" t="s">
        <v>69</v>
      </c>
      <c r="C21" s="243" t="s">
        <v>70</v>
      </c>
      <c r="D21" s="225">
        <v>504.4</v>
      </c>
      <c r="E21" s="225">
        <v>338.97</v>
      </c>
      <c r="F21" s="225"/>
      <c r="G21" s="244">
        <v>381.41</v>
      </c>
      <c r="H21" s="245"/>
      <c r="I21" s="244">
        <v>186.08</v>
      </c>
      <c r="J21" s="245"/>
      <c r="K21" s="244">
        <v>144.19</v>
      </c>
      <c r="L21" s="245"/>
      <c r="M21" s="245">
        <v>195.27</v>
      </c>
      <c r="N21" s="245">
        <v>900</v>
      </c>
      <c r="O21" s="245">
        <v>190.56</v>
      </c>
      <c r="P21" s="245"/>
      <c r="Q21" s="245">
        <v>352.05</v>
      </c>
      <c r="R21" s="245"/>
      <c r="S21" s="244">
        <v>396.26</v>
      </c>
      <c r="T21" s="244">
        <v>263.92</v>
      </c>
      <c r="U21" s="245"/>
      <c r="V21" s="245"/>
      <c r="W21" s="245">
        <v>402.95</v>
      </c>
      <c r="X21" s="245"/>
      <c r="Y21" s="245">
        <v>235.39</v>
      </c>
      <c r="Z21" s="245">
        <v>2500</v>
      </c>
      <c r="AA21" s="245">
        <v>163.77</v>
      </c>
      <c r="AB21" s="245"/>
      <c r="AC21" s="245">
        <v>191.52</v>
      </c>
      <c r="AD21" s="245">
        <v>49.76</v>
      </c>
      <c r="AE21" s="245">
        <f t="shared" si="0"/>
        <v>3442.34</v>
      </c>
      <c r="AF21" s="245">
        <f t="shared" si="1"/>
        <v>3449.76</v>
      </c>
      <c r="AG21" s="112">
        <f t="shared" si="2"/>
        <v>511.820000000001</v>
      </c>
    </row>
    <row r="22" s="1" customFormat="1" customHeight="1" spans="1:33">
      <c r="A22" s="242">
        <v>18</v>
      </c>
      <c r="B22" s="242" t="s">
        <v>71</v>
      </c>
      <c r="C22" s="243" t="s">
        <v>72</v>
      </c>
      <c r="D22" s="225">
        <v>4.97000000000003</v>
      </c>
      <c r="E22" s="225">
        <v>23.94</v>
      </c>
      <c r="F22" s="225">
        <v>300</v>
      </c>
      <c r="G22" s="244">
        <v>79.44</v>
      </c>
      <c r="H22" s="245"/>
      <c r="I22" s="244">
        <v>41.9</v>
      </c>
      <c r="J22" s="245">
        <v>100</v>
      </c>
      <c r="K22" s="244">
        <v>34.82</v>
      </c>
      <c r="L22" s="245"/>
      <c r="M22" s="245">
        <v>39.85</v>
      </c>
      <c r="N22" s="245"/>
      <c r="O22" s="245">
        <v>31.95</v>
      </c>
      <c r="P22" s="245"/>
      <c r="Q22" s="245">
        <v>124.68</v>
      </c>
      <c r="R22" s="245"/>
      <c r="S22" s="244">
        <v>93.24</v>
      </c>
      <c r="T22" s="244">
        <v>44.75</v>
      </c>
      <c r="U22" s="245"/>
      <c r="V22" s="245"/>
      <c r="W22" s="245">
        <v>265.55</v>
      </c>
      <c r="X22" s="245">
        <v>430</v>
      </c>
      <c r="Y22" s="245">
        <v>46.74</v>
      </c>
      <c r="Z22" s="245"/>
      <c r="AA22" s="245">
        <v>41.35</v>
      </c>
      <c r="AB22" s="245"/>
      <c r="AC22" s="245">
        <v>16.32</v>
      </c>
      <c r="AD22" s="245">
        <v>264.14</v>
      </c>
      <c r="AE22" s="245">
        <f t="shared" si="0"/>
        <v>884.53</v>
      </c>
      <c r="AF22" s="245">
        <f t="shared" si="1"/>
        <v>1094.14</v>
      </c>
      <c r="AG22" s="112">
        <f t="shared" si="2"/>
        <v>214.58</v>
      </c>
    </row>
    <row r="23" s="1" customFormat="1" customHeight="1" spans="1:33">
      <c r="A23" s="242">
        <v>19</v>
      </c>
      <c r="B23" s="242" t="s">
        <v>73</v>
      </c>
      <c r="C23" s="243" t="s">
        <v>74</v>
      </c>
      <c r="D23" s="225">
        <v>671.58</v>
      </c>
      <c r="E23" s="225">
        <v>9.79</v>
      </c>
      <c r="F23" s="225"/>
      <c r="G23" s="244"/>
      <c r="H23" s="245"/>
      <c r="I23" s="244"/>
      <c r="J23" s="245"/>
      <c r="K23" s="244">
        <v>0.54</v>
      </c>
      <c r="L23" s="245"/>
      <c r="M23" s="245">
        <v>10.25</v>
      </c>
      <c r="N23" s="245"/>
      <c r="O23" s="245">
        <v>10.65</v>
      </c>
      <c r="P23" s="245">
        <v>122</v>
      </c>
      <c r="Q23" s="245">
        <v>242.03</v>
      </c>
      <c r="R23" s="245"/>
      <c r="S23" s="244">
        <v>267.47</v>
      </c>
      <c r="T23" s="244">
        <v>31.22</v>
      </c>
      <c r="U23" s="245">
        <v>1000</v>
      </c>
      <c r="V23" s="245">
        <v>170</v>
      </c>
      <c r="W23" s="245">
        <v>333.67</v>
      </c>
      <c r="X23" s="245"/>
      <c r="Y23" s="245">
        <v>181.33</v>
      </c>
      <c r="Z23" s="245"/>
      <c r="AA23" s="245">
        <v>156.16</v>
      </c>
      <c r="AB23" s="245"/>
      <c r="AC23" s="245">
        <v>176.29</v>
      </c>
      <c r="AD23" s="245"/>
      <c r="AE23" s="245">
        <f t="shared" si="0"/>
        <v>1419.4</v>
      </c>
      <c r="AF23" s="245">
        <f t="shared" si="1"/>
        <v>1122</v>
      </c>
      <c r="AG23" s="112">
        <f t="shared" si="2"/>
        <v>374.18</v>
      </c>
    </row>
    <row r="24" s="1" customFormat="1" customHeight="1" spans="1:33">
      <c r="A24" s="242">
        <v>20</v>
      </c>
      <c r="B24" s="242" t="s">
        <v>75</v>
      </c>
      <c r="C24" s="243" t="s">
        <v>76</v>
      </c>
      <c r="D24" s="225">
        <v>789.45</v>
      </c>
      <c r="E24" s="225">
        <v>133.3</v>
      </c>
      <c r="F24" s="225"/>
      <c r="G24" s="244">
        <v>155.07</v>
      </c>
      <c r="H24" s="245"/>
      <c r="I24" s="244">
        <v>93.59</v>
      </c>
      <c r="J24" s="245"/>
      <c r="K24" s="244">
        <v>108.28</v>
      </c>
      <c r="L24" s="245"/>
      <c r="M24" s="245">
        <v>119.55</v>
      </c>
      <c r="N24" s="245">
        <v>2000</v>
      </c>
      <c r="O24" s="245">
        <v>110.97</v>
      </c>
      <c r="P24" s="245">
        <v>121.83</v>
      </c>
      <c r="Q24" s="245">
        <v>216.08</v>
      </c>
      <c r="R24" s="245"/>
      <c r="S24" s="244">
        <v>249.99</v>
      </c>
      <c r="T24" s="244">
        <v>135.44</v>
      </c>
      <c r="U24" s="245"/>
      <c r="V24" s="245">
        <v>215</v>
      </c>
      <c r="W24" s="245">
        <v>357.92</v>
      </c>
      <c r="X24" s="245"/>
      <c r="Y24" s="245">
        <v>191.47</v>
      </c>
      <c r="Z24" s="245"/>
      <c r="AA24" s="245">
        <v>127.86</v>
      </c>
      <c r="AB24" s="245"/>
      <c r="AC24" s="245">
        <v>132.76</v>
      </c>
      <c r="AD24" s="245"/>
      <c r="AE24" s="245">
        <f t="shared" si="0"/>
        <v>2132.28</v>
      </c>
      <c r="AF24" s="245">
        <f t="shared" si="1"/>
        <v>2121.83</v>
      </c>
      <c r="AG24" s="112">
        <f t="shared" si="2"/>
        <v>779</v>
      </c>
    </row>
    <row r="25" s="1" customFormat="1" customHeight="1" spans="1:33">
      <c r="A25" s="242">
        <v>21</v>
      </c>
      <c r="B25" s="242" t="s">
        <v>77</v>
      </c>
      <c r="C25" s="243" t="s">
        <v>78</v>
      </c>
      <c r="D25" s="225">
        <v>223.82</v>
      </c>
      <c r="E25" s="225"/>
      <c r="F25" s="225"/>
      <c r="G25" s="244"/>
      <c r="H25" s="245"/>
      <c r="I25" s="244"/>
      <c r="J25" s="245"/>
      <c r="K25" s="244"/>
      <c r="L25" s="245"/>
      <c r="M25" s="245"/>
      <c r="N25" s="245"/>
      <c r="O25" s="245"/>
      <c r="P25" s="245"/>
      <c r="Q25" s="245">
        <v>9.59</v>
      </c>
      <c r="R25" s="245"/>
      <c r="S25" s="244">
        <v>18.06</v>
      </c>
      <c r="T25" s="244">
        <v>13.78</v>
      </c>
      <c r="U25" s="245"/>
      <c r="V25" s="245"/>
      <c r="W25" s="245">
        <v>13.28</v>
      </c>
      <c r="X25" s="245"/>
      <c r="Y25" s="245">
        <v>11.26</v>
      </c>
      <c r="Z25" s="245"/>
      <c r="AA25" s="245">
        <v>12.51</v>
      </c>
      <c r="AB25" s="245"/>
      <c r="AC25" s="245">
        <v>10.88</v>
      </c>
      <c r="AD25" s="245"/>
      <c r="AE25" s="245">
        <f t="shared" si="0"/>
        <v>89.36</v>
      </c>
      <c r="AF25" s="245">
        <f t="shared" si="1"/>
        <v>0</v>
      </c>
      <c r="AG25" s="112">
        <f t="shared" si="2"/>
        <v>134.46</v>
      </c>
    </row>
    <row r="26" s="1" customFormat="1" customHeight="1" spans="1:33">
      <c r="A26" s="242">
        <v>22</v>
      </c>
      <c r="B26" s="242" t="s">
        <v>79</v>
      </c>
      <c r="C26" s="243" t="s">
        <v>80</v>
      </c>
      <c r="D26" s="225">
        <v>745.49</v>
      </c>
      <c r="E26" s="225">
        <v>130.58</v>
      </c>
      <c r="F26" s="225"/>
      <c r="G26" s="244">
        <v>44.62</v>
      </c>
      <c r="H26" s="245"/>
      <c r="I26" s="244">
        <v>43.53</v>
      </c>
      <c r="J26" s="245"/>
      <c r="K26" s="244">
        <v>66.92</v>
      </c>
      <c r="L26" s="245"/>
      <c r="M26" s="245">
        <v>63.76</v>
      </c>
      <c r="N26" s="245">
        <v>1000</v>
      </c>
      <c r="O26" s="245">
        <v>38.11</v>
      </c>
      <c r="P26" s="245"/>
      <c r="Q26" s="245">
        <v>75.04</v>
      </c>
      <c r="R26" s="245"/>
      <c r="S26" s="244">
        <v>85.08</v>
      </c>
      <c r="T26" s="244">
        <v>68.46</v>
      </c>
      <c r="U26" s="245"/>
      <c r="V26" s="245">
        <v>175</v>
      </c>
      <c r="W26" s="245">
        <v>68.12</v>
      </c>
      <c r="X26" s="245"/>
      <c r="Y26" s="245">
        <v>63.64</v>
      </c>
      <c r="Z26" s="245"/>
      <c r="AA26" s="245">
        <v>108.82</v>
      </c>
      <c r="AB26" s="245"/>
      <c r="AC26" s="245">
        <v>91.41</v>
      </c>
      <c r="AD26" s="245">
        <v>750</v>
      </c>
      <c r="AE26" s="245">
        <f t="shared" si="0"/>
        <v>948.09</v>
      </c>
      <c r="AF26" s="245">
        <f t="shared" si="1"/>
        <v>1750</v>
      </c>
      <c r="AG26" s="112">
        <f t="shared" si="2"/>
        <v>1547.4</v>
      </c>
    </row>
    <row r="27" s="1" customFormat="1" customHeight="1" spans="1:33">
      <c r="A27" s="242">
        <v>23</v>
      </c>
      <c r="B27" s="242" t="s">
        <v>81</v>
      </c>
      <c r="C27" s="243" t="s">
        <v>82</v>
      </c>
      <c r="D27" s="225">
        <v>958.18</v>
      </c>
      <c r="E27" s="225">
        <v>144.73</v>
      </c>
      <c r="F27" s="225"/>
      <c r="G27" s="244">
        <v>112.63</v>
      </c>
      <c r="H27" s="245"/>
      <c r="I27" s="244">
        <v>74</v>
      </c>
      <c r="J27" s="245"/>
      <c r="K27" s="244">
        <v>66.38</v>
      </c>
      <c r="L27" s="245"/>
      <c r="M27" s="245">
        <v>64.33</v>
      </c>
      <c r="N27" s="245">
        <v>1000</v>
      </c>
      <c r="O27" s="245">
        <v>56.61</v>
      </c>
      <c r="P27" s="245"/>
      <c r="Q27" s="245">
        <v>116.78</v>
      </c>
      <c r="R27" s="245"/>
      <c r="S27" s="244">
        <v>129.95</v>
      </c>
      <c r="T27" s="244">
        <v>96.34</v>
      </c>
      <c r="U27" s="245">
        <v>1000</v>
      </c>
      <c r="V27" s="245"/>
      <c r="W27" s="245">
        <v>133.35</v>
      </c>
      <c r="X27" s="245"/>
      <c r="Y27" s="245">
        <v>94.04</v>
      </c>
      <c r="Z27" s="245"/>
      <c r="AA27" s="245">
        <v>82.7</v>
      </c>
      <c r="AB27" s="245"/>
      <c r="AC27" s="245">
        <v>108.82</v>
      </c>
      <c r="AD27" s="245"/>
      <c r="AE27" s="245">
        <f t="shared" si="0"/>
        <v>1280.66</v>
      </c>
      <c r="AF27" s="245">
        <f t="shared" si="1"/>
        <v>2000</v>
      </c>
      <c r="AG27" s="112">
        <f t="shared" si="2"/>
        <v>1677.52</v>
      </c>
    </row>
    <row r="28" s="1" customFormat="1" customHeight="1" spans="1:33">
      <c r="A28" s="242">
        <v>24</v>
      </c>
      <c r="B28" s="242" t="s">
        <v>83</v>
      </c>
      <c r="C28" s="243" t="s">
        <v>84</v>
      </c>
      <c r="D28" s="225">
        <v>464.19</v>
      </c>
      <c r="E28" s="225">
        <v>259.54</v>
      </c>
      <c r="F28" s="225"/>
      <c r="G28" s="244">
        <v>170.85</v>
      </c>
      <c r="H28" s="245"/>
      <c r="I28" s="244">
        <v>101.2</v>
      </c>
      <c r="J28" s="245"/>
      <c r="K28" s="244">
        <v>148.54</v>
      </c>
      <c r="L28" s="245"/>
      <c r="M28" s="245">
        <v>141.18</v>
      </c>
      <c r="N28" s="245">
        <v>412.15</v>
      </c>
      <c r="O28" s="245">
        <v>85.75</v>
      </c>
      <c r="P28" s="245">
        <v>1000</v>
      </c>
      <c r="Q28" s="245">
        <v>169.25</v>
      </c>
      <c r="R28" s="245"/>
      <c r="S28" s="244">
        <v>146.85</v>
      </c>
      <c r="T28" s="244">
        <v>104.91</v>
      </c>
      <c r="U28" s="245"/>
      <c r="V28" s="245"/>
      <c r="W28" s="245">
        <v>139.7</v>
      </c>
      <c r="X28" s="245"/>
      <c r="Y28" s="245">
        <v>110.38</v>
      </c>
      <c r="Z28" s="245"/>
      <c r="AA28" s="245">
        <v>155.61</v>
      </c>
      <c r="AB28" s="245"/>
      <c r="AC28" s="245">
        <v>169.76</v>
      </c>
      <c r="AD28" s="245">
        <v>1000</v>
      </c>
      <c r="AE28" s="245">
        <f t="shared" si="0"/>
        <v>1903.52</v>
      </c>
      <c r="AF28" s="245">
        <f t="shared" si="1"/>
        <v>2412.15</v>
      </c>
      <c r="AG28" s="112">
        <f t="shared" si="2"/>
        <v>972.82</v>
      </c>
    </row>
    <row r="29" s="11" customFormat="1" customHeight="1" spans="1:33">
      <c r="A29" s="242">
        <v>25</v>
      </c>
      <c r="B29" s="242" t="s">
        <v>85</v>
      </c>
      <c r="C29" s="243" t="s">
        <v>86</v>
      </c>
      <c r="D29" s="225">
        <v>444.61</v>
      </c>
      <c r="E29" s="225">
        <v>232.87</v>
      </c>
      <c r="F29" s="225"/>
      <c r="G29" s="244">
        <v>146.36</v>
      </c>
      <c r="H29" s="245"/>
      <c r="I29" s="244">
        <v>78.35</v>
      </c>
      <c r="J29" s="245"/>
      <c r="K29" s="244">
        <v>86.51</v>
      </c>
      <c r="L29" s="245">
        <v>394.86</v>
      </c>
      <c r="M29" s="245">
        <v>90.52</v>
      </c>
      <c r="N29" s="245"/>
      <c r="O29" s="245">
        <v>52.68</v>
      </c>
      <c r="P29" s="245"/>
      <c r="Q29" s="245">
        <v>108.32</v>
      </c>
      <c r="R29" s="245"/>
      <c r="S29" s="244">
        <v>85.66</v>
      </c>
      <c r="T29" s="244">
        <v>85.8</v>
      </c>
      <c r="U29" s="245"/>
      <c r="V29" s="245"/>
      <c r="W29" s="245">
        <v>87.17</v>
      </c>
      <c r="X29" s="245"/>
      <c r="Y29" s="245">
        <v>81.66</v>
      </c>
      <c r="Z29" s="245"/>
      <c r="AA29" s="245">
        <v>91.41</v>
      </c>
      <c r="AB29" s="245"/>
      <c r="AC29" s="245">
        <v>115.35</v>
      </c>
      <c r="AD29" s="245"/>
      <c r="AE29" s="245">
        <f t="shared" si="0"/>
        <v>1342.66</v>
      </c>
      <c r="AF29" s="245">
        <f t="shared" si="1"/>
        <v>394.86</v>
      </c>
      <c r="AG29" s="112">
        <f t="shared" si="2"/>
        <v>-503.19</v>
      </c>
    </row>
    <row r="30" s="1" customFormat="1" customHeight="1" spans="1:33">
      <c r="A30" s="242">
        <v>26</v>
      </c>
      <c r="B30" s="242" t="s">
        <v>87</v>
      </c>
      <c r="C30" s="243" t="s">
        <v>88</v>
      </c>
      <c r="D30" s="225">
        <v>-71.2499999999991</v>
      </c>
      <c r="E30" s="225">
        <v>269.33</v>
      </c>
      <c r="F30" s="225">
        <v>300</v>
      </c>
      <c r="G30" s="244">
        <v>219.82</v>
      </c>
      <c r="H30" s="245"/>
      <c r="I30" s="244">
        <v>113.17</v>
      </c>
      <c r="J30" s="245"/>
      <c r="K30" s="244">
        <v>148.54</v>
      </c>
      <c r="L30" s="245"/>
      <c r="M30" s="245">
        <v>141.18</v>
      </c>
      <c r="N30" s="245">
        <v>800</v>
      </c>
      <c r="O30" s="245">
        <v>146.28</v>
      </c>
      <c r="P30" s="245">
        <v>300</v>
      </c>
      <c r="Q30" s="245">
        <v>315.38</v>
      </c>
      <c r="R30" s="245"/>
      <c r="S30" s="244">
        <v>309.43</v>
      </c>
      <c r="T30" s="244">
        <v>144.26</v>
      </c>
      <c r="U30" s="245">
        <f>500+300</f>
        <v>800</v>
      </c>
      <c r="V30" s="245"/>
      <c r="W30" s="245">
        <v>327.32</v>
      </c>
      <c r="X30" s="245">
        <v>400</v>
      </c>
      <c r="Y30" s="245">
        <v>162.75</v>
      </c>
      <c r="Z30" s="245"/>
      <c r="AA30" s="245">
        <v>120.79</v>
      </c>
      <c r="AB30" s="245"/>
      <c r="AC30" s="245">
        <v>139.29</v>
      </c>
      <c r="AD30" s="245">
        <v>284.14</v>
      </c>
      <c r="AE30" s="245">
        <f t="shared" si="0"/>
        <v>2557.54</v>
      </c>
      <c r="AF30" s="245">
        <f t="shared" si="1"/>
        <v>2884.14</v>
      </c>
      <c r="AG30" s="112">
        <f t="shared" si="2"/>
        <v>255.350000000001</v>
      </c>
    </row>
    <row r="31" s="1" customFormat="1" customHeight="1" spans="1:33">
      <c r="A31" s="242">
        <v>27</v>
      </c>
      <c r="B31" s="242" t="s">
        <v>89</v>
      </c>
      <c r="C31" s="243" t="s">
        <v>90</v>
      </c>
      <c r="D31" s="225">
        <v>533.65</v>
      </c>
      <c r="E31" s="225">
        <v>156.16</v>
      </c>
      <c r="F31" s="225"/>
      <c r="G31" s="244">
        <v>107.19</v>
      </c>
      <c r="H31" s="245"/>
      <c r="I31" s="244">
        <v>83.25</v>
      </c>
      <c r="J31" s="245"/>
      <c r="K31" s="244">
        <v>119.16</v>
      </c>
      <c r="L31" s="245">
        <v>500</v>
      </c>
      <c r="M31" s="245">
        <v>198.11</v>
      </c>
      <c r="N31" s="245"/>
      <c r="O31" s="245">
        <v>154.69</v>
      </c>
      <c r="P31" s="245"/>
      <c r="Q31" s="245">
        <v>364.46</v>
      </c>
      <c r="R31" s="245">
        <v>500</v>
      </c>
      <c r="S31" s="244">
        <v>416.07</v>
      </c>
      <c r="T31" s="244">
        <v>189.11</v>
      </c>
      <c r="U31" s="245"/>
      <c r="V31" s="245"/>
      <c r="W31" s="245">
        <v>562.86</v>
      </c>
      <c r="X31" s="245">
        <v>1200</v>
      </c>
      <c r="Y31" s="245">
        <v>305.22</v>
      </c>
      <c r="Z31" s="245"/>
      <c r="AA31" s="245">
        <v>191.52</v>
      </c>
      <c r="AB31" s="245">
        <v>1000</v>
      </c>
      <c r="AC31" s="245">
        <v>99.03</v>
      </c>
      <c r="AD31" s="245"/>
      <c r="AE31" s="245">
        <f t="shared" si="0"/>
        <v>2946.83</v>
      </c>
      <c r="AF31" s="245">
        <f t="shared" si="1"/>
        <v>3200</v>
      </c>
      <c r="AG31" s="112">
        <f t="shared" si="2"/>
        <v>786.82</v>
      </c>
    </row>
    <row r="32" s="1" customFormat="1" customHeight="1" spans="1:33">
      <c r="A32" s="242">
        <v>28</v>
      </c>
      <c r="B32" s="242" t="s">
        <v>91</v>
      </c>
      <c r="C32" s="243" t="s">
        <v>92</v>
      </c>
      <c r="D32" s="225">
        <v>289.12</v>
      </c>
      <c r="E32" s="225"/>
      <c r="F32" s="225"/>
      <c r="G32" s="244"/>
      <c r="H32" s="245"/>
      <c r="I32" s="244"/>
      <c r="J32" s="245"/>
      <c r="K32" s="244"/>
      <c r="L32" s="245"/>
      <c r="M32" s="245"/>
      <c r="N32" s="245"/>
      <c r="O32" s="245"/>
      <c r="P32" s="245"/>
      <c r="Q32" s="245">
        <v>9.59</v>
      </c>
      <c r="R32" s="245"/>
      <c r="S32" s="244">
        <v>18.06</v>
      </c>
      <c r="T32" s="244">
        <v>11.75</v>
      </c>
      <c r="U32" s="245"/>
      <c r="V32" s="245"/>
      <c r="W32" s="245">
        <v>17.9</v>
      </c>
      <c r="X32" s="245"/>
      <c r="Y32" s="245">
        <v>13.52</v>
      </c>
      <c r="Z32" s="245"/>
      <c r="AA32" s="245">
        <v>12.51</v>
      </c>
      <c r="AB32" s="245"/>
      <c r="AC32" s="245">
        <v>10.88</v>
      </c>
      <c r="AD32" s="245"/>
      <c r="AE32" s="245">
        <f t="shared" si="0"/>
        <v>94.21</v>
      </c>
      <c r="AF32" s="245">
        <f t="shared" si="1"/>
        <v>0</v>
      </c>
      <c r="AG32" s="112">
        <f t="shared" si="2"/>
        <v>194.91</v>
      </c>
    </row>
    <row r="33" s="1" customFormat="1" customHeight="1" spans="1:33">
      <c r="A33" s="242">
        <v>29</v>
      </c>
      <c r="B33" s="242" t="s">
        <v>93</v>
      </c>
      <c r="C33" s="243" t="s">
        <v>94</v>
      </c>
      <c r="D33" s="225">
        <v>-21.27</v>
      </c>
      <c r="E33" s="225">
        <v>250.83</v>
      </c>
      <c r="F33" s="225">
        <v>300</v>
      </c>
      <c r="G33" s="244">
        <v>309.59</v>
      </c>
      <c r="H33" s="245">
        <v>500</v>
      </c>
      <c r="I33" s="244">
        <v>244.3</v>
      </c>
      <c r="J33" s="245">
        <v>600</v>
      </c>
      <c r="K33" s="244">
        <v>193.16</v>
      </c>
      <c r="L33" s="245"/>
      <c r="M33" s="245">
        <v>148.59</v>
      </c>
      <c r="N33" s="245"/>
      <c r="O33" s="245">
        <v>105.38</v>
      </c>
      <c r="P33" s="245">
        <v>300</v>
      </c>
      <c r="Q33" s="245">
        <v>198.03</v>
      </c>
      <c r="R33" s="245">
        <v>500</v>
      </c>
      <c r="S33" s="244">
        <v>232.51</v>
      </c>
      <c r="T33" s="244">
        <v>128.59</v>
      </c>
      <c r="U33" s="245"/>
      <c r="V33" s="245"/>
      <c r="W33" s="245">
        <v>188.77</v>
      </c>
      <c r="X33" s="245">
        <v>200</v>
      </c>
      <c r="Y33" s="245">
        <v>134.03</v>
      </c>
      <c r="Z33" s="245"/>
      <c r="AA33" s="245">
        <v>179.55</v>
      </c>
      <c r="AB33" s="245">
        <v>500</v>
      </c>
      <c r="AC33" s="245">
        <v>183.36</v>
      </c>
      <c r="AD33" s="245"/>
      <c r="AE33" s="245">
        <f t="shared" si="0"/>
        <v>2496.69</v>
      </c>
      <c r="AF33" s="245">
        <f t="shared" si="1"/>
        <v>2900</v>
      </c>
      <c r="AG33" s="112">
        <f t="shared" si="2"/>
        <v>382.04</v>
      </c>
    </row>
    <row r="34" s="1" customFormat="1" customHeight="1" spans="1:33">
      <c r="A34" s="242">
        <v>30</v>
      </c>
      <c r="B34" s="242" t="s">
        <v>95</v>
      </c>
      <c r="C34" s="243" t="s">
        <v>96</v>
      </c>
      <c r="D34" s="225">
        <v>380.39</v>
      </c>
      <c r="E34" s="225">
        <v>209.48</v>
      </c>
      <c r="F34" s="225"/>
      <c r="G34" s="244">
        <v>209.48</v>
      </c>
      <c r="H34" s="245">
        <v>500</v>
      </c>
      <c r="I34" s="244">
        <v>114.26</v>
      </c>
      <c r="J34" s="245"/>
      <c r="K34" s="244">
        <v>144.19</v>
      </c>
      <c r="L34" s="245"/>
      <c r="M34" s="245">
        <v>154.28</v>
      </c>
      <c r="N34" s="245"/>
      <c r="O34" s="245">
        <v>97.52</v>
      </c>
      <c r="P34" s="245">
        <f>400+121.83+500</f>
        <v>1021.83</v>
      </c>
      <c r="Q34" s="245">
        <v>186.74</v>
      </c>
      <c r="R34" s="245"/>
      <c r="S34" s="244">
        <v>115.38</v>
      </c>
      <c r="T34" s="244">
        <v>107.43</v>
      </c>
      <c r="U34" s="245"/>
      <c r="V34" s="245"/>
      <c r="W34" s="245">
        <v>134.51</v>
      </c>
      <c r="X34" s="245"/>
      <c r="Y34" s="245">
        <v>59.13</v>
      </c>
      <c r="Z34" s="245"/>
      <c r="AA34" s="245">
        <v>12.51</v>
      </c>
      <c r="AB34" s="245"/>
      <c r="AC34" s="245">
        <v>18.5</v>
      </c>
      <c r="AD34" s="245"/>
      <c r="AE34" s="245">
        <f t="shared" si="0"/>
        <v>1563.41</v>
      </c>
      <c r="AF34" s="245">
        <f t="shared" si="1"/>
        <v>1521.83</v>
      </c>
      <c r="AG34" s="112">
        <f t="shared" si="2"/>
        <v>338.81</v>
      </c>
    </row>
    <row r="35" s="1" customFormat="1" customHeight="1" spans="1:33">
      <c r="A35" s="242">
        <v>31</v>
      </c>
      <c r="B35" s="242" t="s">
        <v>97</v>
      </c>
      <c r="C35" s="243" t="s">
        <v>98</v>
      </c>
      <c r="D35" s="225">
        <v>485.48</v>
      </c>
      <c r="E35" s="225">
        <v>100.11</v>
      </c>
      <c r="F35" s="225"/>
      <c r="G35" s="244">
        <v>102.83</v>
      </c>
      <c r="H35" s="245"/>
      <c r="I35" s="244">
        <v>66.38</v>
      </c>
      <c r="J35" s="245"/>
      <c r="K35" s="244">
        <v>88.69</v>
      </c>
      <c r="L35" s="245">
        <v>1000</v>
      </c>
      <c r="M35" s="245">
        <v>99.63</v>
      </c>
      <c r="N35" s="245"/>
      <c r="O35" s="245">
        <v>59.97</v>
      </c>
      <c r="P35" s="245"/>
      <c r="Q35" s="245">
        <v>93.09</v>
      </c>
      <c r="R35" s="245"/>
      <c r="S35" s="244">
        <v>19.23</v>
      </c>
      <c r="T35" s="244">
        <v>63.13</v>
      </c>
      <c r="U35" s="245"/>
      <c r="V35" s="245">
        <v>155</v>
      </c>
      <c r="W35" s="245">
        <v>13.28</v>
      </c>
      <c r="X35" s="245"/>
      <c r="Y35" s="245">
        <v>11.26</v>
      </c>
      <c r="Z35" s="245"/>
      <c r="AA35" s="245">
        <v>12.51</v>
      </c>
      <c r="AB35" s="245"/>
      <c r="AC35" s="245">
        <v>10.88</v>
      </c>
      <c r="AD35" s="245"/>
      <c r="AE35" s="245">
        <f t="shared" si="0"/>
        <v>740.99</v>
      </c>
      <c r="AF35" s="245">
        <f t="shared" si="1"/>
        <v>1000</v>
      </c>
      <c r="AG35" s="112">
        <f t="shared" si="2"/>
        <v>744.49</v>
      </c>
    </row>
    <row r="36" s="1" customFormat="1" customHeight="1" spans="1:33">
      <c r="A36" s="242">
        <v>32</v>
      </c>
      <c r="B36" s="242" t="s">
        <v>99</v>
      </c>
      <c r="C36" s="243" t="s">
        <v>100</v>
      </c>
      <c r="D36" s="225">
        <v>300</v>
      </c>
      <c r="E36" s="225"/>
      <c r="F36" s="225"/>
      <c r="G36" s="244"/>
      <c r="H36" s="245"/>
      <c r="I36" s="244"/>
      <c r="J36" s="245"/>
      <c r="K36" s="244"/>
      <c r="L36" s="245"/>
      <c r="M36" s="245"/>
      <c r="N36" s="245"/>
      <c r="O36" s="245"/>
      <c r="P36" s="245"/>
      <c r="Q36" s="245"/>
      <c r="R36" s="245"/>
      <c r="S36" s="244"/>
      <c r="T36" s="244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>
        <f t="shared" si="0"/>
        <v>0</v>
      </c>
      <c r="AF36" s="245">
        <f t="shared" si="1"/>
        <v>0</v>
      </c>
      <c r="AG36" s="112">
        <f t="shared" si="2"/>
        <v>300</v>
      </c>
    </row>
    <row r="37" s="1" customFormat="1" customHeight="1" spans="1:33">
      <c r="A37" s="242">
        <v>33</v>
      </c>
      <c r="B37" s="242" t="s">
        <v>101</v>
      </c>
      <c r="C37" s="243" t="s">
        <v>102</v>
      </c>
      <c r="D37" s="225">
        <v>300</v>
      </c>
      <c r="E37" s="225"/>
      <c r="F37" s="225"/>
      <c r="G37" s="244"/>
      <c r="H37" s="245"/>
      <c r="I37" s="244"/>
      <c r="J37" s="245"/>
      <c r="K37" s="244"/>
      <c r="L37" s="245"/>
      <c r="M37" s="245"/>
      <c r="N37" s="245"/>
      <c r="O37" s="245"/>
      <c r="P37" s="245"/>
      <c r="Q37" s="245"/>
      <c r="R37" s="245"/>
      <c r="S37" s="244"/>
      <c r="T37" s="244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>
        <f t="shared" si="0"/>
        <v>0</v>
      </c>
      <c r="AF37" s="245">
        <f t="shared" si="1"/>
        <v>0</v>
      </c>
      <c r="AG37" s="112">
        <f t="shared" si="2"/>
        <v>300</v>
      </c>
    </row>
    <row r="38" s="1" customFormat="1" customHeight="1" spans="1:33">
      <c r="A38" s="242">
        <v>34</v>
      </c>
      <c r="B38" s="242" t="s">
        <v>103</v>
      </c>
      <c r="C38" s="243" t="s">
        <v>104</v>
      </c>
      <c r="D38" s="225">
        <v>441.199999999999</v>
      </c>
      <c r="E38" s="225">
        <v>190.44</v>
      </c>
      <c r="F38" s="225"/>
      <c r="G38" s="244">
        <v>297.62</v>
      </c>
      <c r="H38" s="245">
        <v>2000</v>
      </c>
      <c r="I38" s="244">
        <v>146.36</v>
      </c>
      <c r="J38" s="245"/>
      <c r="K38" s="244">
        <v>152.89</v>
      </c>
      <c r="L38" s="245"/>
      <c r="M38" s="245">
        <v>142.32</v>
      </c>
      <c r="N38" s="245"/>
      <c r="O38" s="245">
        <v>124.42</v>
      </c>
      <c r="P38" s="245"/>
      <c r="Q38" s="245">
        <v>244.85</v>
      </c>
      <c r="R38" s="245"/>
      <c r="S38" s="244">
        <v>293.7</v>
      </c>
      <c r="T38" s="244">
        <v>186.45</v>
      </c>
      <c r="U38" s="245"/>
      <c r="V38" s="245">
        <v>200</v>
      </c>
      <c r="W38" s="245">
        <v>391.4</v>
      </c>
      <c r="X38" s="245"/>
      <c r="Y38" s="245">
        <v>185.84</v>
      </c>
      <c r="Z38" s="245">
        <v>0.9</v>
      </c>
      <c r="AA38" s="245">
        <v>147.45</v>
      </c>
      <c r="AB38" s="245">
        <v>1000</v>
      </c>
      <c r="AC38" s="245">
        <v>137.11</v>
      </c>
      <c r="AD38" s="245"/>
      <c r="AE38" s="245">
        <f t="shared" ref="AE38:AE69" si="3">E38+G38+I38+K38+M38+O38+Q38+S38+T38+W38+Y38+AA38+AC38</f>
        <v>2640.85</v>
      </c>
      <c r="AF38" s="245">
        <f t="shared" ref="AF38:AF69" si="4">F38+H38+J38+L38+N38+P38+R38+U38+X38+Z38+AB38+AD38</f>
        <v>3000.9</v>
      </c>
      <c r="AG38" s="112">
        <f t="shared" ref="AG38:AG69" si="5">D38+AF38-AE38</f>
        <v>801.249999999999</v>
      </c>
    </row>
    <row r="39" s="1" customFormat="1" customHeight="1" spans="1:33">
      <c r="A39" s="242">
        <v>35</v>
      </c>
      <c r="B39" s="242" t="s">
        <v>105</v>
      </c>
      <c r="C39" s="243" t="s">
        <v>106</v>
      </c>
      <c r="D39" s="225">
        <v>1610.9</v>
      </c>
      <c r="E39" s="225">
        <v>187.71</v>
      </c>
      <c r="F39" s="225"/>
      <c r="G39" s="244">
        <v>203.49</v>
      </c>
      <c r="H39" s="245"/>
      <c r="I39" s="244">
        <v>145.27</v>
      </c>
      <c r="J39" s="245"/>
      <c r="K39" s="244">
        <v>125.14</v>
      </c>
      <c r="L39" s="245"/>
      <c r="M39" s="245">
        <v>130.37</v>
      </c>
      <c r="N39" s="245"/>
      <c r="O39" s="245">
        <v>99.2</v>
      </c>
      <c r="P39" s="245">
        <v>121.83</v>
      </c>
      <c r="Q39" s="245">
        <v>219.46</v>
      </c>
      <c r="R39" s="245"/>
      <c r="S39" s="244">
        <v>277.38</v>
      </c>
      <c r="T39" s="244">
        <v>149.39</v>
      </c>
      <c r="U39" s="245">
        <v>1000</v>
      </c>
      <c r="V39" s="245"/>
      <c r="W39" s="245">
        <v>361.38</v>
      </c>
      <c r="X39" s="245"/>
      <c r="Y39" s="245">
        <v>143.6</v>
      </c>
      <c r="Z39" s="245"/>
      <c r="AA39" s="245">
        <v>149.08</v>
      </c>
      <c r="AB39" s="245"/>
      <c r="AC39" s="245">
        <v>133.3</v>
      </c>
      <c r="AD39" s="245"/>
      <c r="AE39" s="245">
        <f t="shared" si="3"/>
        <v>2324.77</v>
      </c>
      <c r="AF39" s="245">
        <f t="shared" si="4"/>
        <v>1121.83</v>
      </c>
      <c r="AG39" s="112">
        <f t="shared" si="5"/>
        <v>407.96</v>
      </c>
    </row>
    <row r="40" s="1" customFormat="1" customHeight="1" spans="1:33">
      <c r="A40" s="242">
        <v>36</v>
      </c>
      <c r="B40" s="242" t="s">
        <v>107</v>
      </c>
      <c r="C40" s="243" t="s">
        <v>108</v>
      </c>
      <c r="D40" s="225">
        <v>733.58</v>
      </c>
      <c r="E40" s="225">
        <v>88.69</v>
      </c>
      <c r="F40" s="225"/>
      <c r="G40" s="244">
        <v>94.67</v>
      </c>
      <c r="H40" s="245"/>
      <c r="I40" s="244">
        <v>45.16</v>
      </c>
      <c r="J40" s="245"/>
      <c r="K40" s="244">
        <v>52.78</v>
      </c>
      <c r="L40" s="245">
        <v>1000</v>
      </c>
      <c r="M40" s="245">
        <v>55.22</v>
      </c>
      <c r="N40" s="245"/>
      <c r="O40" s="245">
        <v>42.6</v>
      </c>
      <c r="P40" s="245">
        <v>121.83</v>
      </c>
      <c r="Q40" s="245">
        <v>71.09</v>
      </c>
      <c r="R40" s="245"/>
      <c r="S40" s="244">
        <v>83.33</v>
      </c>
      <c r="T40" s="244">
        <v>37.7</v>
      </c>
      <c r="U40" s="245"/>
      <c r="V40" s="245">
        <v>155</v>
      </c>
      <c r="W40" s="245">
        <v>77.36</v>
      </c>
      <c r="X40" s="245"/>
      <c r="Y40" s="245">
        <v>63.64</v>
      </c>
      <c r="Z40" s="245"/>
      <c r="AA40" s="245">
        <v>88.69</v>
      </c>
      <c r="AB40" s="245"/>
      <c r="AC40" s="245">
        <v>70.73</v>
      </c>
      <c r="AD40" s="245"/>
      <c r="AE40" s="245">
        <f t="shared" si="3"/>
        <v>871.66</v>
      </c>
      <c r="AF40" s="245">
        <f t="shared" si="4"/>
        <v>1121.83</v>
      </c>
      <c r="AG40" s="112">
        <f t="shared" si="5"/>
        <v>983.75</v>
      </c>
    </row>
    <row r="41" s="1" customFormat="1" customHeight="1" spans="1:33">
      <c r="A41" s="242">
        <v>37</v>
      </c>
      <c r="B41" s="242" t="s">
        <v>109</v>
      </c>
      <c r="C41" s="243" t="s">
        <v>110</v>
      </c>
      <c r="D41" s="225">
        <v>1135.06</v>
      </c>
      <c r="E41" s="225">
        <v>520.16</v>
      </c>
      <c r="F41" s="225"/>
      <c r="G41" s="244">
        <v>374.34</v>
      </c>
      <c r="H41" s="245"/>
      <c r="I41" s="244">
        <v>210.57</v>
      </c>
      <c r="J41" s="245"/>
      <c r="K41" s="244">
        <v>149.63</v>
      </c>
      <c r="L41" s="245">
        <v>2000</v>
      </c>
      <c r="M41" s="245">
        <v>122.97</v>
      </c>
      <c r="N41" s="245"/>
      <c r="O41" s="245">
        <v>76.78</v>
      </c>
      <c r="P41" s="245"/>
      <c r="Q41" s="245">
        <v>283.22</v>
      </c>
      <c r="R41" s="245"/>
      <c r="S41" s="244">
        <v>307.68</v>
      </c>
      <c r="T41" s="244">
        <v>219.73</v>
      </c>
      <c r="U41" s="245"/>
      <c r="V41" s="245">
        <v>190</v>
      </c>
      <c r="W41" s="245">
        <v>352.72</v>
      </c>
      <c r="X41" s="245"/>
      <c r="Y41" s="245">
        <v>193.16</v>
      </c>
      <c r="Z41" s="245"/>
      <c r="AA41" s="245">
        <v>201.32</v>
      </c>
      <c r="AB41" s="245">
        <v>122</v>
      </c>
      <c r="AC41" s="245">
        <v>230.7</v>
      </c>
      <c r="AD41" s="245"/>
      <c r="AE41" s="245">
        <f t="shared" si="3"/>
        <v>3242.98</v>
      </c>
      <c r="AF41" s="245">
        <f t="shared" si="4"/>
        <v>2122</v>
      </c>
      <c r="AG41" s="112">
        <f t="shared" si="5"/>
        <v>14.0800000000004</v>
      </c>
    </row>
    <row r="42" s="1" customFormat="1" customHeight="1" spans="1:33">
      <c r="A42" s="242">
        <v>38</v>
      </c>
      <c r="B42" s="242" t="s">
        <v>111</v>
      </c>
      <c r="C42" s="243" t="s">
        <v>112</v>
      </c>
      <c r="D42" s="225">
        <v>170.58</v>
      </c>
      <c r="E42" s="225">
        <v>203.49</v>
      </c>
      <c r="F42" s="225">
        <v>300</v>
      </c>
      <c r="G42" s="244">
        <v>183.91</v>
      </c>
      <c r="H42" s="245"/>
      <c r="I42" s="244">
        <v>127.86</v>
      </c>
      <c r="J42" s="245">
        <v>300</v>
      </c>
      <c r="K42" s="244">
        <v>111</v>
      </c>
      <c r="L42" s="245"/>
      <c r="M42" s="245">
        <v>83.69</v>
      </c>
      <c r="N42" s="245">
        <v>100</v>
      </c>
      <c r="O42" s="245">
        <v>47.08</v>
      </c>
      <c r="P42" s="245">
        <v>321.83</v>
      </c>
      <c r="Q42" s="245">
        <v>125.81</v>
      </c>
      <c r="R42" s="245"/>
      <c r="S42" s="244">
        <v>142.77</v>
      </c>
      <c r="T42" s="244">
        <v>94.67</v>
      </c>
      <c r="U42" s="245">
        <v>300</v>
      </c>
      <c r="V42" s="245">
        <v>195</v>
      </c>
      <c r="W42" s="245">
        <v>155.29</v>
      </c>
      <c r="X42" s="245"/>
      <c r="Y42" s="245">
        <v>79.97</v>
      </c>
      <c r="Z42" s="245"/>
      <c r="AA42" s="245">
        <v>78.89</v>
      </c>
      <c r="AB42" s="245">
        <v>300</v>
      </c>
      <c r="AC42" s="245">
        <v>91.41</v>
      </c>
      <c r="AD42" s="245"/>
      <c r="AE42" s="245">
        <f t="shared" si="3"/>
        <v>1525.84</v>
      </c>
      <c r="AF42" s="245">
        <f t="shared" si="4"/>
        <v>1621.83</v>
      </c>
      <c r="AG42" s="112">
        <f t="shared" si="5"/>
        <v>266.569999999999</v>
      </c>
    </row>
    <row r="43" s="1" customFormat="1" customHeight="1" spans="1:33">
      <c r="A43" s="242">
        <v>39</v>
      </c>
      <c r="B43" s="242" t="s">
        <v>113</v>
      </c>
      <c r="C43" s="243" t="s">
        <v>114</v>
      </c>
      <c r="D43" s="225">
        <v>522.95</v>
      </c>
      <c r="E43" s="225">
        <v>161.6</v>
      </c>
      <c r="F43" s="225"/>
      <c r="G43" s="244">
        <v>148</v>
      </c>
      <c r="H43" s="245"/>
      <c r="I43" s="244">
        <v>148</v>
      </c>
      <c r="J43" s="245">
        <v>500</v>
      </c>
      <c r="K43" s="244">
        <v>148</v>
      </c>
      <c r="L43" s="245"/>
      <c r="M43" s="245">
        <v>141.18</v>
      </c>
      <c r="N43" s="245"/>
      <c r="O43" s="245">
        <v>107.61</v>
      </c>
      <c r="P43" s="245">
        <v>500</v>
      </c>
      <c r="Q43" s="245">
        <v>181.1</v>
      </c>
      <c r="R43" s="245">
        <v>500</v>
      </c>
      <c r="S43" s="244">
        <v>182.98</v>
      </c>
      <c r="T43" s="244">
        <v>85.28</v>
      </c>
      <c r="U43" s="245"/>
      <c r="V43" s="245">
        <v>155</v>
      </c>
      <c r="W43" s="245">
        <v>143.17</v>
      </c>
      <c r="X43" s="245"/>
      <c r="Y43" s="245">
        <v>146.98</v>
      </c>
      <c r="Z43" s="245"/>
      <c r="AA43" s="245">
        <v>189.89</v>
      </c>
      <c r="AB43" s="245">
        <v>500</v>
      </c>
      <c r="AC43" s="245">
        <v>266.61</v>
      </c>
      <c r="AD43" s="245"/>
      <c r="AE43" s="245">
        <f t="shared" si="3"/>
        <v>2050.4</v>
      </c>
      <c r="AF43" s="245">
        <f t="shared" si="4"/>
        <v>2000</v>
      </c>
      <c r="AG43" s="112">
        <f t="shared" si="5"/>
        <v>472.55</v>
      </c>
    </row>
    <row r="44" s="1" customFormat="1" customHeight="1" spans="1:33">
      <c r="A44" s="242">
        <v>40</v>
      </c>
      <c r="B44" s="242" t="s">
        <v>115</v>
      </c>
      <c r="C44" s="243" t="s">
        <v>116</v>
      </c>
      <c r="D44" s="225">
        <v>119.27</v>
      </c>
      <c r="E44" s="225">
        <v>182.27</v>
      </c>
      <c r="F44" s="225">
        <v>1000</v>
      </c>
      <c r="G44" s="244">
        <v>148</v>
      </c>
      <c r="H44" s="245"/>
      <c r="I44" s="244">
        <v>105.01</v>
      </c>
      <c r="J44" s="245"/>
      <c r="K44" s="244">
        <v>122.97</v>
      </c>
      <c r="L44" s="245"/>
      <c r="M44" s="245">
        <v>121.83</v>
      </c>
      <c r="N44" s="245"/>
      <c r="O44" s="245">
        <v>75.1</v>
      </c>
      <c r="P44" s="245"/>
      <c r="Q44" s="245">
        <v>129.2</v>
      </c>
      <c r="R44" s="245">
        <v>1000</v>
      </c>
      <c r="S44" s="244">
        <v>134.03</v>
      </c>
      <c r="T44" s="244">
        <v>96.33</v>
      </c>
      <c r="U44" s="245"/>
      <c r="V44" s="245">
        <v>170</v>
      </c>
      <c r="W44" s="245">
        <v>148.94</v>
      </c>
      <c r="X44" s="245"/>
      <c r="Y44" s="245">
        <v>87.85</v>
      </c>
      <c r="Z44" s="245"/>
      <c r="AA44" s="245">
        <v>95.76</v>
      </c>
      <c r="AB44" s="245"/>
      <c r="AC44" s="245">
        <v>121.88</v>
      </c>
      <c r="AD44" s="245"/>
      <c r="AE44" s="245">
        <f t="shared" si="3"/>
        <v>1569.17</v>
      </c>
      <c r="AF44" s="245">
        <f t="shared" si="4"/>
        <v>2000</v>
      </c>
      <c r="AG44" s="112">
        <f t="shared" si="5"/>
        <v>550.1</v>
      </c>
    </row>
    <row r="45" s="1" customFormat="1" customHeight="1" spans="1:33">
      <c r="A45" s="242">
        <v>41</v>
      </c>
      <c r="B45" s="242" t="s">
        <v>117</v>
      </c>
      <c r="C45" s="243" t="s">
        <v>118</v>
      </c>
      <c r="D45" s="225">
        <v>925.61</v>
      </c>
      <c r="E45" s="225">
        <v>63.66</v>
      </c>
      <c r="F45" s="225"/>
      <c r="G45" s="244">
        <v>27.75</v>
      </c>
      <c r="H45" s="245"/>
      <c r="I45" s="244">
        <v>39.18</v>
      </c>
      <c r="J45" s="245"/>
      <c r="K45" s="244">
        <v>41.9</v>
      </c>
      <c r="L45" s="245"/>
      <c r="M45" s="245">
        <v>38.71</v>
      </c>
      <c r="N45" s="245"/>
      <c r="O45" s="245">
        <v>29.7</v>
      </c>
      <c r="P45" s="245"/>
      <c r="Q45" s="245">
        <v>48.52</v>
      </c>
      <c r="R45" s="245"/>
      <c r="S45" s="244">
        <v>44.29</v>
      </c>
      <c r="T45" s="244">
        <v>59.37</v>
      </c>
      <c r="U45" s="245"/>
      <c r="V45" s="245">
        <v>180</v>
      </c>
      <c r="W45" s="245">
        <v>32.33</v>
      </c>
      <c r="X45" s="245"/>
      <c r="Y45" s="245">
        <v>49.56</v>
      </c>
      <c r="Z45" s="245"/>
      <c r="AA45" s="245">
        <v>52.78</v>
      </c>
      <c r="AB45" s="245"/>
      <c r="AC45" s="245">
        <v>57.67</v>
      </c>
      <c r="AD45" s="245">
        <v>120</v>
      </c>
      <c r="AE45" s="245">
        <f t="shared" si="3"/>
        <v>585.42</v>
      </c>
      <c r="AF45" s="245">
        <f t="shared" si="4"/>
        <v>120</v>
      </c>
      <c r="AG45" s="112">
        <f t="shared" si="5"/>
        <v>460.19</v>
      </c>
    </row>
    <row r="46" s="1" customFormat="1" customHeight="1" spans="1:33">
      <c r="A46" s="242">
        <v>42</v>
      </c>
      <c r="B46" s="242" t="s">
        <v>119</v>
      </c>
      <c r="C46" s="243" t="s">
        <v>120</v>
      </c>
      <c r="D46" s="225">
        <v>756.92</v>
      </c>
      <c r="E46" s="225">
        <v>241.04</v>
      </c>
      <c r="F46" s="225"/>
      <c r="G46" s="244">
        <v>102.83</v>
      </c>
      <c r="H46" s="245"/>
      <c r="I46" s="244">
        <v>137.11</v>
      </c>
      <c r="J46" s="245"/>
      <c r="K46" s="244">
        <v>145.82</v>
      </c>
      <c r="L46" s="245"/>
      <c r="M46" s="245">
        <v>169.08</v>
      </c>
      <c r="N46" s="245"/>
      <c r="O46" s="245">
        <v>95.84</v>
      </c>
      <c r="P46" s="245">
        <f>300+121.83</f>
        <v>421.83</v>
      </c>
      <c r="Q46" s="245">
        <v>97.04</v>
      </c>
      <c r="R46" s="245"/>
      <c r="S46" s="244">
        <v>80.42</v>
      </c>
      <c r="T46" s="244">
        <v>78.68</v>
      </c>
      <c r="U46" s="245"/>
      <c r="V46" s="245"/>
      <c r="W46" s="245">
        <v>61.19</v>
      </c>
      <c r="X46" s="245">
        <v>730</v>
      </c>
      <c r="Y46" s="245">
        <v>121.08</v>
      </c>
      <c r="Z46" s="245"/>
      <c r="AA46" s="245">
        <v>153.98</v>
      </c>
      <c r="AB46" s="245"/>
      <c r="AC46" s="245">
        <v>190.98</v>
      </c>
      <c r="AD46" s="245"/>
      <c r="AE46" s="245">
        <f t="shared" si="3"/>
        <v>1675.09</v>
      </c>
      <c r="AF46" s="245">
        <f t="shared" si="4"/>
        <v>1151.83</v>
      </c>
      <c r="AG46" s="112">
        <f t="shared" si="5"/>
        <v>233.66</v>
      </c>
    </row>
    <row r="47" s="1" customFormat="1" customHeight="1" spans="1:33">
      <c r="A47" s="242">
        <v>43</v>
      </c>
      <c r="B47" s="242" t="s">
        <v>121</v>
      </c>
      <c r="C47" s="243" t="s">
        <v>122</v>
      </c>
      <c r="D47" s="225">
        <v>1716.62</v>
      </c>
      <c r="E47" s="225">
        <v>114.26</v>
      </c>
      <c r="F47" s="225"/>
      <c r="G47" s="244">
        <v>208.93</v>
      </c>
      <c r="H47" s="245"/>
      <c r="I47" s="244">
        <v>145.27</v>
      </c>
      <c r="J47" s="245"/>
      <c r="K47" s="244">
        <v>163.23</v>
      </c>
      <c r="L47" s="245"/>
      <c r="M47" s="245">
        <v>149.72</v>
      </c>
      <c r="N47" s="245"/>
      <c r="O47" s="245">
        <v>91.92</v>
      </c>
      <c r="P47" s="245">
        <v>121.83</v>
      </c>
      <c r="Q47" s="245">
        <v>152.33</v>
      </c>
      <c r="R47" s="245"/>
      <c r="S47" s="244">
        <v>163.16</v>
      </c>
      <c r="T47" s="244">
        <v>111.09</v>
      </c>
      <c r="U47" s="245"/>
      <c r="V47" s="245"/>
      <c r="W47" s="245">
        <v>170.3</v>
      </c>
      <c r="X47" s="245">
        <v>2065</v>
      </c>
      <c r="Y47" s="245">
        <v>132.9</v>
      </c>
      <c r="Z47" s="245"/>
      <c r="AA47" s="245">
        <v>163.23</v>
      </c>
      <c r="AB47" s="245"/>
      <c r="AC47" s="245">
        <v>146.91</v>
      </c>
      <c r="AD47" s="245"/>
      <c r="AE47" s="245">
        <f t="shared" si="3"/>
        <v>1913.25</v>
      </c>
      <c r="AF47" s="245">
        <f t="shared" si="4"/>
        <v>2186.83</v>
      </c>
      <c r="AG47" s="112">
        <f t="shared" si="5"/>
        <v>1990.2</v>
      </c>
    </row>
    <row r="48" s="1" customFormat="1" customHeight="1" spans="1:33">
      <c r="A48" s="242">
        <v>44</v>
      </c>
      <c r="B48" s="242" t="s">
        <v>123</v>
      </c>
      <c r="C48" s="243" t="s">
        <v>124</v>
      </c>
      <c r="D48" s="225">
        <v>601.47</v>
      </c>
      <c r="E48" s="225">
        <v>216.55</v>
      </c>
      <c r="F48" s="225"/>
      <c r="G48" s="244">
        <v>88.69</v>
      </c>
      <c r="H48" s="245"/>
      <c r="I48" s="244">
        <v>145.82</v>
      </c>
      <c r="J48" s="245"/>
      <c r="K48" s="244">
        <v>138.75</v>
      </c>
      <c r="L48" s="245"/>
      <c r="M48" s="245">
        <v>91.66</v>
      </c>
      <c r="N48" s="245">
        <v>1000</v>
      </c>
      <c r="O48" s="245">
        <v>84.07</v>
      </c>
      <c r="P48" s="245"/>
      <c r="Q48" s="245">
        <v>113.96</v>
      </c>
      <c r="R48" s="245"/>
      <c r="S48" s="244">
        <v>114.8</v>
      </c>
      <c r="T48" s="244">
        <v>63.76</v>
      </c>
      <c r="U48" s="245"/>
      <c r="V48" s="245">
        <v>200</v>
      </c>
      <c r="W48" s="245">
        <v>98.72</v>
      </c>
      <c r="X48" s="245"/>
      <c r="Y48" s="245">
        <v>82.78</v>
      </c>
      <c r="Z48" s="245"/>
      <c r="AA48" s="245">
        <v>97.39</v>
      </c>
      <c r="AB48" s="245"/>
      <c r="AC48" s="245">
        <v>125.69</v>
      </c>
      <c r="AD48" s="245"/>
      <c r="AE48" s="245">
        <f t="shared" si="3"/>
        <v>1462.64</v>
      </c>
      <c r="AF48" s="245">
        <f t="shared" si="4"/>
        <v>1000</v>
      </c>
      <c r="AG48" s="112">
        <f t="shared" si="5"/>
        <v>138.83</v>
      </c>
    </row>
    <row r="49" s="1" customFormat="1" customHeight="1" spans="1:33">
      <c r="A49" s="242">
        <v>45</v>
      </c>
      <c r="B49" s="242" t="s">
        <v>125</v>
      </c>
      <c r="C49" s="243" t="s">
        <v>126</v>
      </c>
      <c r="D49" s="225">
        <v>1284.07</v>
      </c>
      <c r="E49" s="225">
        <v>184.99</v>
      </c>
      <c r="F49" s="225"/>
      <c r="G49" s="244">
        <v>211.65</v>
      </c>
      <c r="H49" s="245"/>
      <c r="I49" s="244">
        <v>144.19</v>
      </c>
      <c r="J49" s="245"/>
      <c r="K49" s="244">
        <v>181.73</v>
      </c>
      <c r="L49" s="245"/>
      <c r="M49" s="245">
        <v>152.57</v>
      </c>
      <c r="N49" s="245"/>
      <c r="O49" s="245">
        <v>107.05</v>
      </c>
      <c r="P49" s="245"/>
      <c r="Q49" s="245">
        <v>148.38</v>
      </c>
      <c r="R49" s="245">
        <f>121.83+300</f>
        <v>421.83</v>
      </c>
      <c r="S49" s="244">
        <v>157.92</v>
      </c>
      <c r="T49" s="244">
        <v>127.31</v>
      </c>
      <c r="U49" s="245">
        <v>800</v>
      </c>
      <c r="V49" s="245">
        <v>130</v>
      </c>
      <c r="W49" s="245">
        <v>151.83</v>
      </c>
      <c r="X49" s="245">
        <v>936.88</v>
      </c>
      <c r="Y49" s="245">
        <v>112.63</v>
      </c>
      <c r="Z49" s="245"/>
      <c r="AA49" s="245">
        <v>134.39</v>
      </c>
      <c r="AB49" s="245"/>
      <c r="AC49" s="245">
        <v>163.77</v>
      </c>
      <c r="AD49" s="245"/>
      <c r="AE49" s="245">
        <f t="shared" si="3"/>
        <v>1978.41</v>
      </c>
      <c r="AF49" s="245">
        <f t="shared" si="4"/>
        <v>2158.71</v>
      </c>
      <c r="AG49" s="112">
        <f t="shared" si="5"/>
        <v>1464.37</v>
      </c>
    </row>
    <row r="50" s="1" customFormat="1" customHeight="1" spans="1:33">
      <c r="A50" s="242">
        <v>46</v>
      </c>
      <c r="B50" s="242" t="s">
        <v>127</v>
      </c>
      <c r="C50" s="243" t="s">
        <v>128</v>
      </c>
      <c r="D50" s="225">
        <v>1152.82</v>
      </c>
      <c r="E50" s="225">
        <v>200.23</v>
      </c>
      <c r="F50" s="225"/>
      <c r="G50" s="244">
        <v>173.57</v>
      </c>
      <c r="H50" s="245"/>
      <c r="I50" s="244">
        <v>145.82</v>
      </c>
      <c r="J50" s="245"/>
      <c r="K50" s="244">
        <v>155.07</v>
      </c>
      <c r="L50" s="245"/>
      <c r="M50" s="245">
        <v>124.67</v>
      </c>
      <c r="N50" s="245"/>
      <c r="O50" s="245">
        <v>98.08</v>
      </c>
      <c r="P50" s="245">
        <v>121.83</v>
      </c>
      <c r="Q50" s="245">
        <v>161.35</v>
      </c>
      <c r="R50" s="245">
        <f>210+1000</f>
        <v>1210</v>
      </c>
      <c r="S50" s="244">
        <v>225.52</v>
      </c>
      <c r="T50" s="244">
        <v>191.9</v>
      </c>
      <c r="U50" s="245"/>
      <c r="V50" s="245">
        <v>215</v>
      </c>
      <c r="W50" s="245">
        <v>157.6</v>
      </c>
      <c r="X50" s="245"/>
      <c r="Y50" s="245">
        <v>133.47</v>
      </c>
      <c r="Z50" s="245"/>
      <c r="AA50" s="245">
        <v>143.1</v>
      </c>
      <c r="AB50" s="245"/>
      <c r="AC50" s="245">
        <v>153.98</v>
      </c>
      <c r="AD50" s="245"/>
      <c r="AE50" s="245">
        <f t="shared" si="3"/>
        <v>2064.36</v>
      </c>
      <c r="AF50" s="245">
        <f t="shared" si="4"/>
        <v>1331.83</v>
      </c>
      <c r="AG50" s="112">
        <f t="shared" si="5"/>
        <v>420.29</v>
      </c>
    </row>
    <row r="51" s="1" customFormat="1" customHeight="1" spans="1:33">
      <c r="A51" s="242">
        <v>47</v>
      </c>
      <c r="B51" s="242" t="s">
        <v>129</v>
      </c>
      <c r="C51" s="243" t="s">
        <v>130</v>
      </c>
      <c r="D51" s="225">
        <v>370.67</v>
      </c>
      <c r="E51" s="225">
        <v>186.08</v>
      </c>
      <c r="F51" s="225"/>
      <c r="G51" s="244">
        <v>198.05</v>
      </c>
      <c r="H51" s="245">
        <v>1000</v>
      </c>
      <c r="I51" s="244">
        <v>137.66</v>
      </c>
      <c r="J51" s="245"/>
      <c r="K51" s="244">
        <v>115.35</v>
      </c>
      <c r="L51" s="245"/>
      <c r="M51" s="245">
        <v>132.08</v>
      </c>
      <c r="N51" s="245"/>
      <c r="O51" s="245">
        <v>98.08</v>
      </c>
      <c r="P51" s="245"/>
      <c r="Q51" s="245">
        <v>170.95</v>
      </c>
      <c r="R51" s="245"/>
      <c r="S51" s="244">
        <v>189.39</v>
      </c>
      <c r="T51" s="244">
        <v>140.57</v>
      </c>
      <c r="U51" s="245"/>
      <c r="V51" s="245"/>
      <c r="W51" s="245">
        <v>238.42</v>
      </c>
      <c r="X51" s="245">
        <v>1000</v>
      </c>
      <c r="Y51" s="245">
        <v>110.94</v>
      </c>
      <c r="Z51" s="245"/>
      <c r="AA51" s="245">
        <v>104.47</v>
      </c>
      <c r="AB51" s="245"/>
      <c r="AC51" s="245">
        <v>111</v>
      </c>
      <c r="AD51" s="245"/>
      <c r="AE51" s="245">
        <f t="shared" si="3"/>
        <v>1933.04</v>
      </c>
      <c r="AF51" s="245">
        <f t="shared" si="4"/>
        <v>2000</v>
      </c>
      <c r="AG51" s="112">
        <f t="shared" si="5"/>
        <v>437.63</v>
      </c>
    </row>
    <row r="52" s="1" customFormat="1" customHeight="1" spans="1:33">
      <c r="A52" s="242">
        <v>48</v>
      </c>
      <c r="B52" s="242" t="s">
        <v>131</v>
      </c>
      <c r="C52" s="243" t="s">
        <v>132</v>
      </c>
      <c r="D52" s="225">
        <v>199.59</v>
      </c>
      <c r="E52" s="225">
        <v>276.4</v>
      </c>
      <c r="F52" s="225">
        <v>1000</v>
      </c>
      <c r="G52" s="244">
        <v>253.01</v>
      </c>
      <c r="H52" s="245"/>
      <c r="I52" s="244">
        <v>170.85</v>
      </c>
      <c r="J52" s="245"/>
      <c r="K52" s="244">
        <v>153.44</v>
      </c>
      <c r="L52" s="245"/>
      <c r="M52" s="245">
        <v>138.34</v>
      </c>
      <c r="N52" s="245"/>
      <c r="O52" s="245">
        <v>110.97</v>
      </c>
      <c r="P52" s="245">
        <f>500+121.83</f>
        <v>621.83</v>
      </c>
      <c r="Q52" s="245">
        <v>158.53</v>
      </c>
      <c r="R52" s="245"/>
      <c r="S52" s="244">
        <v>178.32</v>
      </c>
      <c r="T52" s="244">
        <v>211.11</v>
      </c>
      <c r="U52" s="245">
        <v>500</v>
      </c>
      <c r="V52" s="245">
        <v>210</v>
      </c>
      <c r="W52" s="245">
        <v>162.8</v>
      </c>
      <c r="X52" s="245"/>
      <c r="Y52" s="245">
        <v>131.21</v>
      </c>
      <c r="Z52" s="245"/>
      <c r="AA52" s="245">
        <v>156.16</v>
      </c>
      <c r="AB52" s="245">
        <v>500</v>
      </c>
      <c r="AC52" s="245">
        <v>165.41</v>
      </c>
      <c r="AD52" s="245"/>
      <c r="AE52" s="245">
        <f t="shared" si="3"/>
        <v>2266.55</v>
      </c>
      <c r="AF52" s="245">
        <f t="shared" si="4"/>
        <v>2621.83</v>
      </c>
      <c r="AG52" s="112">
        <f t="shared" si="5"/>
        <v>554.87</v>
      </c>
    </row>
    <row r="53" s="1" customFormat="1" customHeight="1" spans="1:33">
      <c r="A53" s="242">
        <v>49</v>
      </c>
      <c r="B53" s="242" t="s">
        <v>133</v>
      </c>
      <c r="C53" s="243" t="s">
        <v>134</v>
      </c>
      <c r="D53" s="225">
        <v>329.71</v>
      </c>
      <c r="E53" s="225">
        <v>270.96</v>
      </c>
      <c r="F53" s="225"/>
      <c r="G53" s="244">
        <v>284.02</v>
      </c>
      <c r="H53" s="245">
        <v>1800</v>
      </c>
      <c r="I53" s="244">
        <v>180.1</v>
      </c>
      <c r="J53" s="245"/>
      <c r="K53" s="244">
        <v>152.89</v>
      </c>
      <c r="L53" s="245"/>
      <c r="M53" s="245">
        <v>173.06</v>
      </c>
      <c r="N53" s="245"/>
      <c r="O53" s="245">
        <v>102.57</v>
      </c>
      <c r="P53" s="245"/>
      <c r="Q53" s="245">
        <v>147.25</v>
      </c>
      <c r="R53" s="245"/>
      <c r="S53" s="244">
        <v>152.68</v>
      </c>
      <c r="T53" s="244">
        <v>162.02</v>
      </c>
      <c r="U53" s="245">
        <v>1000</v>
      </c>
      <c r="V53" s="245"/>
      <c r="W53" s="245">
        <v>153.56</v>
      </c>
      <c r="X53" s="245"/>
      <c r="Y53" s="245">
        <v>127.27</v>
      </c>
      <c r="Z53" s="245"/>
      <c r="AA53" s="245">
        <v>148.54</v>
      </c>
      <c r="AB53" s="245"/>
      <c r="AC53" s="245">
        <v>138.2</v>
      </c>
      <c r="AD53" s="245"/>
      <c r="AE53" s="245">
        <f t="shared" si="3"/>
        <v>2193.12</v>
      </c>
      <c r="AF53" s="245">
        <f t="shared" si="4"/>
        <v>2800</v>
      </c>
      <c r="AG53" s="112">
        <f t="shared" si="5"/>
        <v>936.59</v>
      </c>
    </row>
    <row r="54" s="1" customFormat="1" customHeight="1" spans="1:33">
      <c r="A54" s="242">
        <v>50</v>
      </c>
      <c r="B54" s="242" t="s">
        <v>135</v>
      </c>
      <c r="C54" s="243" t="s">
        <v>136</v>
      </c>
      <c r="D54" s="225">
        <v>-121.26</v>
      </c>
      <c r="E54" s="225">
        <v>33.73</v>
      </c>
      <c r="F54" s="225">
        <v>320</v>
      </c>
      <c r="G54" s="244">
        <v>50.6</v>
      </c>
      <c r="H54" s="245"/>
      <c r="I54" s="244">
        <v>125.14</v>
      </c>
      <c r="J54" s="245"/>
      <c r="K54" s="244">
        <v>176.29</v>
      </c>
      <c r="L54" s="245"/>
      <c r="M54" s="245">
        <v>244.8</v>
      </c>
      <c r="N54" s="245">
        <v>500</v>
      </c>
      <c r="O54" s="245">
        <v>196.16</v>
      </c>
      <c r="P54" s="245"/>
      <c r="Q54" s="245">
        <v>198.59</v>
      </c>
      <c r="R54" s="245"/>
      <c r="S54" s="244">
        <v>418.98</v>
      </c>
      <c r="T54" s="244">
        <v>92.7</v>
      </c>
      <c r="U54" s="245">
        <v>1310</v>
      </c>
      <c r="V54" s="245">
        <v>190</v>
      </c>
      <c r="W54" s="245">
        <v>442.2</v>
      </c>
      <c r="X54" s="245"/>
      <c r="Y54" s="245">
        <v>224.13</v>
      </c>
      <c r="Z54" s="245"/>
      <c r="AA54" s="245">
        <v>161.05</v>
      </c>
      <c r="AB54" s="245"/>
      <c r="AC54" s="245">
        <v>251.37</v>
      </c>
      <c r="AD54" s="245"/>
      <c r="AE54" s="245">
        <f t="shared" si="3"/>
        <v>2615.74</v>
      </c>
      <c r="AF54" s="245">
        <f t="shared" si="4"/>
        <v>2130</v>
      </c>
      <c r="AG54" s="112">
        <f t="shared" si="5"/>
        <v>-607</v>
      </c>
    </row>
    <row r="55" s="1" customFormat="1" customHeight="1" spans="1:33">
      <c r="A55" s="242">
        <v>51</v>
      </c>
      <c r="B55" s="242" t="s">
        <v>137</v>
      </c>
      <c r="C55" s="243" t="s">
        <v>138</v>
      </c>
      <c r="D55" s="225">
        <v>189.71</v>
      </c>
      <c r="E55" s="225">
        <v>164.86</v>
      </c>
      <c r="F55" s="225">
        <v>500</v>
      </c>
      <c r="G55" s="244">
        <v>242.12</v>
      </c>
      <c r="H55" s="245"/>
      <c r="I55" s="244">
        <v>144.19</v>
      </c>
      <c r="J55" s="245"/>
      <c r="K55" s="244">
        <v>140.38</v>
      </c>
      <c r="L55" s="245">
        <v>500</v>
      </c>
      <c r="M55" s="245">
        <v>103.04</v>
      </c>
      <c r="N55" s="245"/>
      <c r="O55" s="245">
        <v>81.27</v>
      </c>
      <c r="P55" s="245">
        <v>621.83</v>
      </c>
      <c r="Q55" s="245">
        <v>188.44</v>
      </c>
      <c r="R55" s="245"/>
      <c r="S55" s="244">
        <v>193.47</v>
      </c>
      <c r="T55" s="244">
        <v>135.48</v>
      </c>
      <c r="U55" s="245"/>
      <c r="V55" s="245">
        <v>180</v>
      </c>
      <c r="W55" s="245">
        <v>332.52</v>
      </c>
      <c r="X55" s="245">
        <v>600</v>
      </c>
      <c r="Y55" s="245">
        <v>117.13</v>
      </c>
      <c r="Z55" s="245"/>
      <c r="AA55" s="245">
        <v>114.81</v>
      </c>
      <c r="AB55" s="245"/>
      <c r="AC55" s="245">
        <v>118.61</v>
      </c>
      <c r="AD55" s="245"/>
      <c r="AE55" s="245">
        <f t="shared" si="3"/>
        <v>2076.32</v>
      </c>
      <c r="AF55" s="245">
        <f t="shared" si="4"/>
        <v>2221.83</v>
      </c>
      <c r="AG55" s="112">
        <f t="shared" si="5"/>
        <v>335.22</v>
      </c>
    </row>
    <row r="56" s="1" customFormat="1" customHeight="1" spans="1:33">
      <c r="A56" s="242">
        <v>52</v>
      </c>
      <c r="B56" s="242" t="s">
        <v>139</v>
      </c>
      <c r="C56" s="243" t="s">
        <v>140</v>
      </c>
      <c r="D56" s="225">
        <v>249.82</v>
      </c>
      <c r="E56" s="225">
        <v>223.63</v>
      </c>
      <c r="F56" s="225"/>
      <c r="G56" s="244">
        <v>168.67</v>
      </c>
      <c r="H56" s="245">
        <v>500</v>
      </c>
      <c r="I56" s="244">
        <v>163.23</v>
      </c>
      <c r="J56" s="245"/>
      <c r="K56" s="244">
        <v>134.94</v>
      </c>
      <c r="L56" s="245"/>
      <c r="M56" s="245">
        <v>129.8</v>
      </c>
      <c r="N56" s="245"/>
      <c r="O56" s="245">
        <v>114.34</v>
      </c>
      <c r="P56" s="245">
        <v>500</v>
      </c>
      <c r="Q56" s="245">
        <v>295.63</v>
      </c>
      <c r="R56" s="245"/>
      <c r="S56" s="244">
        <v>238.34</v>
      </c>
      <c r="T56" s="244">
        <v>141.33</v>
      </c>
      <c r="U56" s="245">
        <v>1000</v>
      </c>
      <c r="V56" s="245"/>
      <c r="W56" s="245">
        <v>226.3</v>
      </c>
      <c r="X56" s="245"/>
      <c r="Y56" s="245">
        <v>183.58</v>
      </c>
      <c r="Z56" s="245"/>
      <c r="AA56" s="245">
        <v>181.73</v>
      </c>
      <c r="AB56" s="245">
        <v>1.14</v>
      </c>
      <c r="AC56" s="245">
        <v>147.45</v>
      </c>
      <c r="AD56" s="245">
        <v>300</v>
      </c>
      <c r="AE56" s="245">
        <f t="shared" si="3"/>
        <v>2348.97</v>
      </c>
      <c r="AF56" s="245">
        <f t="shared" si="4"/>
        <v>2301.14</v>
      </c>
      <c r="AG56" s="112">
        <f t="shared" si="5"/>
        <v>201.990000000001</v>
      </c>
    </row>
    <row r="57" s="1" customFormat="1" customHeight="1" spans="1:33">
      <c r="A57" s="242">
        <v>53</v>
      </c>
      <c r="B57" s="242" t="s">
        <v>141</v>
      </c>
      <c r="C57" s="243" t="s">
        <v>142</v>
      </c>
      <c r="D57" s="225">
        <v>217.21</v>
      </c>
      <c r="E57" s="225">
        <v>147.45</v>
      </c>
      <c r="F57" s="225"/>
      <c r="G57" s="244">
        <v>216.55</v>
      </c>
      <c r="H57" s="245">
        <v>1000</v>
      </c>
      <c r="I57" s="244">
        <v>126.78</v>
      </c>
      <c r="J57" s="245"/>
      <c r="K57" s="244">
        <v>101.75</v>
      </c>
      <c r="L57" s="245"/>
      <c r="M57" s="245">
        <v>89.95</v>
      </c>
      <c r="N57" s="245"/>
      <c r="O57" s="245">
        <v>72.3</v>
      </c>
      <c r="P57" s="245">
        <v>1000</v>
      </c>
      <c r="Q57" s="245">
        <v>124.12</v>
      </c>
      <c r="R57" s="245"/>
      <c r="S57" s="244">
        <v>125.87</v>
      </c>
      <c r="T57" s="244">
        <v>92.75</v>
      </c>
      <c r="U57" s="245"/>
      <c r="V57" s="245"/>
      <c r="W57" s="245">
        <v>120.08</v>
      </c>
      <c r="X57" s="245">
        <v>500</v>
      </c>
      <c r="Y57" s="245">
        <v>96.3</v>
      </c>
      <c r="Z57" s="245"/>
      <c r="AA57" s="245">
        <v>108.28</v>
      </c>
      <c r="AB57" s="245"/>
      <c r="AC57" s="245">
        <v>93.04</v>
      </c>
      <c r="AD57" s="245"/>
      <c r="AE57" s="245">
        <f t="shared" si="3"/>
        <v>1515.22</v>
      </c>
      <c r="AF57" s="245">
        <f t="shared" si="4"/>
        <v>2500</v>
      </c>
      <c r="AG57" s="112">
        <f t="shared" si="5"/>
        <v>1201.99</v>
      </c>
    </row>
    <row r="58" s="1" customFormat="1" customHeight="1" spans="1:33">
      <c r="A58" s="242">
        <v>54</v>
      </c>
      <c r="B58" s="242" t="s">
        <v>143</v>
      </c>
      <c r="C58" s="243" t="s">
        <v>144</v>
      </c>
      <c r="D58" s="225">
        <v>86.03</v>
      </c>
      <c r="E58" s="225">
        <v>107.73</v>
      </c>
      <c r="F58" s="225"/>
      <c r="G58" s="244">
        <v>83.79</v>
      </c>
      <c r="H58" s="245"/>
      <c r="I58" s="244">
        <v>70.19</v>
      </c>
      <c r="J58" s="245"/>
      <c r="K58" s="244">
        <v>81.62</v>
      </c>
      <c r="L58" s="245"/>
      <c r="M58" s="245">
        <v>73.44</v>
      </c>
      <c r="N58" s="245"/>
      <c r="O58" s="245">
        <v>48.76</v>
      </c>
      <c r="P58" s="245">
        <v>90.15</v>
      </c>
      <c r="Q58" s="245">
        <v>99.86</v>
      </c>
      <c r="R58" s="245"/>
      <c r="S58" s="244">
        <v>93.24</v>
      </c>
      <c r="T58" s="244">
        <v>104.59</v>
      </c>
      <c r="U58" s="245">
        <v>1000</v>
      </c>
      <c r="V58" s="245">
        <v>200</v>
      </c>
      <c r="W58" s="245">
        <v>97.56</v>
      </c>
      <c r="X58" s="245"/>
      <c r="Y58" s="245">
        <v>70.39</v>
      </c>
      <c r="Z58" s="245"/>
      <c r="AA58" s="245">
        <v>68.01</v>
      </c>
      <c r="AB58" s="245"/>
      <c r="AC58" s="245">
        <v>68.01</v>
      </c>
      <c r="AD58" s="245"/>
      <c r="AE58" s="245">
        <f t="shared" si="3"/>
        <v>1067.19</v>
      </c>
      <c r="AF58" s="245">
        <f t="shared" si="4"/>
        <v>1090.15</v>
      </c>
      <c r="AG58" s="112">
        <f t="shared" si="5"/>
        <v>108.99</v>
      </c>
    </row>
    <row r="59" s="1" customFormat="1" customHeight="1" spans="1:33">
      <c r="A59" s="242">
        <v>55</v>
      </c>
      <c r="B59" s="242" t="s">
        <v>145</v>
      </c>
      <c r="C59" s="243" t="s">
        <v>146</v>
      </c>
      <c r="D59" s="225">
        <v>-16.4100000000003</v>
      </c>
      <c r="E59" s="225">
        <v>311.23</v>
      </c>
      <c r="F59" s="225">
        <v>200</v>
      </c>
      <c r="G59" s="244">
        <v>486.97</v>
      </c>
      <c r="H59" s="245"/>
      <c r="I59" s="244">
        <v>250.83</v>
      </c>
      <c r="J59" s="245">
        <v>800</v>
      </c>
      <c r="K59" s="244">
        <v>175.2</v>
      </c>
      <c r="L59" s="245">
        <v>500</v>
      </c>
      <c r="M59" s="245">
        <v>154.28</v>
      </c>
      <c r="N59" s="245"/>
      <c r="O59" s="245">
        <v>78.47</v>
      </c>
      <c r="P59" s="245">
        <v>90.15</v>
      </c>
      <c r="Q59" s="245">
        <v>188.44</v>
      </c>
      <c r="R59" s="245">
        <v>500</v>
      </c>
      <c r="S59" s="244">
        <v>162.58</v>
      </c>
      <c r="T59" s="244">
        <v>228.08</v>
      </c>
      <c r="U59" s="245">
        <v>500</v>
      </c>
      <c r="V59" s="245">
        <v>135</v>
      </c>
      <c r="W59" s="245">
        <v>214.17</v>
      </c>
      <c r="X59" s="245"/>
      <c r="Y59" s="245">
        <v>135.72</v>
      </c>
      <c r="Z59" s="245"/>
      <c r="AA59" s="245">
        <v>142.55</v>
      </c>
      <c r="AB59" s="245">
        <v>500</v>
      </c>
      <c r="AC59" s="245">
        <v>192.61</v>
      </c>
      <c r="AD59" s="245"/>
      <c r="AE59" s="245">
        <f t="shared" si="3"/>
        <v>2721.13</v>
      </c>
      <c r="AF59" s="245">
        <f t="shared" si="4"/>
        <v>3090.15</v>
      </c>
      <c r="AG59" s="112">
        <f t="shared" si="5"/>
        <v>352.61</v>
      </c>
    </row>
    <row r="60" s="1" customFormat="1" customHeight="1" spans="1:33">
      <c r="A60" s="242">
        <v>56</v>
      </c>
      <c r="B60" s="242" t="s">
        <v>147</v>
      </c>
      <c r="C60" s="243" t="s">
        <v>148</v>
      </c>
      <c r="D60" s="225">
        <v>480.72</v>
      </c>
      <c r="E60" s="225">
        <v>191.52</v>
      </c>
      <c r="F60" s="225"/>
      <c r="G60" s="244">
        <v>204.58</v>
      </c>
      <c r="H60" s="245"/>
      <c r="I60" s="244">
        <v>144.19</v>
      </c>
      <c r="J60" s="245">
        <v>1000</v>
      </c>
      <c r="K60" s="244">
        <v>116.44</v>
      </c>
      <c r="L60" s="245"/>
      <c r="M60" s="245">
        <v>104.75</v>
      </c>
      <c r="N60" s="245"/>
      <c r="O60" s="245">
        <v>57.73</v>
      </c>
      <c r="P60" s="245"/>
      <c r="Q60" s="245">
        <v>71.65</v>
      </c>
      <c r="R60" s="245"/>
      <c r="S60" s="244">
        <v>119.46</v>
      </c>
      <c r="T60" s="244">
        <v>111.37</v>
      </c>
      <c r="U60" s="245"/>
      <c r="V60" s="245"/>
      <c r="W60" s="245">
        <v>142.01</v>
      </c>
      <c r="X60" s="245">
        <v>1000</v>
      </c>
      <c r="Y60" s="245">
        <v>92.92</v>
      </c>
      <c r="Z60" s="245"/>
      <c r="AA60" s="245">
        <v>124.6</v>
      </c>
      <c r="AB60" s="245"/>
      <c r="AC60" s="245">
        <v>118.61</v>
      </c>
      <c r="AD60" s="245"/>
      <c r="AE60" s="245">
        <f t="shared" si="3"/>
        <v>1599.83</v>
      </c>
      <c r="AF60" s="245">
        <f t="shared" si="4"/>
        <v>2000</v>
      </c>
      <c r="AG60" s="112">
        <f t="shared" si="5"/>
        <v>880.89</v>
      </c>
    </row>
    <row r="61" s="1" customFormat="1" customHeight="1" spans="1:33">
      <c r="A61" s="242">
        <v>57</v>
      </c>
      <c r="B61" s="242" t="s">
        <v>149</v>
      </c>
      <c r="C61" s="243" t="s">
        <v>150</v>
      </c>
      <c r="D61" s="225">
        <v>1230.81</v>
      </c>
      <c r="E61" s="225">
        <v>155.61</v>
      </c>
      <c r="F61" s="225"/>
      <c r="G61" s="244">
        <v>195.88</v>
      </c>
      <c r="H61" s="245"/>
      <c r="I61" s="244">
        <v>86.51</v>
      </c>
      <c r="J61" s="245"/>
      <c r="K61" s="244">
        <v>82.16</v>
      </c>
      <c r="L61" s="245"/>
      <c r="M61" s="245">
        <v>75.15</v>
      </c>
      <c r="N61" s="245"/>
      <c r="O61" s="245">
        <v>39.23</v>
      </c>
      <c r="P61" s="245">
        <v>90.15</v>
      </c>
      <c r="Q61" s="245">
        <v>71.65</v>
      </c>
      <c r="R61" s="245"/>
      <c r="S61" s="244">
        <v>78.09</v>
      </c>
      <c r="T61" s="244">
        <v>85.19</v>
      </c>
      <c r="U61" s="245"/>
      <c r="V61" s="245"/>
      <c r="W61" s="245">
        <v>129.31</v>
      </c>
      <c r="X61" s="245">
        <v>1000</v>
      </c>
      <c r="Y61" s="245">
        <v>60.82</v>
      </c>
      <c r="Z61" s="245">
        <v>402.42</v>
      </c>
      <c r="AA61" s="245">
        <v>66.38</v>
      </c>
      <c r="AB61" s="245"/>
      <c r="AC61" s="245">
        <v>92.5</v>
      </c>
      <c r="AD61" s="245"/>
      <c r="AE61" s="245">
        <f t="shared" si="3"/>
        <v>1218.48</v>
      </c>
      <c r="AF61" s="245">
        <f t="shared" si="4"/>
        <v>1492.57</v>
      </c>
      <c r="AG61" s="112">
        <f t="shared" si="5"/>
        <v>1504.9</v>
      </c>
    </row>
    <row r="62" s="1" customFormat="1" customHeight="1" spans="1:33">
      <c r="A62" s="242">
        <v>58</v>
      </c>
      <c r="B62" s="242" t="s">
        <v>151</v>
      </c>
      <c r="C62" s="243" t="s">
        <v>152</v>
      </c>
      <c r="D62" s="225">
        <v>116.08</v>
      </c>
      <c r="E62" s="225">
        <v>1.63</v>
      </c>
      <c r="F62" s="225">
        <v>81.84</v>
      </c>
      <c r="G62" s="244">
        <v>2.72</v>
      </c>
      <c r="H62" s="245"/>
      <c r="I62" s="244">
        <v>1.09</v>
      </c>
      <c r="J62" s="245"/>
      <c r="K62" s="244">
        <v>18.5</v>
      </c>
      <c r="L62" s="245"/>
      <c r="M62" s="245">
        <v>28.46</v>
      </c>
      <c r="N62" s="245">
        <v>23.94</v>
      </c>
      <c r="O62" s="245"/>
      <c r="P62" s="245"/>
      <c r="Q62" s="245">
        <v>45.7</v>
      </c>
      <c r="R62" s="245">
        <f>90.15+45.7+28.46</f>
        <v>164.31</v>
      </c>
      <c r="S62" s="244">
        <v>16.32</v>
      </c>
      <c r="T62" s="244">
        <v>31.95</v>
      </c>
      <c r="U62" s="245">
        <v>48.27</v>
      </c>
      <c r="V62" s="245">
        <v>155</v>
      </c>
      <c r="W62" s="245">
        <v>21.94</v>
      </c>
      <c r="X62" s="245"/>
      <c r="Y62" s="245">
        <v>106.43</v>
      </c>
      <c r="Z62" s="245">
        <v>128.37</v>
      </c>
      <c r="AA62" s="245">
        <v>32.65</v>
      </c>
      <c r="AB62" s="245"/>
      <c r="AC62" s="245">
        <v>27.21</v>
      </c>
      <c r="AD62" s="245">
        <v>50</v>
      </c>
      <c r="AE62" s="245">
        <f t="shared" si="3"/>
        <v>334.6</v>
      </c>
      <c r="AF62" s="245">
        <f t="shared" si="4"/>
        <v>496.73</v>
      </c>
      <c r="AG62" s="112">
        <f t="shared" si="5"/>
        <v>278.21</v>
      </c>
    </row>
    <row r="63" s="1" customFormat="1" customHeight="1" spans="1:33">
      <c r="A63" s="242">
        <v>59</v>
      </c>
      <c r="B63" s="242" t="s">
        <v>153</v>
      </c>
      <c r="C63" s="243" t="s">
        <v>154</v>
      </c>
      <c r="D63" s="225">
        <v>598.36</v>
      </c>
      <c r="E63" s="225">
        <v>206.21</v>
      </c>
      <c r="F63" s="225">
        <f>799.54+600</f>
        <v>1399.54</v>
      </c>
      <c r="G63" s="244">
        <v>216.55</v>
      </c>
      <c r="H63" s="245"/>
      <c r="I63" s="244">
        <v>138.75</v>
      </c>
      <c r="J63" s="245"/>
      <c r="K63" s="244">
        <v>140.38</v>
      </c>
      <c r="L63" s="245"/>
      <c r="M63" s="245">
        <v>160.54</v>
      </c>
      <c r="N63" s="245">
        <v>1000</v>
      </c>
      <c r="O63" s="245">
        <v>152.45</v>
      </c>
      <c r="P63" s="245"/>
      <c r="Q63" s="245">
        <v>304.09</v>
      </c>
      <c r="R63" s="245"/>
      <c r="S63" s="244">
        <v>315.26</v>
      </c>
      <c r="T63" s="244">
        <v>106.03</v>
      </c>
      <c r="U63" s="245"/>
      <c r="V63" s="245"/>
      <c r="W63" s="245">
        <v>387.36</v>
      </c>
      <c r="X63" s="245"/>
      <c r="Y63" s="245">
        <v>169.51</v>
      </c>
      <c r="Z63" s="245">
        <v>2000</v>
      </c>
      <c r="AA63" s="245">
        <v>128.41</v>
      </c>
      <c r="AB63" s="245"/>
      <c r="AC63" s="245">
        <v>142.01</v>
      </c>
      <c r="AD63" s="245"/>
      <c r="AE63" s="245">
        <f t="shared" si="3"/>
        <v>2567.55</v>
      </c>
      <c r="AF63" s="245">
        <f t="shared" si="4"/>
        <v>4399.54</v>
      </c>
      <c r="AG63" s="112">
        <f t="shared" si="5"/>
        <v>2430.35</v>
      </c>
    </row>
    <row r="64" s="1" customFormat="1" customHeight="1" spans="1:33">
      <c r="A64" s="242">
        <v>60</v>
      </c>
      <c r="B64" s="242" t="s">
        <v>155</v>
      </c>
      <c r="C64" s="243" t="s">
        <v>156</v>
      </c>
      <c r="D64" s="225">
        <v>315.07</v>
      </c>
      <c r="E64" s="225">
        <v>172.48</v>
      </c>
      <c r="F64" s="225"/>
      <c r="G64" s="244">
        <v>212.2</v>
      </c>
      <c r="H64" s="245"/>
      <c r="I64" s="244">
        <v>118.61</v>
      </c>
      <c r="J64" s="245">
        <v>2000</v>
      </c>
      <c r="K64" s="244">
        <v>109.91</v>
      </c>
      <c r="L64" s="245"/>
      <c r="M64" s="245">
        <v>88.81</v>
      </c>
      <c r="N64" s="245"/>
      <c r="O64" s="245">
        <v>65.57</v>
      </c>
      <c r="P64" s="245"/>
      <c r="Q64" s="245">
        <v>130.32</v>
      </c>
      <c r="R64" s="245"/>
      <c r="S64" s="244">
        <v>167.24</v>
      </c>
      <c r="T64" s="244">
        <v>121.36</v>
      </c>
      <c r="U64" s="245"/>
      <c r="V64" s="245"/>
      <c r="W64" s="245">
        <v>155.29</v>
      </c>
      <c r="X64" s="245"/>
      <c r="Y64" s="245">
        <v>70.39</v>
      </c>
      <c r="Z64" s="245"/>
      <c r="AA64" s="245">
        <v>90.86</v>
      </c>
      <c r="AB64" s="245"/>
      <c r="AC64" s="245">
        <v>87.06</v>
      </c>
      <c r="AD64" s="245"/>
      <c r="AE64" s="245">
        <f t="shared" si="3"/>
        <v>1590.1</v>
      </c>
      <c r="AF64" s="245">
        <f t="shared" si="4"/>
        <v>2000</v>
      </c>
      <c r="AG64" s="112">
        <f t="shared" si="5"/>
        <v>724.97</v>
      </c>
    </row>
    <row r="65" s="1" customFormat="1" customHeight="1" spans="1:33">
      <c r="A65" s="242">
        <v>61</v>
      </c>
      <c r="B65" s="242" t="s">
        <v>157</v>
      </c>
      <c r="C65" s="243" t="s">
        <v>158</v>
      </c>
      <c r="D65" s="225">
        <v>342.11</v>
      </c>
      <c r="E65" s="225">
        <v>99.57</v>
      </c>
      <c r="F65" s="225"/>
      <c r="G65" s="244">
        <v>72.91</v>
      </c>
      <c r="H65" s="245"/>
      <c r="I65" s="244">
        <v>93.04</v>
      </c>
      <c r="J65" s="245">
        <v>300</v>
      </c>
      <c r="K65" s="244">
        <v>90.32</v>
      </c>
      <c r="L65" s="245"/>
      <c r="M65" s="245">
        <v>74.58</v>
      </c>
      <c r="N65" s="245"/>
      <c r="O65" s="245">
        <v>52.12</v>
      </c>
      <c r="P65" s="245">
        <f>1000+300</f>
        <v>1300</v>
      </c>
      <c r="Q65" s="245">
        <v>88.58</v>
      </c>
      <c r="R65" s="245"/>
      <c r="S65" s="244">
        <v>82.17</v>
      </c>
      <c r="T65" s="244">
        <v>36.7</v>
      </c>
      <c r="U65" s="245"/>
      <c r="V65" s="245">
        <v>120</v>
      </c>
      <c r="W65" s="245">
        <v>57.15</v>
      </c>
      <c r="X65" s="245">
        <v>200</v>
      </c>
      <c r="Y65" s="245">
        <v>71.52</v>
      </c>
      <c r="Z65" s="245"/>
      <c r="AA65" s="245">
        <v>85.42</v>
      </c>
      <c r="AB65" s="245"/>
      <c r="AC65" s="245">
        <v>112.63</v>
      </c>
      <c r="AD65" s="245"/>
      <c r="AE65" s="245">
        <f t="shared" si="3"/>
        <v>1016.71</v>
      </c>
      <c r="AF65" s="245">
        <f t="shared" si="4"/>
        <v>1800</v>
      </c>
      <c r="AG65" s="112">
        <f t="shared" si="5"/>
        <v>1125.4</v>
      </c>
    </row>
    <row r="66" s="1" customFormat="1" customHeight="1" spans="1:33">
      <c r="A66" s="242">
        <v>62</v>
      </c>
      <c r="B66" s="242" t="s">
        <v>159</v>
      </c>
      <c r="C66" s="243" t="s">
        <v>160</v>
      </c>
      <c r="D66" s="225">
        <v>387.230000000001</v>
      </c>
      <c r="E66" s="225">
        <v>142.55</v>
      </c>
      <c r="F66" s="225"/>
      <c r="G66" s="244">
        <v>210.57</v>
      </c>
      <c r="H66" s="245"/>
      <c r="I66" s="244">
        <v>143.1</v>
      </c>
      <c r="J66" s="245">
        <v>1000</v>
      </c>
      <c r="K66" s="244">
        <v>129.5</v>
      </c>
      <c r="L66" s="245"/>
      <c r="M66" s="245">
        <v>125.81</v>
      </c>
      <c r="N66" s="245"/>
      <c r="O66" s="245">
        <v>96.96</v>
      </c>
      <c r="P66" s="245"/>
      <c r="Q66" s="245">
        <v>190.69</v>
      </c>
      <c r="R66" s="245"/>
      <c r="S66" s="244">
        <v>316.42</v>
      </c>
      <c r="T66" s="244">
        <v>184.61</v>
      </c>
      <c r="U66" s="245">
        <v>1000</v>
      </c>
      <c r="V66" s="245">
        <v>210</v>
      </c>
      <c r="W66" s="245">
        <v>259.2</v>
      </c>
      <c r="X66" s="245"/>
      <c r="Y66" s="245">
        <v>171.76</v>
      </c>
      <c r="Z66" s="245"/>
      <c r="AA66" s="245">
        <v>130.58</v>
      </c>
      <c r="AB66" s="245"/>
      <c r="AC66" s="245">
        <v>120.25</v>
      </c>
      <c r="AD66" s="245"/>
      <c r="AE66" s="245">
        <f t="shared" si="3"/>
        <v>2222</v>
      </c>
      <c r="AF66" s="245">
        <f t="shared" si="4"/>
        <v>2000</v>
      </c>
      <c r="AG66" s="112">
        <f t="shared" si="5"/>
        <v>165.230000000001</v>
      </c>
    </row>
    <row r="67" s="1" customFormat="1" customHeight="1" spans="1:33">
      <c r="A67" s="242">
        <v>63</v>
      </c>
      <c r="B67" s="242" t="s">
        <v>161</v>
      </c>
      <c r="C67" s="243" t="s">
        <v>162</v>
      </c>
      <c r="D67" s="225">
        <v>1737.65</v>
      </c>
      <c r="E67" s="225">
        <v>383.59</v>
      </c>
      <c r="F67" s="225">
        <v>1000</v>
      </c>
      <c r="G67" s="244">
        <v>500.57</v>
      </c>
      <c r="H67" s="245"/>
      <c r="I67" s="244">
        <v>151.26</v>
      </c>
      <c r="J67" s="245"/>
      <c r="K67" s="244">
        <v>139.83</v>
      </c>
      <c r="L67" s="245"/>
      <c r="M67" s="245">
        <v>152</v>
      </c>
      <c r="N67" s="245">
        <v>1000</v>
      </c>
      <c r="O67" s="245">
        <v>108.17</v>
      </c>
      <c r="P67" s="245"/>
      <c r="Q67" s="245">
        <v>348.1</v>
      </c>
      <c r="R67" s="245"/>
      <c r="S67" s="244">
        <v>311.18</v>
      </c>
      <c r="T67" s="244">
        <v>218.68</v>
      </c>
      <c r="U67" s="245">
        <v>1000</v>
      </c>
      <c r="V67" s="245">
        <v>200</v>
      </c>
      <c r="W67" s="245">
        <v>389.67</v>
      </c>
      <c r="X67" s="245"/>
      <c r="Y67" s="245">
        <v>201.04</v>
      </c>
      <c r="Z67" s="245"/>
      <c r="AA67" s="245">
        <v>183.36</v>
      </c>
      <c r="AB67" s="245"/>
      <c r="AC67" s="245">
        <v>194.24</v>
      </c>
      <c r="AD67" s="245">
        <v>1000</v>
      </c>
      <c r="AE67" s="245">
        <f t="shared" si="3"/>
        <v>3281.69</v>
      </c>
      <c r="AF67" s="245">
        <f t="shared" si="4"/>
        <v>4000</v>
      </c>
      <c r="AG67" s="112">
        <f t="shared" si="5"/>
        <v>2455.96</v>
      </c>
    </row>
    <row r="68" s="1" customFormat="1" customHeight="1" spans="1:33">
      <c r="A68" s="242">
        <v>64</v>
      </c>
      <c r="B68" s="242" t="s">
        <v>163</v>
      </c>
      <c r="C68" s="243" t="s">
        <v>164</v>
      </c>
      <c r="D68" s="225">
        <v>1105.07</v>
      </c>
      <c r="E68" s="225">
        <v>135.48</v>
      </c>
      <c r="F68" s="225"/>
      <c r="G68" s="244">
        <v>244.3</v>
      </c>
      <c r="H68" s="245"/>
      <c r="I68" s="244">
        <v>119.7</v>
      </c>
      <c r="J68" s="245"/>
      <c r="K68" s="244">
        <v>116.44</v>
      </c>
      <c r="L68" s="245"/>
      <c r="M68" s="245">
        <v>93.93</v>
      </c>
      <c r="N68" s="245"/>
      <c r="O68" s="245">
        <v>58.29</v>
      </c>
      <c r="P68" s="245"/>
      <c r="Q68" s="245">
        <v>73.34</v>
      </c>
      <c r="R68" s="245">
        <v>1000</v>
      </c>
      <c r="S68" s="244">
        <v>82.75</v>
      </c>
      <c r="T68" s="244">
        <v>127.95</v>
      </c>
      <c r="U68" s="245"/>
      <c r="V68" s="245"/>
      <c r="W68" s="245">
        <v>81.98</v>
      </c>
      <c r="X68" s="245"/>
      <c r="Y68" s="245">
        <v>79.97</v>
      </c>
      <c r="Z68" s="245"/>
      <c r="AA68" s="245">
        <v>77.26</v>
      </c>
      <c r="AB68" s="245"/>
      <c r="AC68" s="245">
        <v>77.25</v>
      </c>
      <c r="AD68" s="245"/>
      <c r="AE68" s="245">
        <f t="shared" si="3"/>
        <v>1368.64</v>
      </c>
      <c r="AF68" s="245">
        <f t="shared" si="4"/>
        <v>1000</v>
      </c>
      <c r="AG68" s="112">
        <f t="shared" si="5"/>
        <v>736.43</v>
      </c>
    </row>
    <row r="69" s="1" customFormat="1" customHeight="1" spans="1:33">
      <c r="A69" s="242">
        <v>65</v>
      </c>
      <c r="B69" s="242"/>
      <c r="C69" s="108" t="s">
        <v>165</v>
      </c>
      <c r="D69" s="225">
        <v>637.02</v>
      </c>
      <c r="E69" s="225">
        <v>71.82</v>
      </c>
      <c r="F69" s="225"/>
      <c r="G69" s="244">
        <v>34.82</v>
      </c>
      <c r="H69" s="245"/>
      <c r="I69" s="244">
        <v>23.4</v>
      </c>
      <c r="J69" s="245"/>
      <c r="K69" s="244">
        <v>29.38</v>
      </c>
      <c r="L69" s="245"/>
      <c r="M69" s="245">
        <v>56.93</v>
      </c>
      <c r="N69" s="245"/>
      <c r="O69" s="245">
        <v>43.16</v>
      </c>
      <c r="P69" s="245"/>
      <c r="Q69" s="245">
        <v>75.6</v>
      </c>
      <c r="R69" s="245"/>
      <c r="S69" s="244">
        <v>82.17</v>
      </c>
      <c r="T69" s="244">
        <v>47.19</v>
      </c>
      <c r="U69" s="245"/>
      <c r="V69" s="245"/>
      <c r="W69" s="245">
        <v>95.25</v>
      </c>
      <c r="X69" s="245">
        <v>300</v>
      </c>
      <c r="Y69" s="245">
        <v>97.83</v>
      </c>
      <c r="Z69" s="245"/>
      <c r="AA69" s="245">
        <v>44.62</v>
      </c>
      <c r="AB69" s="245"/>
      <c r="AC69" s="245">
        <v>27.76</v>
      </c>
      <c r="AD69" s="245"/>
      <c r="AE69" s="245">
        <f t="shared" si="3"/>
        <v>729.93</v>
      </c>
      <c r="AF69" s="245">
        <f t="shared" si="4"/>
        <v>300</v>
      </c>
      <c r="AG69" s="112">
        <f t="shared" si="5"/>
        <v>207.09</v>
      </c>
    </row>
    <row r="70" s="239" customFormat="1" customHeight="1" spans="1:33">
      <c r="A70" s="242">
        <v>66</v>
      </c>
      <c r="B70" s="242"/>
      <c r="C70" s="108" t="s">
        <v>166</v>
      </c>
      <c r="D70" s="225">
        <v>-638.38</v>
      </c>
      <c r="E70" s="225">
        <v>25.5</v>
      </c>
      <c r="F70" s="225">
        <v>647.1</v>
      </c>
      <c r="G70" s="244">
        <v>53.55</v>
      </c>
      <c r="H70" s="245"/>
      <c r="I70" s="244">
        <v>39.1</v>
      </c>
      <c r="J70" s="245"/>
      <c r="K70" s="244">
        <v>51.85</v>
      </c>
      <c r="L70" s="245"/>
      <c r="M70" s="245">
        <v>50.69</v>
      </c>
      <c r="N70" s="245"/>
      <c r="O70" s="245">
        <v>32.3</v>
      </c>
      <c r="P70" s="245"/>
      <c r="Q70" s="245">
        <v>49.36</v>
      </c>
      <c r="R70" s="245"/>
      <c r="S70" s="244">
        <v>49.16</v>
      </c>
      <c r="T70" s="244"/>
      <c r="U70" s="245"/>
      <c r="V70" s="245"/>
      <c r="W70" s="245">
        <v>55.01</v>
      </c>
      <c r="X70" s="245"/>
      <c r="Y70" s="245">
        <v>44.2</v>
      </c>
      <c r="Z70" s="245"/>
      <c r="AA70" s="245">
        <v>51.85</v>
      </c>
      <c r="AB70" s="245"/>
      <c r="AC70" s="245">
        <v>50.15</v>
      </c>
      <c r="AD70" s="245"/>
      <c r="AE70" s="245">
        <f t="shared" ref="AE70:AE101" si="6">E70+G70+I70+K70+M70+O70+Q70+S70+T70+W70+Y70+AA70+AC70</f>
        <v>552.72</v>
      </c>
      <c r="AF70" s="245">
        <f t="shared" ref="AF70:AF101" si="7">F70+H70+J70+L70+N70+P70+R70+U70+X70+Z70+AB70+AD70</f>
        <v>647.1</v>
      </c>
      <c r="AG70" s="112">
        <f t="shared" ref="AG70:AG101" si="8">D70+AF70-AE70</f>
        <v>-544</v>
      </c>
    </row>
    <row r="71" customHeight="1" spans="1:33">
      <c r="A71" s="242">
        <v>67</v>
      </c>
      <c r="B71" s="242" t="s">
        <v>167</v>
      </c>
      <c r="C71" s="243" t="s">
        <v>168</v>
      </c>
      <c r="D71" s="225">
        <v>340.6</v>
      </c>
      <c r="E71" s="225">
        <v>127.32</v>
      </c>
      <c r="F71" s="225"/>
      <c r="G71" s="225">
        <v>125.69</v>
      </c>
      <c r="H71" s="245"/>
      <c r="I71" s="245">
        <v>66.38</v>
      </c>
      <c r="J71" s="245"/>
      <c r="K71" s="244">
        <v>72.91</v>
      </c>
      <c r="L71" s="245"/>
      <c r="M71" s="245">
        <v>64.33</v>
      </c>
      <c r="N71" s="245">
        <v>500</v>
      </c>
      <c r="O71" s="245">
        <v>40.35</v>
      </c>
      <c r="P71" s="245"/>
      <c r="Q71" s="245">
        <v>62.06</v>
      </c>
      <c r="R71" s="245"/>
      <c r="S71" s="244">
        <v>67.01</v>
      </c>
      <c r="T71" s="244">
        <v>85</v>
      </c>
      <c r="U71" s="245"/>
      <c r="V71" s="245"/>
      <c r="W71" s="245">
        <v>73.89</v>
      </c>
      <c r="X71" s="245">
        <v>1000</v>
      </c>
      <c r="Y71" s="245">
        <v>64.2</v>
      </c>
      <c r="Z71" s="245"/>
      <c r="AA71" s="245">
        <v>71.28</v>
      </c>
      <c r="AB71" s="245"/>
      <c r="AC71" s="245">
        <v>75.09</v>
      </c>
      <c r="AD71" s="245"/>
      <c r="AE71" s="245">
        <f t="shared" si="6"/>
        <v>995.51</v>
      </c>
      <c r="AF71" s="245">
        <f t="shared" si="7"/>
        <v>1500</v>
      </c>
      <c r="AG71" s="112">
        <f t="shared" si="8"/>
        <v>845.09</v>
      </c>
    </row>
    <row r="72" customHeight="1" spans="1:33">
      <c r="A72" s="242">
        <v>68</v>
      </c>
      <c r="B72" s="242" t="s">
        <v>169</v>
      </c>
      <c r="C72" s="243" t="s">
        <v>170</v>
      </c>
      <c r="D72" s="225">
        <v>95.42</v>
      </c>
      <c r="E72" s="225">
        <v>20.13</v>
      </c>
      <c r="F72" s="225">
        <v>200</v>
      </c>
      <c r="G72" s="225">
        <v>30.47</v>
      </c>
      <c r="H72" s="245"/>
      <c r="I72" s="245">
        <v>17.41</v>
      </c>
      <c r="J72" s="245"/>
      <c r="K72" s="244">
        <v>28.84</v>
      </c>
      <c r="L72" s="245"/>
      <c r="M72" s="245">
        <v>39.85</v>
      </c>
      <c r="N72" s="245"/>
      <c r="O72" s="245">
        <v>22.42</v>
      </c>
      <c r="P72" s="245">
        <v>198</v>
      </c>
      <c r="Q72" s="245">
        <v>58.67</v>
      </c>
      <c r="R72" s="245"/>
      <c r="S72" s="244">
        <v>78.67</v>
      </c>
      <c r="T72" s="244">
        <v>33.84</v>
      </c>
      <c r="U72" s="245">
        <v>310</v>
      </c>
      <c r="V72" s="245">
        <v>190</v>
      </c>
      <c r="W72" s="245">
        <v>50.8</v>
      </c>
      <c r="X72" s="245"/>
      <c r="Y72" s="245">
        <v>42.8</v>
      </c>
      <c r="Z72" s="245"/>
      <c r="AA72" s="245">
        <v>44.07</v>
      </c>
      <c r="AB72" s="245"/>
      <c r="AC72" s="245">
        <v>39.72</v>
      </c>
      <c r="AD72" s="245"/>
      <c r="AE72" s="245">
        <f t="shared" si="6"/>
        <v>507.69</v>
      </c>
      <c r="AF72" s="245">
        <f t="shared" si="7"/>
        <v>708</v>
      </c>
      <c r="AG72" s="112">
        <f t="shared" si="8"/>
        <v>295.73</v>
      </c>
    </row>
    <row r="73" customHeight="1" spans="1:33">
      <c r="A73" s="242">
        <v>69</v>
      </c>
      <c r="B73" s="242" t="s">
        <v>171</v>
      </c>
      <c r="C73" s="243" t="s">
        <v>172</v>
      </c>
      <c r="D73" s="225">
        <v>142.91</v>
      </c>
      <c r="E73" s="225">
        <v>458.68</v>
      </c>
      <c r="F73" s="225">
        <v>3000</v>
      </c>
      <c r="G73" s="225">
        <v>507.1</v>
      </c>
      <c r="H73" s="245"/>
      <c r="I73" s="245">
        <v>250.83</v>
      </c>
      <c r="J73" s="245"/>
      <c r="K73" s="244">
        <v>189.35</v>
      </c>
      <c r="L73" s="245"/>
      <c r="M73" s="245">
        <v>228.86</v>
      </c>
      <c r="N73" s="245"/>
      <c r="O73" s="245">
        <v>175.43</v>
      </c>
      <c r="P73" s="245"/>
      <c r="Q73" s="245">
        <v>417.49</v>
      </c>
      <c r="R73" s="245"/>
      <c r="S73" s="244">
        <v>421.31</v>
      </c>
      <c r="T73" s="244">
        <v>243.43</v>
      </c>
      <c r="U73" s="245"/>
      <c r="V73" s="245">
        <v>205</v>
      </c>
      <c r="W73" s="245">
        <v>422</v>
      </c>
      <c r="X73" s="245"/>
      <c r="Y73" s="245">
        <v>232.58</v>
      </c>
      <c r="Z73" s="245">
        <v>1000</v>
      </c>
      <c r="AA73" s="245">
        <v>169.22</v>
      </c>
      <c r="AB73" s="245"/>
      <c r="AC73" s="245">
        <v>202.95</v>
      </c>
      <c r="AD73" s="245"/>
      <c r="AE73" s="245">
        <f t="shared" si="6"/>
        <v>3919.23</v>
      </c>
      <c r="AF73" s="245">
        <f t="shared" si="7"/>
        <v>4000</v>
      </c>
      <c r="AG73" s="112">
        <f t="shared" si="8"/>
        <v>223.680000000001</v>
      </c>
    </row>
    <row r="74" customHeight="1" spans="1:33">
      <c r="A74" s="242">
        <v>70</v>
      </c>
      <c r="B74" s="242" t="s">
        <v>173</v>
      </c>
      <c r="C74" s="243" t="s">
        <v>174</v>
      </c>
      <c r="D74" s="225">
        <v>733.08</v>
      </c>
      <c r="E74" s="225">
        <v>242.67</v>
      </c>
      <c r="F74" s="225"/>
      <c r="G74" s="225">
        <v>262.8</v>
      </c>
      <c r="H74" s="245"/>
      <c r="I74" s="245">
        <v>181.73</v>
      </c>
      <c r="J74" s="245">
        <v>500</v>
      </c>
      <c r="K74" s="244">
        <v>140.92</v>
      </c>
      <c r="L74" s="245"/>
      <c r="M74" s="245">
        <v>130.37</v>
      </c>
      <c r="N74" s="245"/>
      <c r="O74" s="245">
        <v>70.06</v>
      </c>
      <c r="P74" s="245">
        <v>500</v>
      </c>
      <c r="Q74" s="245">
        <v>172.64</v>
      </c>
      <c r="R74" s="245"/>
      <c r="S74" s="244">
        <v>169.57</v>
      </c>
      <c r="T74" s="244">
        <v>36.74</v>
      </c>
      <c r="U74" s="245">
        <v>400</v>
      </c>
      <c r="V74" s="245">
        <v>95</v>
      </c>
      <c r="W74" s="245">
        <v>182.42</v>
      </c>
      <c r="X74" s="245"/>
      <c r="Y74" s="245">
        <v>110.94</v>
      </c>
      <c r="Z74" s="245"/>
      <c r="AA74" s="245">
        <v>119.7</v>
      </c>
      <c r="AB74" s="245"/>
      <c r="AC74" s="245">
        <v>189.35</v>
      </c>
      <c r="AD74" s="245">
        <v>300</v>
      </c>
      <c r="AE74" s="245">
        <f t="shared" si="6"/>
        <v>2009.91</v>
      </c>
      <c r="AF74" s="245">
        <f t="shared" si="7"/>
        <v>1700</v>
      </c>
      <c r="AG74" s="112">
        <f t="shared" si="8"/>
        <v>423.17</v>
      </c>
    </row>
    <row r="75" customHeight="1" spans="1:33">
      <c r="A75" s="242">
        <v>71</v>
      </c>
      <c r="B75" s="242" t="s">
        <v>175</v>
      </c>
      <c r="C75" s="243" t="s">
        <v>176</v>
      </c>
      <c r="D75" s="225">
        <v>402.32</v>
      </c>
      <c r="E75" s="225">
        <v>174.66</v>
      </c>
      <c r="F75" s="225">
        <v>76</v>
      </c>
      <c r="G75" s="225">
        <v>224.71</v>
      </c>
      <c r="H75" s="245"/>
      <c r="I75" s="245">
        <v>121.88</v>
      </c>
      <c r="J75" s="245"/>
      <c r="K75" s="244">
        <v>125.14</v>
      </c>
      <c r="L75" s="245">
        <f>300+300</f>
        <v>600</v>
      </c>
      <c r="M75" s="245">
        <v>105.89</v>
      </c>
      <c r="N75" s="245">
        <v>100</v>
      </c>
      <c r="O75" s="245">
        <v>72.3</v>
      </c>
      <c r="P75" s="245"/>
      <c r="Q75" s="245">
        <v>111.71</v>
      </c>
      <c r="R75" s="245">
        <v>500</v>
      </c>
      <c r="S75" s="244">
        <v>172.49</v>
      </c>
      <c r="T75" s="244">
        <v>146.28</v>
      </c>
      <c r="U75" s="245">
        <v>285</v>
      </c>
      <c r="V75" s="245">
        <v>215</v>
      </c>
      <c r="W75" s="245">
        <v>180.11</v>
      </c>
      <c r="X75" s="245"/>
      <c r="Y75" s="245">
        <v>92.36</v>
      </c>
      <c r="Z75" s="245">
        <v>500</v>
      </c>
      <c r="AA75" s="245">
        <v>120.25</v>
      </c>
      <c r="AB75" s="245"/>
      <c r="AC75" s="245">
        <v>115.89</v>
      </c>
      <c r="AD75" s="245"/>
      <c r="AE75" s="245">
        <f t="shared" si="6"/>
        <v>1763.67</v>
      </c>
      <c r="AF75" s="245">
        <f t="shared" si="7"/>
        <v>2061</v>
      </c>
      <c r="AG75" s="112">
        <f t="shared" si="8"/>
        <v>699.65</v>
      </c>
    </row>
    <row r="76" customHeight="1" spans="1:33">
      <c r="A76" s="242">
        <v>72</v>
      </c>
      <c r="B76" s="242" t="s">
        <v>177</v>
      </c>
      <c r="C76" s="243" t="s">
        <v>178</v>
      </c>
      <c r="D76" s="225">
        <v>409.78</v>
      </c>
      <c r="E76" s="225">
        <v>214.92</v>
      </c>
      <c r="F76" s="225"/>
      <c r="G76" s="225">
        <v>217.64</v>
      </c>
      <c r="H76" s="245"/>
      <c r="I76" s="245">
        <v>173.02</v>
      </c>
      <c r="J76" s="245">
        <v>1000</v>
      </c>
      <c r="K76" s="244">
        <v>179.55</v>
      </c>
      <c r="L76" s="245"/>
      <c r="M76" s="245">
        <v>186.73</v>
      </c>
      <c r="N76" s="245"/>
      <c r="O76" s="245">
        <v>117.7</v>
      </c>
      <c r="P76" s="245">
        <v>1000</v>
      </c>
      <c r="Q76" s="245">
        <v>272.5</v>
      </c>
      <c r="R76" s="245"/>
      <c r="S76" s="244">
        <v>229.6</v>
      </c>
      <c r="T76" s="244">
        <v>108.24</v>
      </c>
      <c r="U76" s="245"/>
      <c r="V76" s="245"/>
      <c r="W76" s="245">
        <v>286.91</v>
      </c>
      <c r="X76" s="245"/>
      <c r="Y76" s="245">
        <v>184.15</v>
      </c>
      <c r="Z76" s="245">
        <v>1000</v>
      </c>
      <c r="AA76" s="245">
        <v>161.6</v>
      </c>
      <c r="AB76" s="245"/>
      <c r="AC76" s="245">
        <v>144.19</v>
      </c>
      <c r="AD76" s="245"/>
      <c r="AE76" s="245">
        <f t="shared" si="6"/>
        <v>2476.75</v>
      </c>
      <c r="AF76" s="245">
        <f t="shared" si="7"/>
        <v>3000</v>
      </c>
      <c r="AG76" s="112">
        <f t="shared" si="8"/>
        <v>933.03</v>
      </c>
    </row>
    <row r="77" customHeight="1" spans="1:33">
      <c r="A77" s="242">
        <v>73</v>
      </c>
      <c r="B77" s="242" t="s">
        <v>179</v>
      </c>
      <c r="C77" s="243" t="s">
        <v>180</v>
      </c>
      <c r="D77" s="225">
        <v>755.82</v>
      </c>
      <c r="E77" s="225">
        <v>176.29</v>
      </c>
      <c r="F77" s="225"/>
      <c r="G77" s="225">
        <v>176.83</v>
      </c>
      <c r="H77" s="245"/>
      <c r="I77" s="245">
        <v>154.52</v>
      </c>
      <c r="J77" s="245"/>
      <c r="K77" s="244">
        <v>182.82</v>
      </c>
      <c r="L77" s="245">
        <v>1000</v>
      </c>
      <c r="M77" s="245">
        <v>165.66</v>
      </c>
      <c r="N77" s="245"/>
      <c r="O77" s="245">
        <v>158.61</v>
      </c>
      <c r="P77" s="245"/>
      <c r="Q77" s="245">
        <v>318.76</v>
      </c>
      <c r="R77" s="245"/>
      <c r="S77" s="244">
        <v>236.59</v>
      </c>
      <c r="T77" s="244">
        <v>93.77</v>
      </c>
      <c r="U77" s="245">
        <v>1000</v>
      </c>
      <c r="V77" s="245"/>
      <c r="W77" s="245">
        <v>216.48</v>
      </c>
      <c r="X77" s="245"/>
      <c r="Y77" s="245">
        <v>155.43</v>
      </c>
      <c r="Z77" s="245"/>
      <c r="AA77" s="245">
        <v>176.83</v>
      </c>
      <c r="AB77" s="245"/>
      <c r="AC77" s="245">
        <v>184.99</v>
      </c>
      <c r="AD77" s="245"/>
      <c r="AE77" s="245">
        <f t="shared" si="6"/>
        <v>2397.58</v>
      </c>
      <c r="AF77" s="245">
        <f t="shared" si="7"/>
        <v>2000</v>
      </c>
      <c r="AG77" s="112">
        <f t="shared" si="8"/>
        <v>358.24</v>
      </c>
    </row>
    <row r="78" customHeight="1" spans="1:33">
      <c r="A78" s="242">
        <v>74</v>
      </c>
      <c r="B78" s="242" t="s">
        <v>181</v>
      </c>
      <c r="C78" s="243" t="s">
        <v>182</v>
      </c>
      <c r="D78" s="225">
        <v>298.91</v>
      </c>
      <c r="E78" s="225"/>
      <c r="F78" s="225"/>
      <c r="G78" s="225"/>
      <c r="H78" s="245"/>
      <c r="I78" s="245"/>
      <c r="J78" s="245"/>
      <c r="K78" s="244"/>
      <c r="L78" s="245"/>
      <c r="M78" s="245"/>
      <c r="N78" s="245"/>
      <c r="O78" s="245"/>
      <c r="P78" s="245"/>
      <c r="Q78" s="245"/>
      <c r="R78" s="245"/>
      <c r="S78" s="244"/>
      <c r="T78" s="244">
        <v>0.03</v>
      </c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  <c r="AE78" s="245">
        <f t="shared" si="6"/>
        <v>0.03</v>
      </c>
      <c r="AF78" s="245">
        <f t="shared" si="7"/>
        <v>0</v>
      </c>
      <c r="AG78" s="112">
        <f t="shared" si="8"/>
        <v>298.88</v>
      </c>
    </row>
    <row r="79" s="239" customFormat="1" customHeight="1" spans="1:33">
      <c r="A79" s="242">
        <v>75</v>
      </c>
      <c r="B79" s="242" t="s">
        <v>183</v>
      </c>
      <c r="C79" s="243" t="s">
        <v>184</v>
      </c>
      <c r="D79" s="225">
        <v>680.56</v>
      </c>
      <c r="E79" s="225">
        <v>291.09</v>
      </c>
      <c r="F79" s="225"/>
      <c r="G79" s="225">
        <v>315.58</v>
      </c>
      <c r="H79" s="245"/>
      <c r="I79" s="245">
        <v>246.48</v>
      </c>
      <c r="J79" s="245">
        <v>1000</v>
      </c>
      <c r="K79" s="244">
        <v>262.26</v>
      </c>
      <c r="L79" s="245"/>
      <c r="M79" s="245">
        <v>226.58</v>
      </c>
      <c r="N79" s="245"/>
      <c r="O79" s="245">
        <v>154.13</v>
      </c>
      <c r="P79" s="245">
        <f>1000+112</f>
        <v>1112</v>
      </c>
      <c r="Q79" s="245">
        <v>266.86</v>
      </c>
      <c r="R79" s="245"/>
      <c r="S79" s="244">
        <v>298.36</v>
      </c>
      <c r="T79" s="244">
        <v>202.28</v>
      </c>
      <c r="U79" s="245"/>
      <c r="V79" s="245"/>
      <c r="W79" s="245">
        <v>330.79</v>
      </c>
      <c r="X79" s="245">
        <v>1000</v>
      </c>
      <c r="Y79" s="245">
        <v>206.11</v>
      </c>
      <c r="Z79" s="245"/>
      <c r="AA79" s="245">
        <v>162.14</v>
      </c>
      <c r="AB79" s="245"/>
      <c r="AC79" s="245">
        <v>212.74</v>
      </c>
      <c r="AD79" s="245"/>
      <c r="AE79" s="245">
        <f t="shared" si="6"/>
        <v>3175.4</v>
      </c>
      <c r="AF79" s="245">
        <f t="shared" si="7"/>
        <v>3112</v>
      </c>
      <c r="AG79" s="112">
        <f t="shared" si="8"/>
        <v>617.16</v>
      </c>
    </row>
    <row r="80" customHeight="1" spans="1:33">
      <c r="A80" s="242">
        <v>76</v>
      </c>
      <c r="B80" s="242" t="s">
        <v>185</v>
      </c>
      <c r="C80" s="243" t="s">
        <v>186</v>
      </c>
      <c r="D80" s="225">
        <v>570.36</v>
      </c>
      <c r="E80" s="225">
        <v>54.95</v>
      </c>
      <c r="F80" s="225"/>
      <c r="G80" s="225">
        <v>59.85</v>
      </c>
      <c r="H80" s="245">
        <v>500</v>
      </c>
      <c r="I80" s="245">
        <v>44.07</v>
      </c>
      <c r="J80" s="245"/>
      <c r="K80" s="244">
        <v>46.79</v>
      </c>
      <c r="L80" s="245"/>
      <c r="M80" s="245">
        <v>42.7</v>
      </c>
      <c r="N80" s="245"/>
      <c r="O80" s="245">
        <v>31.95</v>
      </c>
      <c r="P80" s="245"/>
      <c r="Q80" s="245">
        <v>54.16</v>
      </c>
      <c r="R80" s="245"/>
      <c r="S80" s="244">
        <v>81</v>
      </c>
      <c r="T80" s="244">
        <v>37.99</v>
      </c>
      <c r="U80" s="245"/>
      <c r="V80" s="245">
        <v>160</v>
      </c>
      <c r="W80" s="245">
        <v>88.33</v>
      </c>
      <c r="X80" s="245"/>
      <c r="Y80" s="245">
        <v>45.05</v>
      </c>
      <c r="Z80" s="245"/>
      <c r="AA80" s="245">
        <v>54.95</v>
      </c>
      <c r="AB80" s="245"/>
      <c r="AC80" s="245">
        <v>57.13</v>
      </c>
      <c r="AD80" s="245"/>
      <c r="AE80" s="245">
        <f t="shared" si="6"/>
        <v>698.92</v>
      </c>
      <c r="AF80" s="245">
        <f t="shared" si="7"/>
        <v>500</v>
      </c>
      <c r="AG80" s="112">
        <f t="shared" si="8"/>
        <v>371.44</v>
      </c>
    </row>
    <row r="81" customHeight="1" spans="1:33">
      <c r="A81" s="242">
        <v>77</v>
      </c>
      <c r="B81" s="242" t="s">
        <v>187</v>
      </c>
      <c r="C81" s="247" t="s">
        <v>188</v>
      </c>
      <c r="D81" s="225">
        <v>299.55</v>
      </c>
      <c r="E81" s="225">
        <v>273.14</v>
      </c>
      <c r="F81" s="225">
        <v>50</v>
      </c>
      <c r="G81" s="225">
        <v>361.28</v>
      </c>
      <c r="H81" s="245"/>
      <c r="I81" s="245">
        <v>194.24</v>
      </c>
      <c r="J81" s="245"/>
      <c r="K81" s="244">
        <v>198.6</v>
      </c>
      <c r="L81" s="245">
        <v>700</v>
      </c>
      <c r="M81" s="245">
        <v>170.79</v>
      </c>
      <c r="N81" s="245"/>
      <c r="O81" s="245">
        <v>122.74</v>
      </c>
      <c r="P81" s="245"/>
      <c r="Q81" s="245">
        <v>-381.95</v>
      </c>
      <c r="R81" s="245">
        <v>600</v>
      </c>
      <c r="S81" s="244">
        <v>239.5</v>
      </c>
      <c r="T81" s="244">
        <v>226.85</v>
      </c>
      <c r="U81" s="245"/>
      <c r="V81" s="245"/>
      <c r="W81" s="245">
        <v>262.09</v>
      </c>
      <c r="X81" s="245">
        <v>500</v>
      </c>
      <c r="Y81" s="245">
        <v>149.8</v>
      </c>
      <c r="Z81" s="245">
        <v>100</v>
      </c>
      <c r="AA81" s="245">
        <v>192.07</v>
      </c>
      <c r="AB81" s="245"/>
      <c r="AC81" s="245">
        <v>217.1</v>
      </c>
      <c r="AD81" s="245">
        <v>800</v>
      </c>
      <c r="AE81" s="245">
        <f t="shared" si="6"/>
        <v>2226.25</v>
      </c>
      <c r="AF81" s="245">
        <f t="shared" si="7"/>
        <v>2750</v>
      </c>
      <c r="AG81" s="112">
        <f t="shared" si="8"/>
        <v>823.300000000001</v>
      </c>
    </row>
    <row r="82" customHeight="1" spans="1:33">
      <c r="A82" s="242">
        <v>78</v>
      </c>
      <c r="B82" s="242" t="s">
        <v>189</v>
      </c>
      <c r="C82" s="243" t="s">
        <v>190</v>
      </c>
      <c r="D82" s="225">
        <v>-383.3</v>
      </c>
      <c r="E82" s="225">
        <v>428.21</v>
      </c>
      <c r="F82" s="225">
        <v>600</v>
      </c>
      <c r="G82" s="225">
        <v>386.86</v>
      </c>
      <c r="H82" s="245">
        <v>800</v>
      </c>
      <c r="I82" s="245">
        <v>230.7</v>
      </c>
      <c r="J82" s="245"/>
      <c r="K82" s="244">
        <v>229.61</v>
      </c>
      <c r="L82" s="245"/>
      <c r="M82" s="245">
        <v>213.48</v>
      </c>
      <c r="N82" s="245">
        <v>450</v>
      </c>
      <c r="O82" s="245">
        <v>157.49</v>
      </c>
      <c r="P82" s="245">
        <f>111.15+400</f>
        <v>511.15</v>
      </c>
      <c r="Q82" s="245">
        <v>310.86</v>
      </c>
      <c r="R82" s="245">
        <v>300</v>
      </c>
      <c r="S82" s="244">
        <v>421.31</v>
      </c>
      <c r="T82" s="244">
        <v>199.92</v>
      </c>
      <c r="U82" s="245">
        <v>600</v>
      </c>
      <c r="V82" s="245">
        <v>160</v>
      </c>
      <c r="W82" s="245">
        <v>372.35</v>
      </c>
      <c r="X82" s="245"/>
      <c r="Y82" s="245">
        <v>171.76</v>
      </c>
      <c r="Z82" s="245"/>
      <c r="AA82" s="245">
        <v>208.93</v>
      </c>
      <c r="AB82" s="245">
        <v>800</v>
      </c>
      <c r="AC82" s="245">
        <v>232.87</v>
      </c>
      <c r="AD82" s="245"/>
      <c r="AE82" s="245">
        <f t="shared" si="6"/>
        <v>3564.35</v>
      </c>
      <c r="AF82" s="245">
        <f t="shared" si="7"/>
        <v>4061.15</v>
      </c>
      <c r="AG82" s="112">
        <f t="shared" si="8"/>
        <v>113.5</v>
      </c>
    </row>
    <row r="83" s="240" customFormat="1" customHeight="1" spans="1:33">
      <c r="A83" s="248">
        <v>79</v>
      </c>
      <c r="B83" s="248" t="s">
        <v>191</v>
      </c>
      <c r="C83" s="249" t="s">
        <v>192</v>
      </c>
      <c r="D83" s="248">
        <v>-249.35</v>
      </c>
      <c r="E83" s="248">
        <v>212.2</v>
      </c>
      <c r="F83" s="248">
        <v>403.17</v>
      </c>
      <c r="G83" s="248">
        <v>207.85</v>
      </c>
      <c r="H83" s="250"/>
      <c r="I83" s="250">
        <v>123.51</v>
      </c>
      <c r="J83" s="250"/>
      <c r="K83" s="251">
        <v>144.73</v>
      </c>
      <c r="L83" s="250">
        <v>544</v>
      </c>
      <c r="M83" s="250">
        <v>120.12</v>
      </c>
      <c r="N83" s="250">
        <v>200</v>
      </c>
      <c r="O83" s="250">
        <v>101.44</v>
      </c>
      <c r="P83" s="250">
        <f>200+411.15</f>
        <v>611.15</v>
      </c>
      <c r="Q83" s="250">
        <v>200.28</v>
      </c>
      <c r="R83" s="250"/>
      <c r="S83" s="251">
        <v>169.57</v>
      </c>
      <c r="T83" s="244">
        <v>97.94</v>
      </c>
      <c r="U83" s="250">
        <v>300</v>
      </c>
      <c r="V83" s="250"/>
      <c r="W83" s="250">
        <v>223.41</v>
      </c>
      <c r="X83" s="250"/>
      <c r="Y83" s="250">
        <v>157.12</v>
      </c>
      <c r="Z83" s="250"/>
      <c r="AA83" s="250">
        <v>155.07</v>
      </c>
      <c r="AB83" s="250">
        <v>400</v>
      </c>
      <c r="AC83" s="250">
        <v>142.55</v>
      </c>
      <c r="AD83" s="250"/>
      <c r="AE83" s="245">
        <f t="shared" si="6"/>
        <v>2055.79</v>
      </c>
      <c r="AF83" s="245">
        <f t="shared" si="7"/>
        <v>2458.32</v>
      </c>
      <c r="AG83" s="112">
        <f t="shared" si="8"/>
        <v>153.18</v>
      </c>
    </row>
    <row r="84" customHeight="1" spans="1:33">
      <c r="A84" s="242">
        <v>80</v>
      </c>
      <c r="B84" s="242" t="s">
        <v>193</v>
      </c>
      <c r="C84" s="243" t="s">
        <v>194</v>
      </c>
      <c r="D84" s="225">
        <v>300</v>
      </c>
      <c r="E84" s="225"/>
      <c r="F84" s="225"/>
      <c r="G84" s="225"/>
      <c r="H84" s="245"/>
      <c r="I84" s="245">
        <v>0</v>
      </c>
      <c r="J84" s="245"/>
      <c r="K84" s="252"/>
      <c r="L84" s="245"/>
      <c r="M84" s="245"/>
      <c r="N84" s="245"/>
      <c r="O84" s="245"/>
      <c r="P84" s="245"/>
      <c r="Q84" s="245"/>
      <c r="R84" s="245"/>
      <c r="S84" s="252"/>
      <c r="T84" s="244"/>
      <c r="U84" s="245"/>
      <c r="V84" s="245"/>
      <c r="W84" s="245"/>
      <c r="X84" s="245"/>
      <c r="Y84" s="245"/>
      <c r="Z84" s="245"/>
      <c r="AA84" s="245"/>
      <c r="AB84" s="245"/>
      <c r="AC84" s="245">
        <v>9.25</v>
      </c>
      <c r="AD84" s="245"/>
      <c r="AE84" s="245">
        <f t="shared" si="6"/>
        <v>9.25</v>
      </c>
      <c r="AF84" s="245">
        <f t="shared" si="7"/>
        <v>0</v>
      </c>
      <c r="AG84" s="112">
        <f t="shared" si="8"/>
        <v>290.75</v>
      </c>
    </row>
    <row r="85" customHeight="1" spans="1:33">
      <c r="A85" s="242">
        <v>81</v>
      </c>
      <c r="B85" s="242" t="s">
        <v>195</v>
      </c>
      <c r="C85" s="243" t="s">
        <v>196</v>
      </c>
      <c r="D85" s="225">
        <v>840.25</v>
      </c>
      <c r="E85" s="225">
        <v>24.48</v>
      </c>
      <c r="F85" s="225"/>
      <c r="G85" s="225">
        <v>13.06</v>
      </c>
      <c r="H85" s="245"/>
      <c r="I85" s="245">
        <v>44.07</v>
      </c>
      <c r="J85" s="245"/>
      <c r="K85" s="252"/>
      <c r="L85" s="245"/>
      <c r="M85" s="245">
        <v>31.88</v>
      </c>
      <c r="N85" s="245"/>
      <c r="O85" s="245">
        <v>20.74</v>
      </c>
      <c r="P85" s="245"/>
      <c r="Q85" s="245">
        <v>34.98</v>
      </c>
      <c r="R85" s="245">
        <v>3000</v>
      </c>
      <c r="S85" s="252">
        <v>44.87</v>
      </c>
      <c r="T85" s="244">
        <v>25.78</v>
      </c>
      <c r="U85" s="245"/>
      <c r="V85" s="245"/>
      <c r="W85" s="245">
        <v>178.96</v>
      </c>
      <c r="X85" s="245"/>
      <c r="Y85" s="245">
        <v>134.03</v>
      </c>
      <c r="Z85" s="245"/>
      <c r="AA85" s="245">
        <v>168.13</v>
      </c>
      <c r="AB85" s="245"/>
      <c r="AC85" s="245">
        <v>162.69</v>
      </c>
      <c r="AD85" s="245"/>
      <c r="AE85" s="245">
        <f t="shared" si="6"/>
        <v>883.67</v>
      </c>
      <c r="AF85" s="245">
        <f t="shared" si="7"/>
        <v>3000</v>
      </c>
      <c r="AG85" s="112">
        <f t="shared" si="8"/>
        <v>2956.58</v>
      </c>
    </row>
    <row r="86" customHeight="1" spans="1:33">
      <c r="A86" s="242">
        <v>82</v>
      </c>
      <c r="B86" s="242" t="s">
        <v>197</v>
      </c>
      <c r="C86" s="243" t="s">
        <v>198</v>
      </c>
      <c r="D86" s="225">
        <v>438.63</v>
      </c>
      <c r="E86" s="225">
        <v>269.87</v>
      </c>
      <c r="F86" s="225"/>
      <c r="G86" s="225">
        <v>257.9</v>
      </c>
      <c r="H86" s="245">
        <v>200</v>
      </c>
      <c r="I86" s="245">
        <v>171.93</v>
      </c>
      <c r="J86" s="245">
        <v>500</v>
      </c>
      <c r="K86" s="252">
        <v>155.07</v>
      </c>
      <c r="L86" s="245"/>
      <c r="M86" s="245">
        <v>139.48</v>
      </c>
      <c r="N86" s="245"/>
      <c r="O86" s="245">
        <v>81.83</v>
      </c>
      <c r="P86" s="245">
        <v>500</v>
      </c>
      <c r="Q86" s="245">
        <v>134.27</v>
      </c>
      <c r="R86" s="245"/>
      <c r="S86" s="252">
        <v>128.2</v>
      </c>
      <c r="T86" s="244">
        <v>93.2</v>
      </c>
      <c r="U86" s="245">
        <v>300</v>
      </c>
      <c r="V86" s="245"/>
      <c r="W86" s="245">
        <v>169.72</v>
      </c>
      <c r="X86" s="245"/>
      <c r="Y86" s="245">
        <v>118.82</v>
      </c>
      <c r="Z86" s="245"/>
      <c r="AA86" s="245">
        <v>142.01</v>
      </c>
      <c r="AB86" s="245">
        <v>500</v>
      </c>
      <c r="AC86" s="245">
        <v>188.8</v>
      </c>
      <c r="AD86" s="245"/>
      <c r="AE86" s="245">
        <f t="shared" si="6"/>
        <v>2051.1</v>
      </c>
      <c r="AF86" s="245">
        <f t="shared" si="7"/>
        <v>2000</v>
      </c>
      <c r="AG86" s="112">
        <f t="shared" si="8"/>
        <v>387.53</v>
      </c>
    </row>
    <row r="87" customHeight="1" spans="1:33">
      <c r="A87" s="242">
        <v>83</v>
      </c>
      <c r="B87" s="242" t="s">
        <v>199</v>
      </c>
      <c r="C87" s="243" t="s">
        <v>200</v>
      </c>
      <c r="D87" s="225">
        <v>379.67</v>
      </c>
      <c r="E87" s="225">
        <v>109.36</v>
      </c>
      <c r="F87" s="225"/>
      <c r="G87" s="225">
        <v>57.13</v>
      </c>
      <c r="H87" s="245"/>
      <c r="I87" s="245">
        <v>112.08</v>
      </c>
      <c r="J87" s="245"/>
      <c r="K87" s="252">
        <v>75.63</v>
      </c>
      <c r="L87" s="245">
        <v>500</v>
      </c>
      <c r="M87" s="245">
        <v>85.39</v>
      </c>
      <c r="N87" s="245"/>
      <c r="O87" s="245">
        <v>56.61</v>
      </c>
      <c r="P87" s="245">
        <v>111.15</v>
      </c>
      <c r="Q87" s="252">
        <v>119.04</v>
      </c>
      <c r="R87" s="245"/>
      <c r="S87" s="252">
        <v>122.96</v>
      </c>
      <c r="T87" s="244">
        <v>70.21</v>
      </c>
      <c r="U87" s="245">
        <v>500</v>
      </c>
      <c r="V87" s="245"/>
      <c r="W87" s="245">
        <v>80.82</v>
      </c>
      <c r="X87" s="245"/>
      <c r="Y87" s="245">
        <v>77.71</v>
      </c>
      <c r="Z87" s="245"/>
      <c r="AA87" s="245">
        <v>89.78</v>
      </c>
      <c r="AB87" s="245"/>
      <c r="AC87" s="245">
        <v>83.79</v>
      </c>
      <c r="AD87" s="245"/>
      <c r="AE87" s="245">
        <f t="shared" si="6"/>
        <v>1140.51</v>
      </c>
      <c r="AF87" s="245">
        <f t="shared" si="7"/>
        <v>1111.15</v>
      </c>
      <c r="AG87" s="112">
        <f t="shared" si="8"/>
        <v>350.31</v>
      </c>
    </row>
    <row r="88" customHeight="1" spans="1:33">
      <c r="A88" s="242">
        <v>84</v>
      </c>
      <c r="B88" s="242" t="s">
        <v>201</v>
      </c>
      <c r="C88" s="243" t="s">
        <v>202</v>
      </c>
      <c r="D88" s="225">
        <v>802.94</v>
      </c>
      <c r="E88" s="225">
        <v>334.62</v>
      </c>
      <c r="F88" s="225"/>
      <c r="G88" s="225">
        <v>321.02</v>
      </c>
      <c r="H88" s="245"/>
      <c r="I88" s="245">
        <v>198.59</v>
      </c>
      <c r="J88" s="245">
        <v>1000</v>
      </c>
      <c r="K88" s="252">
        <v>184.45</v>
      </c>
      <c r="L88" s="245"/>
      <c r="M88" s="245">
        <v>202.1</v>
      </c>
      <c r="N88" s="245"/>
      <c r="O88" s="245">
        <v>140.12</v>
      </c>
      <c r="P88" s="245"/>
      <c r="Q88" s="252">
        <v>216.08</v>
      </c>
      <c r="R88" s="245">
        <v>1000</v>
      </c>
      <c r="S88" s="252">
        <v>223.19</v>
      </c>
      <c r="T88" s="244">
        <v>109.31</v>
      </c>
      <c r="U88" s="245"/>
      <c r="V88" s="245"/>
      <c r="W88" s="245">
        <v>230.92</v>
      </c>
      <c r="X88" s="245"/>
      <c r="Y88" s="245">
        <v>178.52</v>
      </c>
      <c r="Z88" s="245"/>
      <c r="AA88" s="245">
        <v>218.73</v>
      </c>
      <c r="AB88" s="245"/>
      <c r="AC88" s="245">
        <v>244.85</v>
      </c>
      <c r="AD88" s="245">
        <v>880</v>
      </c>
      <c r="AE88" s="245">
        <f t="shared" si="6"/>
        <v>2802.5</v>
      </c>
      <c r="AF88" s="245">
        <f t="shared" si="7"/>
        <v>2880</v>
      </c>
      <c r="AG88" s="112">
        <f t="shared" si="8"/>
        <v>880.44</v>
      </c>
    </row>
    <row r="89" customHeight="1" spans="1:33">
      <c r="A89" s="242">
        <v>85</v>
      </c>
      <c r="B89" s="242" t="s">
        <v>203</v>
      </c>
      <c r="C89" s="243" t="s">
        <v>204</v>
      </c>
      <c r="D89" s="225">
        <v>326.12</v>
      </c>
      <c r="E89" s="225">
        <v>62.57</v>
      </c>
      <c r="F89" s="225"/>
      <c r="G89" s="225">
        <v>108.82</v>
      </c>
      <c r="H89" s="245"/>
      <c r="I89" s="245">
        <v>57.13</v>
      </c>
      <c r="J89" s="245"/>
      <c r="K89" s="252">
        <v>60.4</v>
      </c>
      <c r="L89" s="245">
        <v>1000</v>
      </c>
      <c r="M89" s="245">
        <v>49.53</v>
      </c>
      <c r="N89" s="245"/>
      <c r="O89" s="245">
        <v>33.07</v>
      </c>
      <c r="P89" s="245"/>
      <c r="Q89" s="252">
        <v>63.75</v>
      </c>
      <c r="R89" s="245"/>
      <c r="S89" s="252">
        <v>69.93</v>
      </c>
      <c r="T89" s="244">
        <v>76.05</v>
      </c>
      <c r="U89" s="245"/>
      <c r="V89" s="245">
        <v>205</v>
      </c>
      <c r="W89" s="245">
        <v>68.12</v>
      </c>
      <c r="X89" s="245"/>
      <c r="Y89" s="245">
        <v>56.31</v>
      </c>
      <c r="Z89" s="245">
        <v>1205</v>
      </c>
      <c r="AA89" s="245">
        <v>62.57</v>
      </c>
      <c r="AB89" s="245"/>
      <c r="AC89" s="245">
        <v>63.12</v>
      </c>
      <c r="AD89" s="245"/>
      <c r="AE89" s="245">
        <f t="shared" si="6"/>
        <v>831.37</v>
      </c>
      <c r="AF89" s="245">
        <f t="shared" si="7"/>
        <v>2205</v>
      </c>
      <c r="AG89" s="112">
        <f t="shared" si="8"/>
        <v>1699.75</v>
      </c>
    </row>
    <row r="90" customHeight="1" spans="1:33">
      <c r="A90" s="242">
        <v>86</v>
      </c>
      <c r="B90" s="242" t="s">
        <v>205</v>
      </c>
      <c r="C90" s="243" t="s">
        <v>206</v>
      </c>
      <c r="D90" s="225">
        <v>633.3</v>
      </c>
      <c r="E90" s="225">
        <v>256.82</v>
      </c>
      <c r="F90" s="225"/>
      <c r="G90" s="225">
        <v>187.71</v>
      </c>
      <c r="H90" s="245"/>
      <c r="I90" s="245">
        <v>136.56</v>
      </c>
      <c r="J90" s="245"/>
      <c r="K90" s="252">
        <v>150.72</v>
      </c>
      <c r="L90" s="245">
        <v>1000</v>
      </c>
      <c r="M90" s="245">
        <v>138.91</v>
      </c>
      <c r="N90" s="245"/>
      <c r="O90" s="245">
        <v>85.19</v>
      </c>
      <c r="P90" s="245"/>
      <c r="Q90" s="252">
        <v>137.66</v>
      </c>
      <c r="R90" s="245"/>
      <c r="S90" s="252">
        <v>150.34</v>
      </c>
      <c r="T90" s="244">
        <v>145.35</v>
      </c>
      <c r="U90" s="245"/>
      <c r="V90" s="245"/>
      <c r="W90" s="245">
        <v>157.02</v>
      </c>
      <c r="X90" s="245">
        <v>1000</v>
      </c>
      <c r="Y90" s="245">
        <v>136.84</v>
      </c>
      <c r="Z90" s="245">
        <v>8.56</v>
      </c>
      <c r="AA90" s="245">
        <v>148</v>
      </c>
      <c r="AB90" s="245"/>
      <c r="AC90" s="245">
        <v>200.23</v>
      </c>
      <c r="AD90" s="245"/>
      <c r="AE90" s="245">
        <f t="shared" si="6"/>
        <v>2031.35</v>
      </c>
      <c r="AF90" s="245">
        <f t="shared" si="7"/>
        <v>2008.56</v>
      </c>
      <c r="AG90" s="112">
        <f t="shared" si="8"/>
        <v>610.51</v>
      </c>
    </row>
    <row r="91" customHeight="1" spans="1:33">
      <c r="A91" s="242">
        <v>87</v>
      </c>
      <c r="B91" s="242" t="s">
        <v>207</v>
      </c>
      <c r="C91" s="243" t="s">
        <v>208</v>
      </c>
      <c r="D91" s="225">
        <v>841.73</v>
      </c>
      <c r="E91" s="225">
        <v>132.22</v>
      </c>
      <c r="F91" s="225"/>
      <c r="G91" s="225">
        <v>109.91</v>
      </c>
      <c r="H91" s="245"/>
      <c r="I91" s="245">
        <v>99.57</v>
      </c>
      <c r="J91" s="245"/>
      <c r="K91" s="252">
        <v>79.44</v>
      </c>
      <c r="L91" s="245"/>
      <c r="M91" s="245">
        <v>92.79</v>
      </c>
      <c r="N91" s="245"/>
      <c r="O91" s="245">
        <v>86.31</v>
      </c>
      <c r="P91" s="245"/>
      <c r="Q91" s="252">
        <v>205.36</v>
      </c>
      <c r="R91" s="245">
        <v>2000</v>
      </c>
      <c r="S91" s="252">
        <v>219.69</v>
      </c>
      <c r="T91" s="244">
        <v>98.26</v>
      </c>
      <c r="U91" s="245"/>
      <c r="V91" s="245"/>
      <c r="W91" s="245">
        <v>236.11</v>
      </c>
      <c r="X91" s="245"/>
      <c r="Y91" s="245">
        <v>107.56</v>
      </c>
      <c r="Z91" s="245"/>
      <c r="AA91" s="245">
        <v>85.42</v>
      </c>
      <c r="AB91" s="245"/>
      <c r="AC91" s="245">
        <v>88.14</v>
      </c>
      <c r="AD91" s="245"/>
      <c r="AE91" s="245">
        <f t="shared" si="6"/>
        <v>1640.78</v>
      </c>
      <c r="AF91" s="245">
        <f t="shared" si="7"/>
        <v>2000</v>
      </c>
      <c r="AG91" s="112">
        <f t="shared" si="8"/>
        <v>1200.95</v>
      </c>
    </row>
    <row r="92" customHeight="1" spans="1:33">
      <c r="A92" s="242">
        <v>88</v>
      </c>
      <c r="B92" s="242" t="s">
        <v>209</v>
      </c>
      <c r="C92" s="243" t="s">
        <v>210</v>
      </c>
      <c r="D92" s="225">
        <v>29.2499999999999</v>
      </c>
      <c r="E92" s="225">
        <v>20.13</v>
      </c>
      <c r="F92" s="225">
        <v>500</v>
      </c>
      <c r="G92" s="225">
        <v>76.17</v>
      </c>
      <c r="H92" s="245"/>
      <c r="I92" s="245">
        <v>229.61</v>
      </c>
      <c r="J92" s="245"/>
      <c r="K92" s="252">
        <v>239.95</v>
      </c>
      <c r="L92" s="245"/>
      <c r="M92" s="245">
        <v>189.57</v>
      </c>
      <c r="N92" s="245">
        <v>300</v>
      </c>
      <c r="O92" s="245">
        <v>137.87</v>
      </c>
      <c r="P92" s="245">
        <v>500</v>
      </c>
      <c r="Q92" s="252">
        <v>288.86</v>
      </c>
      <c r="R92" s="245"/>
      <c r="S92" s="252">
        <v>309.43</v>
      </c>
      <c r="T92" s="244">
        <v>44.23</v>
      </c>
      <c r="U92" s="245">
        <f>500+500</f>
        <v>1000</v>
      </c>
      <c r="V92" s="245">
        <v>130</v>
      </c>
      <c r="W92" s="245">
        <v>245.93</v>
      </c>
      <c r="X92" s="245"/>
      <c r="Y92" s="245">
        <v>223</v>
      </c>
      <c r="Z92" s="245">
        <v>280</v>
      </c>
      <c r="AA92" s="245">
        <v>267.7</v>
      </c>
      <c r="AB92" s="245">
        <v>450</v>
      </c>
      <c r="AC92" s="245">
        <v>299.26</v>
      </c>
      <c r="AD92" s="245">
        <v>700</v>
      </c>
      <c r="AE92" s="245">
        <f t="shared" si="6"/>
        <v>2571.71</v>
      </c>
      <c r="AF92" s="245">
        <f t="shared" si="7"/>
        <v>3730</v>
      </c>
      <c r="AG92" s="112">
        <f t="shared" si="8"/>
        <v>1187.54</v>
      </c>
    </row>
    <row r="93" customHeight="1" spans="1:33">
      <c r="A93" s="242">
        <v>89</v>
      </c>
      <c r="B93" s="242" t="s">
        <v>211</v>
      </c>
      <c r="C93" s="243" t="s">
        <v>212</v>
      </c>
      <c r="D93" s="225">
        <v>239.28</v>
      </c>
      <c r="E93" s="225">
        <v>202.41</v>
      </c>
      <c r="F93" s="225"/>
      <c r="G93" s="225">
        <v>284.56</v>
      </c>
      <c r="H93" s="245">
        <v>500</v>
      </c>
      <c r="I93" s="245">
        <v>194.24</v>
      </c>
      <c r="J93" s="245"/>
      <c r="K93" s="252">
        <v>124.6</v>
      </c>
      <c r="L93" s="245">
        <v>300</v>
      </c>
      <c r="M93" s="245">
        <v>131.51</v>
      </c>
      <c r="N93" s="245">
        <v>500</v>
      </c>
      <c r="O93" s="245">
        <v>110.97</v>
      </c>
      <c r="P93" s="245"/>
      <c r="Q93" s="252">
        <v>177.72</v>
      </c>
      <c r="R93" s="245"/>
      <c r="S93" s="252">
        <v>207.45</v>
      </c>
      <c r="T93" s="244">
        <v>147.46</v>
      </c>
      <c r="U93" s="245">
        <v>500</v>
      </c>
      <c r="V93" s="245">
        <v>180</v>
      </c>
      <c r="W93" s="245">
        <v>236.69</v>
      </c>
      <c r="X93" s="245"/>
      <c r="Y93" s="245">
        <v>137.97</v>
      </c>
      <c r="Z93" s="245"/>
      <c r="AA93" s="245">
        <v>189.35</v>
      </c>
      <c r="AB93" s="245"/>
      <c r="AC93" s="245">
        <v>210.57</v>
      </c>
      <c r="AD93" s="245">
        <v>600</v>
      </c>
      <c r="AE93" s="245">
        <f t="shared" si="6"/>
        <v>2355.5</v>
      </c>
      <c r="AF93" s="245">
        <f t="shared" si="7"/>
        <v>2400</v>
      </c>
      <c r="AG93" s="112">
        <f t="shared" si="8"/>
        <v>283.779999999999</v>
      </c>
    </row>
    <row r="94" customHeight="1" spans="1:33">
      <c r="A94" s="242">
        <v>90</v>
      </c>
      <c r="B94" s="242" t="s">
        <v>213</v>
      </c>
      <c r="C94" s="243" t="s">
        <v>214</v>
      </c>
      <c r="D94" s="225">
        <v>470.33</v>
      </c>
      <c r="E94" s="225">
        <v>286.2</v>
      </c>
      <c r="F94" s="225"/>
      <c r="G94" s="225">
        <v>247.57</v>
      </c>
      <c r="H94" s="245"/>
      <c r="I94" s="245">
        <v>173.02</v>
      </c>
      <c r="J94" s="245">
        <v>1000</v>
      </c>
      <c r="K94" s="252">
        <v>165.41</v>
      </c>
      <c r="L94" s="245"/>
      <c r="M94" s="245">
        <v>132.64</v>
      </c>
      <c r="N94" s="245"/>
      <c r="O94" s="245">
        <v>93.04</v>
      </c>
      <c r="P94" s="245"/>
      <c r="Q94" s="252">
        <v>186.74</v>
      </c>
      <c r="R94" s="245"/>
      <c r="S94" s="252">
        <v>216.78</v>
      </c>
      <c r="T94" s="244">
        <v>148.56</v>
      </c>
      <c r="U94" s="245">
        <v>900</v>
      </c>
      <c r="V94" s="245">
        <v>200</v>
      </c>
      <c r="W94" s="245">
        <v>213.02</v>
      </c>
      <c r="X94" s="245"/>
      <c r="Y94" s="245">
        <v>128.96</v>
      </c>
      <c r="Z94" s="245"/>
      <c r="AA94" s="245">
        <v>167.04</v>
      </c>
      <c r="AB94" s="245"/>
      <c r="AC94" s="245">
        <v>163.23</v>
      </c>
      <c r="AD94" s="245"/>
      <c r="AE94" s="245">
        <f t="shared" si="6"/>
        <v>2322.21</v>
      </c>
      <c r="AF94" s="245">
        <f t="shared" si="7"/>
        <v>1900</v>
      </c>
      <c r="AG94" s="112">
        <f t="shared" si="8"/>
        <v>48.1200000000003</v>
      </c>
    </row>
    <row r="95" customHeight="1" spans="1:33">
      <c r="A95" s="242">
        <v>91</v>
      </c>
      <c r="B95" s="242" t="s">
        <v>215</v>
      </c>
      <c r="C95" s="243" t="s">
        <v>216</v>
      </c>
      <c r="D95" s="225">
        <v>217.11</v>
      </c>
      <c r="E95" s="225">
        <v>210.02</v>
      </c>
      <c r="F95" s="225">
        <v>300</v>
      </c>
      <c r="G95" s="225">
        <v>153.98</v>
      </c>
      <c r="H95" s="245"/>
      <c r="I95" s="245">
        <v>122.42</v>
      </c>
      <c r="J95" s="245"/>
      <c r="K95" s="252">
        <v>105.01</v>
      </c>
      <c r="L95" s="245">
        <v>500</v>
      </c>
      <c r="M95" s="245">
        <v>90.52</v>
      </c>
      <c r="N95" s="245"/>
      <c r="O95" s="245">
        <v>73.42</v>
      </c>
      <c r="P95" s="245">
        <v>500</v>
      </c>
      <c r="Q95" s="252">
        <v>127.5</v>
      </c>
      <c r="R95" s="245">
        <v>111.15</v>
      </c>
      <c r="S95" s="252">
        <v>167.83</v>
      </c>
      <c r="T95" s="244">
        <v>139.21</v>
      </c>
      <c r="U95" s="245"/>
      <c r="V95" s="245">
        <v>215</v>
      </c>
      <c r="W95" s="245">
        <v>192.24</v>
      </c>
      <c r="X95" s="245"/>
      <c r="Y95" s="245">
        <v>110.94</v>
      </c>
      <c r="Z95" s="245">
        <v>500</v>
      </c>
      <c r="AA95" s="245">
        <v>136.03</v>
      </c>
      <c r="AB95" s="245"/>
      <c r="AC95" s="245">
        <v>163.23</v>
      </c>
      <c r="AD95" s="245"/>
      <c r="AE95" s="245">
        <f t="shared" si="6"/>
        <v>1792.35</v>
      </c>
      <c r="AF95" s="245">
        <f t="shared" si="7"/>
        <v>1911.15</v>
      </c>
      <c r="AG95" s="112">
        <f t="shared" si="8"/>
        <v>335.91</v>
      </c>
    </row>
    <row r="96" s="11" customFormat="1" customHeight="1" spans="1:33">
      <c r="A96" s="242">
        <v>92</v>
      </c>
      <c r="B96" s="242" t="s">
        <v>217</v>
      </c>
      <c r="C96" s="243" t="s">
        <v>218</v>
      </c>
      <c r="D96" s="225">
        <v>1610.22</v>
      </c>
      <c r="E96" s="225">
        <v>149.63</v>
      </c>
      <c r="F96" s="225"/>
      <c r="G96" s="225">
        <v>182.82</v>
      </c>
      <c r="H96" s="245"/>
      <c r="I96" s="245">
        <v>109.9</v>
      </c>
      <c r="J96" s="245"/>
      <c r="K96" s="252">
        <v>97.94</v>
      </c>
      <c r="L96" s="245"/>
      <c r="M96" s="245">
        <v>97.35</v>
      </c>
      <c r="N96" s="245"/>
      <c r="O96" s="245">
        <v>62.21</v>
      </c>
      <c r="P96" s="245"/>
      <c r="Q96" s="252">
        <v>97.04</v>
      </c>
      <c r="R96" s="245"/>
      <c r="S96" s="252">
        <v>178.9</v>
      </c>
      <c r="T96" s="244">
        <v>109.12</v>
      </c>
      <c r="U96" s="245"/>
      <c r="V96" s="245">
        <v>190</v>
      </c>
      <c r="W96" s="245">
        <v>215.33</v>
      </c>
      <c r="X96" s="245"/>
      <c r="Y96" s="245">
        <v>86.16</v>
      </c>
      <c r="Z96" s="245"/>
      <c r="AA96" s="245">
        <v>100.66</v>
      </c>
      <c r="AB96" s="245"/>
      <c r="AC96" s="245">
        <v>104.47</v>
      </c>
      <c r="AD96" s="245">
        <v>1000</v>
      </c>
      <c r="AE96" s="245">
        <f t="shared" si="6"/>
        <v>1591.53</v>
      </c>
      <c r="AF96" s="245">
        <f t="shared" si="7"/>
        <v>1000</v>
      </c>
      <c r="AG96" s="112">
        <f t="shared" si="8"/>
        <v>1018.69</v>
      </c>
    </row>
    <row r="97" customHeight="1" spans="1:33">
      <c r="A97" s="242">
        <v>93</v>
      </c>
      <c r="B97" s="242" t="s">
        <v>219</v>
      </c>
      <c r="C97" s="243" t="s">
        <v>220</v>
      </c>
      <c r="D97" s="225">
        <v>300</v>
      </c>
      <c r="E97" s="225"/>
      <c r="F97" s="225"/>
      <c r="G97" s="225"/>
      <c r="H97" s="245"/>
      <c r="I97" s="245">
        <v>0</v>
      </c>
      <c r="J97" s="245"/>
      <c r="K97" s="252"/>
      <c r="L97" s="245"/>
      <c r="M97" s="245"/>
      <c r="N97" s="245"/>
      <c r="O97" s="245"/>
      <c r="P97" s="245"/>
      <c r="Q97" s="252"/>
      <c r="R97" s="245"/>
      <c r="S97" s="252"/>
      <c r="T97" s="244"/>
      <c r="U97" s="245">
        <v>700</v>
      </c>
      <c r="V97" s="245"/>
      <c r="W97" s="245"/>
      <c r="X97" s="245"/>
      <c r="Y97" s="245">
        <v>59.69</v>
      </c>
      <c r="Z97" s="245"/>
      <c r="AA97" s="245">
        <v>14.15</v>
      </c>
      <c r="AB97" s="245"/>
      <c r="AC97" s="245">
        <v>11.43</v>
      </c>
      <c r="AD97" s="245"/>
      <c r="AE97" s="245">
        <f t="shared" si="6"/>
        <v>85.27</v>
      </c>
      <c r="AF97" s="245">
        <f t="shared" si="7"/>
        <v>700</v>
      </c>
      <c r="AG97" s="112">
        <f t="shared" si="8"/>
        <v>914.73</v>
      </c>
    </row>
    <row r="98" customHeight="1" spans="1:33">
      <c r="A98" s="242">
        <v>94</v>
      </c>
      <c r="B98" s="242" t="s">
        <v>221</v>
      </c>
      <c r="C98" s="243" t="s">
        <v>222</v>
      </c>
      <c r="D98" s="225">
        <v>165.07</v>
      </c>
      <c r="E98" s="225">
        <v>199.68</v>
      </c>
      <c r="F98" s="225"/>
      <c r="G98" s="225">
        <v>132.76</v>
      </c>
      <c r="H98" s="245">
        <v>500</v>
      </c>
      <c r="I98" s="245">
        <v>156.7</v>
      </c>
      <c r="J98" s="245"/>
      <c r="K98" s="252">
        <v>168.13</v>
      </c>
      <c r="L98" s="245">
        <v>200</v>
      </c>
      <c r="M98" s="245">
        <v>141.18</v>
      </c>
      <c r="N98" s="245">
        <v>200</v>
      </c>
      <c r="O98" s="245">
        <v>95.84</v>
      </c>
      <c r="P98" s="245">
        <f>300+112</f>
        <v>412</v>
      </c>
      <c r="Q98" s="252">
        <v>138.79</v>
      </c>
      <c r="R98" s="245"/>
      <c r="S98" s="252">
        <v>156.75</v>
      </c>
      <c r="T98" s="244">
        <v>92.46</v>
      </c>
      <c r="U98" s="245">
        <v>500</v>
      </c>
      <c r="V98" s="245">
        <v>55</v>
      </c>
      <c r="W98" s="245">
        <v>165.1</v>
      </c>
      <c r="X98" s="245"/>
      <c r="Y98" s="245">
        <v>136.84</v>
      </c>
      <c r="Z98" s="245"/>
      <c r="AA98" s="245">
        <v>174.66</v>
      </c>
      <c r="AB98" s="245">
        <v>500</v>
      </c>
      <c r="AC98" s="245">
        <v>225.8</v>
      </c>
      <c r="AD98" s="245"/>
      <c r="AE98" s="245">
        <f t="shared" si="6"/>
        <v>1984.69</v>
      </c>
      <c r="AF98" s="245">
        <f t="shared" si="7"/>
        <v>2312</v>
      </c>
      <c r="AG98" s="112">
        <f t="shared" si="8"/>
        <v>492.38</v>
      </c>
    </row>
    <row r="99" customHeight="1" spans="1:33">
      <c r="A99" s="242">
        <v>95</v>
      </c>
      <c r="B99" s="242" t="s">
        <v>223</v>
      </c>
      <c r="C99" s="243" t="s">
        <v>224</v>
      </c>
      <c r="D99" s="225">
        <v>158.12</v>
      </c>
      <c r="E99" s="225">
        <v>54.95</v>
      </c>
      <c r="F99" s="225"/>
      <c r="G99" s="225">
        <v>88.14</v>
      </c>
      <c r="H99" s="245"/>
      <c r="I99" s="245">
        <v>26.11</v>
      </c>
      <c r="J99" s="245"/>
      <c r="K99" s="252">
        <v>46.25</v>
      </c>
      <c r="L99" s="245">
        <v>401.24</v>
      </c>
      <c r="M99" s="245">
        <v>51.81</v>
      </c>
      <c r="N99" s="245"/>
      <c r="O99" s="245">
        <v>33.63</v>
      </c>
      <c r="P99" s="245"/>
      <c r="Q99" s="252">
        <v>94.78</v>
      </c>
      <c r="R99" s="245"/>
      <c r="S99" s="252">
        <v>82.75</v>
      </c>
      <c r="T99" s="244">
        <v>75.88</v>
      </c>
      <c r="U99" s="245">
        <v>200</v>
      </c>
      <c r="V99" s="245"/>
      <c r="W99" s="245">
        <v>112.57</v>
      </c>
      <c r="X99" s="245">
        <v>800</v>
      </c>
      <c r="Y99" s="245">
        <v>61.95</v>
      </c>
      <c r="Z99" s="245"/>
      <c r="AA99" s="245">
        <v>60.4</v>
      </c>
      <c r="AB99" s="245"/>
      <c r="AC99" s="245">
        <v>60.94</v>
      </c>
      <c r="AD99" s="245"/>
      <c r="AE99" s="245">
        <f t="shared" si="6"/>
        <v>850.16</v>
      </c>
      <c r="AF99" s="245">
        <f t="shared" si="7"/>
        <v>1401.24</v>
      </c>
      <c r="AG99" s="112">
        <f t="shared" si="8"/>
        <v>709.2</v>
      </c>
    </row>
    <row r="100" customHeight="1" spans="1:33">
      <c r="A100" s="242">
        <v>96</v>
      </c>
      <c r="B100" s="242" t="s">
        <v>225</v>
      </c>
      <c r="C100" s="243" t="s">
        <v>226</v>
      </c>
      <c r="D100" s="225">
        <v>620.61</v>
      </c>
      <c r="E100" s="225">
        <v>388.49</v>
      </c>
      <c r="F100" s="225"/>
      <c r="G100" s="225">
        <v>393.38</v>
      </c>
      <c r="H100" s="245">
        <v>800</v>
      </c>
      <c r="I100" s="245">
        <v>273.68</v>
      </c>
      <c r="J100" s="245"/>
      <c r="K100" s="252">
        <v>291.09</v>
      </c>
      <c r="L100" s="245"/>
      <c r="M100" s="245">
        <v>265.29</v>
      </c>
      <c r="N100" s="245">
        <v>500</v>
      </c>
      <c r="O100" s="245">
        <v>190</v>
      </c>
      <c r="P100" s="245">
        <v>1000</v>
      </c>
      <c r="Q100" s="252">
        <v>357.69</v>
      </c>
      <c r="R100" s="245"/>
      <c r="S100" s="252">
        <v>432.39</v>
      </c>
      <c r="T100" s="244">
        <v>198.91</v>
      </c>
      <c r="U100" s="245">
        <v>500</v>
      </c>
      <c r="V100" s="245">
        <v>175</v>
      </c>
      <c r="W100" s="245">
        <v>435.85</v>
      </c>
      <c r="X100" s="245">
        <v>500</v>
      </c>
      <c r="Y100" s="245">
        <v>314.23</v>
      </c>
      <c r="Z100" s="245"/>
      <c r="AA100" s="245">
        <v>327.55</v>
      </c>
      <c r="AB100" s="245">
        <v>360</v>
      </c>
      <c r="AC100" s="245">
        <v>328.09</v>
      </c>
      <c r="AD100" s="245"/>
      <c r="AE100" s="245">
        <f t="shared" si="6"/>
        <v>4196.64</v>
      </c>
      <c r="AF100" s="245">
        <f t="shared" si="7"/>
        <v>3660</v>
      </c>
      <c r="AG100" s="112">
        <f t="shared" si="8"/>
        <v>83.9700000000012</v>
      </c>
    </row>
    <row r="101" customHeight="1" spans="1:33">
      <c r="A101" s="242">
        <v>97</v>
      </c>
      <c r="B101" s="242" t="s">
        <v>227</v>
      </c>
      <c r="C101" s="243" t="s">
        <v>228</v>
      </c>
      <c r="D101" s="225">
        <v>34.21</v>
      </c>
      <c r="E101" s="225">
        <v>309.05</v>
      </c>
      <c r="F101" s="225">
        <v>300</v>
      </c>
      <c r="G101" s="225">
        <v>322.65</v>
      </c>
      <c r="H101" s="245">
        <v>400</v>
      </c>
      <c r="I101" s="245">
        <v>213.28</v>
      </c>
      <c r="J101" s="245">
        <v>300</v>
      </c>
      <c r="K101" s="252">
        <v>231.24</v>
      </c>
      <c r="L101" s="245">
        <v>300</v>
      </c>
      <c r="M101" s="245">
        <v>165.66</v>
      </c>
      <c r="N101" s="245"/>
      <c r="O101" s="245">
        <v>88.55</v>
      </c>
      <c r="P101" s="245">
        <v>500</v>
      </c>
      <c r="Q101" s="252">
        <v>112.84</v>
      </c>
      <c r="R101" s="245">
        <v>200</v>
      </c>
      <c r="S101" s="252">
        <v>117.13</v>
      </c>
      <c r="T101" s="244">
        <v>72.3</v>
      </c>
      <c r="U101" s="245"/>
      <c r="V101" s="245"/>
      <c r="W101" s="245">
        <v>125.27</v>
      </c>
      <c r="X101" s="245">
        <v>300</v>
      </c>
      <c r="Y101" s="245">
        <v>110.38</v>
      </c>
      <c r="Z101" s="245"/>
      <c r="AA101" s="245">
        <v>152.35</v>
      </c>
      <c r="AB101" s="245"/>
      <c r="AC101" s="245">
        <v>179.01</v>
      </c>
      <c r="AD101" s="245"/>
      <c r="AE101" s="245">
        <f t="shared" si="6"/>
        <v>2199.71</v>
      </c>
      <c r="AF101" s="245">
        <f t="shared" si="7"/>
        <v>2300</v>
      </c>
      <c r="AG101" s="112">
        <f t="shared" si="8"/>
        <v>134.5</v>
      </c>
    </row>
    <row r="102" customHeight="1" spans="1:33">
      <c r="A102" s="242">
        <v>98</v>
      </c>
      <c r="B102" s="242" t="s">
        <v>229</v>
      </c>
      <c r="C102" s="243" t="s">
        <v>230</v>
      </c>
      <c r="D102" s="225">
        <v>1622.42</v>
      </c>
      <c r="E102" s="225">
        <v>192.61</v>
      </c>
      <c r="F102" s="225"/>
      <c r="G102" s="225">
        <v>257.36</v>
      </c>
      <c r="H102" s="245"/>
      <c r="I102" s="245">
        <v>148.53</v>
      </c>
      <c r="J102" s="245"/>
      <c r="K102" s="252">
        <v>162.69</v>
      </c>
      <c r="L102" s="245"/>
      <c r="M102" s="245">
        <v>107.6</v>
      </c>
      <c r="N102" s="245"/>
      <c r="O102" s="245">
        <v>65.57</v>
      </c>
      <c r="P102" s="245"/>
      <c r="Q102" s="252">
        <v>142.74</v>
      </c>
      <c r="R102" s="245"/>
      <c r="S102" s="252">
        <v>143.93</v>
      </c>
      <c r="T102" s="244">
        <v>162.1</v>
      </c>
      <c r="U102" s="245"/>
      <c r="V102" s="245">
        <v>180</v>
      </c>
      <c r="W102" s="245">
        <v>170.3</v>
      </c>
      <c r="X102" s="245"/>
      <c r="Y102" s="245">
        <v>163.87</v>
      </c>
      <c r="Z102" s="245"/>
      <c r="AA102" s="245">
        <v>112.63</v>
      </c>
      <c r="AB102" s="245">
        <v>1000</v>
      </c>
      <c r="AC102" s="245">
        <v>142.01</v>
      </c>
      <c r="AD102" s="245"/>
      <c r="AE102" s="245">
        <f t="shared" ref="AE102:AE136" si="9">E102+G102+I102+K102+M102+O102+Q102+S102+T102+W102+Y102+AA102+AC102</f>
        <v>1971.94</v>
      </c>
      <c r="AF102" s="245">
        <f t="shared" ref="AF102:AF136" si="10">F102+H102+J102+L102+N102+P102+R102+U102+X102+Z102+AB102+AD102</f>
        <v>1000</v>
      </c>
      <c r="AG102" s="112">
        <f t="shared" ref="AG102:AG136" si="11">D102+AF102-AE102</f>
        <v>650.48</v>
      </c>
    </row>
    <row r="103" customHeight="1" spans="1:33">
      <c r="A103" s="242">
        <v>99</v>
      </c>
      <c r="B103" s="242" t="s">
        <v>231</v>
      </c>
      <c r="C103" s="243" t="s">
        <v>232</v>
      </c>
      <c r="D103" s="225">
        <v>265.39</v>
      </c>
      <c r="E103" s="225">
        <v>221.99</v>
      </c>
      <c r="F103" s="225"/>
      <c r="G103" s="225">
        <v>192.61</v>
      </c>
      <c r="H103" s="245"/>
      <c r="I103" s="245">
        <v>160.5</v>
      </c>
      <c r="J103" s="245"/>
      <c r="K103" s="252">
        <v>142.55</v>
      </c>
      <c r="L103" s="245">
        <v>575</v>
      </c>
      <c r="M103" s="245">
        <v>100.2</v>
      </c>
      <c r="N103" s="245">
        <v>500</v>
      </c>
      <c r="O103" s="245">
        <v>71.74</v>
      </c>
      <c r="P103" s="245"/>
      <c r="Q103" s="252">
        <v>110.58</v>
      </c>
      <c r="R103" s="245"/>
      <c r="S103" s="252">
        <v>156.75</v>
      </c>
      <c r="T103" s="244">
        <v>79.28</v>
      </c>
      <c r="U103" s="245"/>
      <c r="V103" s="245"/>
      <c r="W103" s="245">
        <v>140.28</v>
      </c>
      <c r="X103" s="245">
        <v>272</v>
      </c>
      <c r="Y103" s="245">
        <v>101.37</v>
      </c>
      <c r="Z103" s="245"/>
      <c r="AA103" s="245">
        <v>148</v>
      </c>
      <c r="AB103" s="245"/>
      <c r="AC103" s="245">
        <v>204.04</v>
      </c>
      <c r="AD103" s="245">
        <v>400</v>
      </c>
      <c r="AE103" s="245">
        <f t="shared" si="9"/>
        <v>1829.89</v>
      </c>
      <c r="AF103" s="245">
        <f t="shared" si="10"/>
        <v>1747</v>
      </c>
      <c r="AG103" s="112">
        <f t="shared" si="11"/>
        <v>182.5</v>
      </c>
    </row>
    <row r="104" customHeight="1" spans="1:33">
      <c r="A104" s="242">
        <v>100</v>
      </c>
      <c r="B104" s="242" t="s">
        <v>233</v>
      </c>
      <c r="C104" s="243" t="s">
        <v>234</v>
      </c>
      <c r="D104" s="225">
        <v>76.7999999999997</v>
      </c>
      <c r="E104" s="225">
        <v>74</v>
      </c>
      <c r="F104" s="225">
        <f>200+300</f>
        <v>500</v>
      </c>
      <c r="G104" s="225">
        <v>67.47</v>
      </c>
      <c r="H104" s="245"/>
      <c r="I104" s="245">
        <v>50.6</v>
      </c>
      <c r="J104" s="245"/>
      <c r="K104" s="252">
        <v>69.64</v>
      </c>
      <c r="L104" s="245"/>
      <c r="M104" s="245">
        <v>89.38</v>
      </c>
      <c r="N104" s="245">
        <v>1000</v>
      </c>
      <c r="O104" s="245">
        <v>73.98</v>
      </c>
      <c r="P104" s="245"/>
      <c r="Q104" s="252">
        <v>140.48</v>
      </c>
      <c r="R104" s="245"/>
      <c r="S104" s="252">
        <v>152.09</v>
      </c>
      <c r="T104" s="244">
        <v>86.03</v>
      </c>
      <c r="U104" s="245"/>
      <c r="V104" s="245"/>
      <c r="W104" s="245">
        <v>154.71</v>
      </c>
      <c r="X104" s="245"/>
      <c r="Y104" s="245">
        <v>99.11</v>
      </c>
      <c r="Z104" s="245"/>
      <c r="AA104" s="245">
        <v>85.42</v>
      </c>
      <c r="AB104" s="245"/>
      <c r="AC104" s="245">
        <v>70.73</v>
      </c>
      <c r="AD104" s="245"/>
      <c r="AE104" s="245">
        <f t="shared" si="9"/>
        <v>1213.64</v>
      </c>
      <c r="AF104" s="245">
        <f t="shared" si="10"/>
        <v>1500</v>
      </c>
      <c r="AG104" s="112">
        <f t="shared" si="11"/>
        <v>363.16</v>
      </c>
    </row>
    <row r="105" customHeight="1" spans="1:33">
      <c r="A105" s="242">
        <v>101</v>
      </c>
      <c r="B105" s="242" t="s">
        <v>235</v>
      </c>
      <c r="C105" s="243" t="s">
        <v>236</v>
      </c>
      <c r="D105" s="225">
        <v>-1211.75</v>
      </c>
      <c r="E105" s="225">
        <v>274.77</v>
      </c>
      <c r="F105" s="225"/>
      <c r="G105" s="225">
        <v>302.52</v>
      </c>
      <c r="H105" s="245"/>
      <c r="I105" s="245">
        <v>201.31</v>
      </c>
      <c r="J105" s="245"/>
      <c r="K105" s="252">
        <v>216.55</v>
      </c>
      <c r="L105" s="245">
        <v>1000</v>
      </c>
      <c r="M105" s="245">
        <v>146.88</v>
      </c>
      <c r="N105" s="245"/>
      <c r="O105" s="245">
        <v>88.55</v>
      </c>
      <c r="P105" s="245"/>
      <c r="Q105" s="252">
        <v>129.2</v>
      </c>
      <c r="R105" s="245"/>
      <c r="S105" s="252">
        <v>152.68</v>
      </c>
      <c r="T105" s="244">
        <v>210.71</v>
      </c>
      <c r="U105" s="245"/>
      <c r="V105" s="245">
        <v>210</v>
      </c>
      <c r="W105" s="245">
        <v>109.11</v>
      </c>
      <c r="X105" s="245">
        <v>1000</v>
      </c>
      <c r="Y105" s="245">
        <v>82.22</v>
      </c>
      <c r="Z105" s="245"/>
      <c r="AA105" s="245">
        <v>105.56</v>
      </c>
      <c r="AB105" s="245"/>
      <c r="AC105" s="245">
        <v>107.73</v>
      </c>
      <c r="AD105" s="245"/>
      <c r="AE105" s="245">
        <f t="shared" si="9"/>
        <v>2127.79</v>
      </c>
      <c r="AF105" s="245">
        <f t="shared" si="10"/>
        <v>2000</v>
      </c>
      <c r="AG105" s="112">
        <f t="shared" si="11"/>
        <v>-1339.54</v>
      </c>
    </row>
    <row r="106" customHeight="1" spans="1:33">
      <c r="A106" s="242">
        <v>102</v>
      </c>
      <c r="B106" s="242" t="s">
        <v>237</v>
      </c>
      <c r="C106" s="243" t="s">
        <v>238</v>
      </c>
      <c r="D106" s="225">
        <v>300</v>
      </c>
      <c r="E106" s="225"/>
      <c r="F106" s="225"/>
      <c r="G106" s="225"/>
      <c r="H106" s="245"/>
      <c r="I106" s="245">
        <v>0</v>
      </c>
      <c r="J106" s="245"/>
      <c r="K106" s="252"/>
      <c r="L106" s="245"/>
      <c r="M106" s="245"/>
      <c r="N106" s="245"/>
      <c r="O106" s="245"/>
      <c r="P106" s="245"/>
      <c r="Q106" s="252"/>
      <c r="R106" s="245"/>
      <c r="S106" s="252"/>
      <c r="T106" s="244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>
        <f t="shared" si="9"/>
        <v>0</v>
      </c>
      <c r="AF106" s="245">
        <f t="shared" si="10"/>
        <v>0</v>
      </c>
      <c r="AG106" s="112">
        <f t="shared" si="11"/>
        <v>300</v>
      </c>
    </row>
    <row r="107" customHeight="1" spans="1:33">
      <c r="A107" s="242">
        <v>103</v>
      </c>
      <c r="B107" s="242" t="s">
        <v>239</v>
      </c>
      <c r="C107" s="243" t="s">
        <v>240</v>
      </c>
      <c r="D107" s="225">
        <v>825.35</v>
      </c>
      <c r="E107" s="225">
        <v>68.56</v>
      </c>
      <c r="F107" s="225"/>
      <c r="G107" s="225">
        <v>72.37</v>
      </c>
      <c r="H107" s="245"/>
      <c r="I107" s="245">
        <v>52.23</v>
      </c>
      <c r="J107" s="245"/>
      <c r="K107" s="252">
        <v>57.13</v>
      </c>
      <c r="L107" s="245"/>
      <c r="M107" s="245">
        <v>46.68</v>
      </c>
      <c r="N107" s="245"/>
      <c r="O107" s="245">
        <v>20.74</v>
      </c>
      <c r="P107" s="245"/>
      <c r="Q107" s="252">
        <v>42.88</v>
      </c>
      <c r="R107" s="245"/>
      <c r="S107" s="252">
        <v>46.62</v>
      </c>
      <c r="T107" s="244">
        <v>73.38</v>
      </c>
      <c r="U107" s="245">
        <v>1000</v>
      </c>
      <c r="V107" s="245">
        <v>175</v>
      </c>
      <c r="W107" s="245">
        <v>42.72</v>
      </c>
      <c r="X107" s="245"/>
      <c r="Y107" s="245">
        <v>38.86</v>
      </c>
      <c r="Z107" s="245"/>
      <c r="AA107" s="245">
        <v>60.94</v>
      </c>
      <c r="AB107" s="245"/>
      <c r="AC107" s="245">
        <v>39.72</v>
      </c>
      <c r="AD107" s="245"/>
      <c r="AE107" s="245">
        <f t="shared" si="9"/>
        <v>662.83</v>
      </c>
      <c r="AF107" s="245">
        <f t="shared" si="10"/>
        <v>1000</v>
      </c>
      <c r="AG107" s="112">
        <f t="shared" si="11"/>
        <v>1162.52</v>
      </c>
    </row>
    <row r="108" customHeight="1" spans="1:33">
      <c r="A108" s="242">
        <v>104</v>
      </c>
      <c r="B108" s="242" t="s">
        <v>241</v>
      </c>
      <c r="C108" s="243" t="s">
        <v>242</v>
      </c>
      <c r="D108" s="225">
        <v>365.64</v>
      </c>
      <c r="E108" s="225">
        <v>26.12</v>
      </c>
      <c r="F108" s="225"/>
      <c r="G108" s="225">
        <v>148.54</v>
      </c>
      <c r="H108" s="245"/>
      <c r="I108" s="245">
        <v>136.02</v>
      </c>
      <c r="J108" s="245"/>
      <c r="K108" s="252">
        <v>167.04</v>
      </c>
      <c r="L108" s="245"/>
      <c r="M108" s="245">
        <v>141.75</v>
      </c>
      <c r="N108" s="245"/>
      <c r="O108" s="245">
        <v>90.8</v>
      </c>
      <c r="P108" s="245"/>
      <c r="Q108" s="252">
        <v>164.18</v>
      </c>
      <c r="R108" s="245"/>
      <c r="S108" s="252">
        <v>174.24</v>
      </c>
      <c r="T108" s="244">
        <v>51.87</v>
      </c>
      <c r="U108" s="245">
        <v>1000</v>
      </c>
      <c r="V108" s="245"/>
      <c r="W108" s="245">
        <v>232.65</v>
      </c>
      <c r="X108" s="245"/>
      <c r="Y108" s="245">
        <v>143.6</v>
      </c>
      <c r="Z108" s="245"/>
      <c r="AA108" s="245">
        <v>138.2</v>
      </c>
      <c r="AB108" s="245"/>
      <c r="AC108" s="245">
        <v>96.31</v>
      </c>
      <c r="AD108" s="245"/>
      <c r="AE108" s="245">
        <f t="shared" si="9"/>
        <v>1711.32</v>
      </c>
      <c r="AF108" s="245">
        <f t="shared" si="10"/>
        <v>1000</v>
      </c>
      <c r="AG108" s="112">
        <f t="shared" si="11"/>
        <v>-345.68</v>
      </c>
    </row>
    <row r="109" customHeight="1" spans="1:33">
      <c r="A109" s="242">
        <v>105</v>
      </c>
      <c r="B109" s="242" t="s">
        <v>243</v>
      </c>
      <c r="C109" s="243" t="s">
        <v>244</v>
      </c>
      <c r="D109" s="225">
        <v>695.67</v>
      </c>
      <c r="E109" s="225">
        <v>28.84</v>
      </c>
      <c r="F109" s="225"/>
      <c r="G109" s="225">
        <v>22.85</v>
      </c>
      <c r="H109" s="245"/>
      <c r="I109" s="245">
        <v>7.61</v>
      </c>
      <c r="J109" s="245"/>
      <c r="K109" s="252">
        <v>23.94</v>
      </c>
      <c r="L109" s="245"/>
      <c r="M109" s="245">
        <v>10.25</v>
      </c>
      <c r="N109" s="245"/>
      <c r="O109" s="245">
        <v>13.45</v>
      </c>
      <c r="P109" s="245">
        <v>111.15</v>
      </c>
      <c r="Q109" s="252">
        <v>39.49</v>
      </c>
      <c r="R109" s="245"/>
      <c r="S109" s="252">
        <v>58.27</v>
      </c>
      <c r="T109" s="244">
        <v>70.61</v>
      </c>
      <c r="U109" s="245"/>
      <c r="V109" s="245">
        <v>210</v>
      </c>
      <c r="W109" s="245">
        <v>84.28</v>
      </c>
      <c r="X109" s="245"/>
      <c r="Y109" s="245">
        <v>36.6</v>
      </c>
      <c r="Z109" s="245">
        <v>0.35</v>
      </c>
      <c r="AA109" s="245">
        <v>35.91</v>
      </c>
      <c r="AB109" s="245"/>
      <c r="AC109" s="245">
        <v>37.54</v>
      </c>
      <c r="AD109" s="245"/>
      <c r="AE109" s="245">
        <f t="shared" si="9"/>
        <v>469.64</v>
      </c>
      <c r="AF109" s="245">
        <f t="shared" si="10"/>
        <v>111.5</v>
      </c>
      <c r="AG109" s="112">
        <f t="shared" si="11"/>
        <v>337.53</v>
      </c>
    </row>
    <row r="110" customHeight="1" spans="1:33">
      <c r="A110" s="242">
        <v>106</v>
      </c>
      <c r="B110" s="242" t="s">
        <v>245</v>
      </c>
      <c r="C110" s="243" t="s">
        <v>246</v>
      </c>
      <c r="D110" s="225">
        <v>180.280000000001</v>
      </c>
      <c r="E110" s="225">
        <v>385.22</v>
      </c>
      <c r="F110" s="225">
        <v>391.33</v>
      </c>
      <c r="G110" s="225">
        <v>369.99</v>
      </c>
      <c r="H110" s="245">
        <v>460</v>
      </c>
      <c r="I110" s="245">
        <v>254.09</v>
      </c>
      <c r="J110" s="245"/>
      <c r="K110" s="252">
        <v>215.46</v>
      </c>
      <c r="L110" s="245">
        <f>251+220</f>
        <v>471</v>
      </c>
      <c r="M110" s="245">
        <v>221.45</v>
      </c>
      <c r="N110" s="245"/>
      <c r="O110" s="245">
        <v>164.22</v>
      </c>
      <c r="P110" s="245">
        <v>300</v>
      </c>
      <c r="Q110" s="252">
        <v>323.27</v>
      </c>
      <c r="R110" s="245"/>
      <c r="S110" s="252">
        <v>296.03</v>
      </c>
      <c r="T110" s="244">
        <v>225.82</v>
      </c>
      <c r="U110" s="245">
        <v>450</v>
      </c>
      <c r="V110" s="245"/>
      <c r="W110" s="245">
        <v>297.3</v>
      </c>
      <c r="X110" s="245">
        <v>300</v>
      </c>
      <c r="Y110" s="245">
        <v>179.64</v>
      </c>
      <c r="Z110" s="245">
        <v>800</v>
      </c>
      <c r="AA110" s="245">
        <v>198.05</v>
      </c>
      <c r="AB110" s="245"/>
      <c r="AC110" s="245">
        <v>236.68</v>
      </c>
      <c r="AD110" s="245">
        <v>360</v>
      </c>
      <c r="AE110" s="245">
        <f t="shared" si="9"/>
        <v>3367.22</v>
      </c>
      <c r="AF110" s="245">
        <f t="shared" si="10"/>
        <v>3532.33</v>
      </c>
      <c r="AG110" s="112">
        <f t="shared" si="11"/>
        <v>345.390000000001</v>
      </c>
    </row>
    <row r="111" customHeight="1" spans="1:33">
      <c r="A111" s="242">
        <v>107</v>
      </c>
      <c r="B111" s="242" t="s">
        <v>247</v>
      </c>
      <c r="C111" s="243" t="s">
        <v>248</v>
      </c>
      <c r="D111" s="225">
        <v>81.1100000000001</v>
      </c>
      <c r="E111" s="225">
        <v>174.66</v>
      </c>
      <c r="F111" s="225">
        <f>200+200</f>
        <v>400</v>
      </c>
      <c r="G111" s="225">
        <v>215.46</v>
      </c>
      <c r="H111" s="245">
        <v>300</v>
      </c>
      <c r="I111" s="245">
        <v>126.23</v>
      </c>
      <c r="J111" s="245"/>
      <c r="K111" s="252">
        <v>153.44</v>
      </c>
      <c r="L111" s="245"/>
      <c r="M111" s="245">
        <v>132.64</v>
      </c>
      <c r="N111" s="245">
        <v>300</v>
      </c>
      <c r="O111" s="245">
        <v>33.07</v>
      </c>
      <c r="P111" s="245">
        <v>500</v>
      </c>
      <c r="Q111" s="252">
        <v>63.19</v>
      </c>
      <c r="R111" s="245"/>
      <c r="S111" s="252">
        <v>125.29</v>
      </c>
      <c r="T111" s="244">
        <v>70.65</v>
      </c>
      <c r="U111" s="245"/>
      <c r="V111" s="245">
        <v>60</v>
      </c>
      <c r="W111" s="245">
        <v>103.33</v>
      </c>
      <c r="X111" s="245"/>
      <c r="Y111" s="245">
        <v>108.69</v>
      </c>
      <c r="Z111" s="245"/>
      <c r="AA111" s="245">
        <v>71.28</v>
      </c>
      <c r="AB111" s="245">
        <v>200</v>
      </c>
      <c r="AC111" s="245">
        <v>53.87</v>
      </c>
      <c r="AD111" s="245"/>
      <c r="AE111" s="245">
        <f t="shared" si="9"/>
        <v>1431.8</v>
      </c>
      <c r="AF111" s="245">
        <f t="shared" si="10"/>
        <v>1700</v>
      </c>
      <c r="AG111" s="112">
        <f t="shared" si="11"/>
        <v>349.31</v>
      </c>
    </row>
    <row r="112" customHeight="1" spans="1:33">
      <c r="A112" s="242">
        <v>108</v>
      </c>
      <c r="B112" s="242" t="s">
        <v>249</v>
      </c>
      <c r="C112" s="243" t="s">
        <v>250</v>
      </c>
      <c r="D112" s="225">
        <v>461.46</v>
      </c>
      <c r="E112" s="225">
        <v>314.49</v>
      </c>
      <c r="F112" s="225">
        <v>400</v>
      </c>
      <c r="G112" s="225">
        <v>369.44</v>
      </c>
      <c r="H112" s="245"/>
      <c r="I112" s="245">
        <v>193.15</v>
      </c>
      <c r="J112" s="245">
        <v>500</v>
      </c>
      <c r="K112" s="252">
        <v>171.94</v>
      </c>
      <c r="L112" s="245"/>
      <c r="M112" s="245">
        <v>161.11</v>
      </c>
      <c r="N112" s="245"/>
      <c r="O112" s="245">
        <v>100.32</v>
      </c>
      <c r="P112" s="245">
        <v>1000</v>
      </c>
      <c r="Q112" s="252">
        <v>151.76</v>
      </c>
      <c r="R112" s="245"/>
      <c r="S112" s="252">
        <v>173.07</v>
      </c>
      <c r="T112" s="244">
        <v>172.91</v>
      </c>
      <c r="U112" s="245"/>
      <c r="V112" s="245"/>
      <c r="W112" s="245">
        <v>180.69</v>
      </c>
      <c r="X112" s="245"/>
      <c r="Y112" s="245">
        <v>117.13</v>
      </c>
      <c r="Z112" s="245">
        <v>1000</v>
      </c>
      <c r="AA112" s="245">
        <v>174.66</v>
      </c>
      <c r="AB112" s="245"/>
      <c r="AC112" s="245">
        <v>176.83</v>
      </c>
      <c r="AD112" s="245"/>
      <c r="AE112" s="245">
        <f t="shared" si="9"/>
        <v>2457.5</v>
      </c>
      <c r="AF112" s="245">
        <f t="shared" si="10"/>
        <v>2900</v>
      </c>
      <c r="AG112" s="112">
        <f t="shared" si="11"/>
        <v>903.96</v>
      </c>
    </row>
    <row r="113" customHeight="1" spans="1:33">
      <c r="A113" s="242">
        <v>109</v>
      </c>
      <c r="B113" s="242" t="s">
        <v>251</v>
      </c>
      <c r="C113" s="243" t="s">
        <v>252</v>
      </c>
      <c r="D113" s="225">
        <v>343.58</v>
      </c>
      <c r="E113" s="225">
        <v>355.84</v>
      </c>
      <c r="F113" s="225"/>
      <c r="G113" s="225">
        <v>318.3</v>
      </c>
      <c r="H113" s="245"/>
      <c r="I113" s="245">
        <v>41.89</v>
      </c>
      <c r="J113" s="245"/>
      <c r="K113" s="252">
        <v>44.62</v>
      </c>
      <c r="L113" s="245">
        <v>600</v>
      </c>
      <c r="M113" s="245">
        <v>34.73</v>
      </c>
      <c r="N113" s="245"/>
      <c r="O113" s="245">
        <v>20.74</v>
      </c>
      <c r="P113" s="245">
        <v>43</v>
      </c>
      <c r="Q113" s="252">
        <v>51.34</v>
      </c>
      <c r="R113" s="245">
        <f>55+100+500</f>
        <v>655</v>
      </c>
      <c r="S113" s="252">
        <v>47.78</v>
      </c>
      <c r="T113" s="244">
        <v>74.63</v>
      </c>
      <c r="U113" s="245"/>
      <c r="V113" s="245">
        <v>155</v>
      </c>
      <c r="W113" s="245">
        <v>109.69</v>
      </c>
      <c r="X113" s="245"/>
      <c r="Y113" s="245">
        <v>141.35</v>
      </c>
      <c r="Z113" s="245">
        <v>271</v>
      </c>
      <c r="AA113" s="245">
        <v>187.17</v>
      </c>
      <c r="AB113" s="245">
        <v>-271</v>
      </c>
      <c r="AC113" s="245">
        <v>186.08</v>
      </c>
      <c r="AD113" s="245"/>
      <c r="AE113" s="245">
        <f t="shared" si="9"/>
        <v>1614.16</v>
      </c>
      <c r="AF113" s="245">
        <f t="shared" si="10"/>
        <v>1298</v>
      </c>
      <c r="AG113" s="112">
        <f t="shared" si="11"/>
        <v>27.4200000000001</v>
      </c>
    </row>
    <row r="114" customHeight="1" spans="1:33">
      <c r="A114" s="242">
        <v>110</v>
      </c>
      <c r="B114" s="242" t="s">
        <v>253</v>
      </c>
      <c r="C114" s="243" t="s">
        <v>254</v>
      </c>
      <c r="D114" s="225">
        <v>180.61</v>
      </c>
      <c r="E114" s="225">
        <v>87.06</v>
      </c>
      <c r="F114" s="225"/>
      <c r="G114" s="225">
        <v>121.88</v>
      </c>
      <c r="H114" s="245"/>
      <c r="I114" s="245">
        <v>24.48</v>
      </c>
      <c r="J114" s="245"/>
      <c r="K114" s="252">
        <v>22.31</v>
      </c>
      <c r="L114" s="245">
        <v>300</v>
      </c>
      <c r="M114" s="245">
        <v>23.34</v>
      </c>
      <c r="N114" s="245"/>
      <c r="O114" s="245">
        <v>26.34</v>
      </c>
      <c r="P114" s="245"/>
      <c r="Q114" s="252">
        <v>56.98</v>
      </c>
      <c r="R114" s="245"/>
      <c r="S114" s="252">
        <v>61.19</v>
      </c>
      <c r="T114" s="244">
        <v>70.23</v>
      </c>
      <c r="U114" s="245"/>
      <c r="V114" s="245"/>
      <c r="W114" s="245">
        <v>57.15</v>
      </c>
      <c r="X114" s="245">
        <v>350</v>
      </c>
      <c r="Y114" s="245">
        <v>33.23</v>
      </c>
      <c r="Z114" s="245"/>
      <c r="AA114" s="245">
        <v>37.54</v>
      </c>
      <c r="AB114" s="245"/>
      <c r="AC114" s="245">
        <v>25.57</v>
      </c>
      <c r="AD114" s="245"/>
      <c r="AE114" s="245">
        <f t="shared" si="9"/>
        <v>647.3</v>
      </c>
      <c r="AF114" s="245">
        <f t="shared" si="10"/>
        <v>650</v>
      </c>
      <c r="AG114" s="112">
        <f t="shared" si="11"/>
        <v>183.31</v>
      </c>
    </row>
    <row r="115" customHeight="1" spans="1:33">
      <c r="A115" s="242">
        <v>111</v>
      </c>
      <c r="B115" s="242" t="s">
        <v>255</v>
      </c>
      <c r="C115" s="243" t="s">
        <v>256</v>
      </c>
      <c r="D115" s="225">
        <v>1175.366</v>
      </c>
      <c r="E115" s="225">
        <v>197.51</v>
      </c>
      <c r="F115" s="225"/>
      <c r="G115" s="225">
        <v>211.11</v>
      </c>
      <c r="H115" s="245"/>
      <c r="I115" s="245">
        <v>115.34</v>
      </c>
      <c r="J115" s="245"/>
      <c r="K115" s="252">
        <v>128.95</v>
      </c>
      <c r="L115" s="245"/>
      <c r="M115" s="245">
        <v>130.37</v>
      </c>
      <c r="N115" s="245">
        <v>1000</v>
      </c>
      <c r="O115" s="245">
        <v>86.31</v>
      </c>
      <c r="P115" s="245">
        <v>111.15</v>
      </c>
      <c r="Q115" s="252">
        <v>138.79</v>
      </c>
      <c r="R115" s="245"/>
      <c r="S115" s="252">
        <v>173.65</v>
      </c>
      <c r="T115" s="244">
        <v>64.1</v>
      </c>
      <c r="U115" s="245"/>
      <c r="V115" s="245"/>
      <c r="W115" s="245">
        <v>111.42</v>
      </c>
      <c r="X115" s="245"/>
      <c r="Y115" s="245">
        <v>105.31</v>
      </c>
      <c r="Z115" s="245"/>
      <c r="AA115" s="245">
        <v>128.41</v>
      </c>
      <c r="AB115" s="245"/>
      <c r="AC115" s="245">
        <v>190.44</v>
      </c>
      <c r="AD115" s="245">
        <v>1000</v>
      </c>
      <c r="AE115" s="245">
        <f t="shared" si="9"/>
        <v>1781.71</v>
      </c>
      <c r="AF115" s="245">
        <f t="shared" si="10"/>
        <v>2111.15</v>
      </c>
      <c r="AG115" s="112">
        <f t="shared" si="11"/>
        <v>1504.806</v>
      </c>
    </row>
    <row r="116" customHeight="1" spans="1:33">
      <c r="A116" s="242">
        <v>112</v>
      </c>
      <c r="B116" s="242" t="s">
        <v>257</v>
      </c>
      <c r="C116" s="243" t="s">
        <v>258</v>
      </c>
      <c r="D116" s="225">
        <v>306.99</v>
      </c>
      <c r="E116" s="225">
        <v>304.7</v>
      </c>
      <c r="F116" s="225"/>
      <c r="G116" s="225">
        <v>291.09</v>
      </c>
      <c r="H116" s="245">
        <v>1000</v>
      </c>
      <c r="I116" s="245">
        <v>241.58</v>
      </c>
      <c r="J116" s="245"/>
      <c r="K116" s="252">
        <v>173.02</v>
      </c>
      <c r="L116" s="245"/>
      <c r="M116" s="245">
        <v>177.05</v>
      </c>
      <c r="N116" s="245">
        <v>500</v>
      </c>
      <c r="O116" s="245">
        <v>90.8</v>
      </c>
      <c r="P116" s="245"/>
      <c r="Q116" s="252">
        <v>178.84</v>
      </c>
      <c r="R116" s="245"/>
      <c r="S116" s="252">
        <v>258.73</v>
      </c>
      <c r="T116" s="244">
        <v>219.9</v>
      </c>
      <c r="U116" s="245">
        <v>800</v>
      </c>
      <c r="V116" s="245">
        <v>215</v>
      </c>
      <c r="W116" s="245">
        <v>159.91</v>
      </c>
      <c r="X116" s="245"/>
      <c r="Y116" s="245">
        <v>151.49</v>
      </c>
      <c r="Z116" s="245"/>
      <c r="AA116" s="245">
        <v>192.61</v>
      </c>
      <c r="AB116" s="245">
        <v>200</v>
      </c>
      <c r="AC116" s="245">
        <v>234.51</v>
      </c>
      <c r="AD116" s="245"/>
      <c r="AE116" s="245">
        <f t="shared" si="9"/>
        <v>2674.23</v>
      </c>
      <c r="AF116" s="245">
        <f t="shared" si="10"/>
        <v>2500</v>
      </c>
      <c r="AG116" s="112">
        <f t="shared" si="11"/>
        <v>132.76</v>
      </c>
    </row>
    <row r="117" customHeight="1" spans="1:33">
      <c r="A117" s="242">
        <v>113</v>
      </c>
      <c r="B117" s="242" t="s">
        <v>259</v>
      </c>
      <c r="C117" s="243" t="s">
        <v>260</v>
      </c>
      <c r="D117" s="225">
        <v>587.43</v>
      </c>
      <c r="E117" s="225">
        <v>226.89</v>
      </c>
      <c r="F117" s="225"/>
      <c r="G117" s="225">
        <v>311.77</v>
      </c>
      <c r="H117" s="245">
        <v>1500</v>
      </c>
      <c r="I117" s="245">
        <v>190.97</v>
      </c>
      <c r="J117" s="245"/>
      <c r="K117" s="252">
        <v>148</v>
      </c>
      <c r="L117" s="245"/>
      <c r="M117" s="245">
        <v>124.11</v>
      </c>
      <c r="N117" s="245"/>
      <c r="O117" s="245">
        <v>73.42</v>
      </c>
      <c r="P117" s="245"/>
      <c r="Q117" s="252">
        <v>120.73</v>
      </c>
      <c r="R117" s="245"/>
      <c r="S117" s="252">
        <v>101.98</v>
      </c>
      <c r="T117" s="244">
        <v>67.59</v>
      </c>
      <c r="U117" s="245"/>
      <c r="V117" s="245">
        <v>155</v>
      </c>
      <c r="W117" s="245">
        <v>200.32</v>
      </c>
      <c r="X117" s="245"/>
      <c r="Y117" s="245">
        <v>101.93</v>
      </c>
      <c r="Z117" s="245"/>
      <c r="AA117" s="245">
        <v>118.07</v>
      </c>
      <c r="AB117" s="245"/>
      <c r="AC117" s="245">
        <v>133.3</v>
      </c>
      <c r="AD117" s="245"/>
      <c r="AE117" s="245">
        <f t="shared" si="9"/>
        <v>1919.08</v>
      </c>
      <c r="AF117" s="245">
        <f t="shared" si="10"/>
        <v>1500</v>
      </c>
      <c r="AG117" s="112">
        <f t="shared" si="11"/>
        <v>168.35</v>
      </c>
    </row>
    <row r="118" customHeight="1" spans="1:33">
      <c r="A118" s="242">
        <v>114</v>
      </c>
      <c r="B118" s="242" t="s">
        <v>261</v>
      </c>
      <c r="C118" s="243" t="s">
        <v>262</v>
      </c>
      <c r="D118" s="225">
        <v>-1130.57</v>
      </c>
      <c r="E118" s="225">
        <v>275.86</v>
      </c>
      <c r="F118" s="225">
        <v>1000</v>
      </c>
      <c r="G118" s="225">
        <v>475.54</v>
      </c>
      <c r="H118" s="245"/>
      <c r="I118" s="245">
        <v>206.75</v>
      </c>
      <c r="J118" s="245"/>
      <c r="K118" s="252">
        <v>189.35</v>
      </c>
      <c r="L118" s="245">
        <v>600</v>
      </c>
      <c r="M118" s="245">
        <v>172.5</v>
      </c>
      <c r="N118" s="245"/>
      <c r="O118" s="245">
        <v>133.95</v>
      </c>
      <c r="P118" s="245">
        <f>800+111.15</f>
        <v>911.15</v>
      </c>
      <c r="Q118" s="252">
        <v>225.67</v>
      </c>
      <c r="R118" s="245"/>
      <c r="S118" s="252">
        <v>442.29</v>
      </c>
      <c r="T118" s="244">
        <v>240.82</v>
      </c>
      <c r="U118" s="245">
        <v>1000</v>
      </c>
      <c r="V118" s="245">
        <v>215</v>
      </c>
      <c r="W118" s="245">
        <v>547.27</v>
      </c>
      <c r="X118" s="245"/>
      <c r="Y118" s="245">
        <v>139.1</v>
      </c>
      <c r="Z118" s="245"/>
      <c r="AA118" s="245">
        <v>174.11</v>
      </c>
      <c r="AB118" s="245"/>
      <c r="AC118" s="245">
        <v>211.65</v>
      </c>
      <c r="AD118" s="245"/>
      <c r="AE118" s="245">
        <f t="shared" si="9"/>
        <v>3434.86</v>
      </c>
      <c r="AF118" s="245">
        <f t="shared" si="10"/>
        <v>3511.15</v>
      </c>
      <c r="AG118" s="112">
        <f t="shared" si="11"/>
        <v>-1054.28</v>
      </c>
    </row>
    <row r="119" customHeight="1" spans="1:33">
      <c r="A119" s="242">
        <v>115</v>
      </c>
      <c r="B119" s="242" t="s">
        <v>263</v>
      </c>
      <c r="C119" s="243" t="s">
        <v>264</v>
      </c>
      <c r="D119" s="225">
        <v>237.6</v>
      </c>
      <c r="E119" s="225">
        <v>168.13</v>
      </c>
      <c r="F119" s="225"/>
      <c r="G119" s="225">
        <v>117.53</v>
      </c>
      <c r="H119" s="245"/>
      <c r="I119" s="245">
        <v>142.01</v>
      </c>
      <c r="J119" s="245"/>
      <c r="K119" s="252">
        <v>144.73</v>
      </c>
      <c r="L119" s="245"/>
      <c r="M119" s="245">
        <v>141.18</v>
      </c>
      <c r="N119" s="245">
        <v>500</v>
      </c>
      <c r="O119" s="245">
        <v>101.44</v>
      </c>
      <c r="P119" s="245"/>
      <c r="Q119" s="252">
        <v>155.71</v>
      </c>
      <c r="R119" s="245"/>
      <c r="S119" s="252">
        <v>121.79</v>
      </c>
      <c r="T119" s="244">
        <v>112.38</v>
      </c>
      <c r="U119" s="245"/>
      <c r="V119" s="245">
        <v>200</v>
      </c>
      <c r="W119" s="245">
        <v>160.49</v>
      </c>
      <c r="X119" s="245">
        <v>1000</v>
      </c>
      <c r="Y119" s="245">
        <v>94.04</v>
      </c>
      <c r="Z119" s="245"/>
      <c r="AA119" s="245">
        <v>122.97</v>
      </c>
      <c r="AB119" s="245"/>
      <c r="AC119" s="245">
        <v>143.1</v>
      </c>
      <c r="AD119" s="245"/>
      <c r="AE119" s="245">
        <f t="shared" si="9"/>
        <v>1725.5</v>
      </c>
      <c r="AF119" s="245">
        <f t="shared" si="10"/>
        <v>1500</v>
      </c>
      <c r="AG119" s="112">
        <f t="shared" si="11"/>
        <v>12.0999999999999</v>
      </c>
    </row>
    <row r="120" customHeight="1" spans="1:33">
      <c r="A120" s="242">
        <v>116</v>
      </c>
      <c r="B120" s="242" t="s">
        <v>265</v>
      </c>
      <c r="C120" s="243" t="s">
        <v>266</v>
      </c>
      <c r="D120" s="225">
        <v>299.46</v>
      </c>
      <c r="E120" s="225"/>
      <c r="F120" s="225"/>
      <c r="G120" s="225"/>
      <c r="H120" s="245"/>
      <c r="I120" s="245">
        <v>0</v>
      </c>
      <c r="J120" s="245"/>
      <c r="K120" s="252"/>
      <c r="L120" s="245"/>
      <c r="M120" s="245"/>
      <c r="N120" s="245"/>
      <c r="O120" s="245"/>
      <c r="P120" s="245"/>
      <c r="Q120" s="252"/>
      <c r="R120" s="245"/>
      <c r="S120" s="252"/>
      <c r="T120" s="244"/>
      <c r="U120" s="245"/>
      <c r="V120" s="245"/>
      <c r="W120" s="245">
        <v>0</v>
      </c>
      <c r="X120" s="245"/>
      <c r="Y120" s="245"/>
      <c r="Z120" s="245"/>
      <c r="AA120" s="245"/>
      <c r="AB120" s="245"/>
      <c r="AC120" s="245"/>
      <c r="AD120" s="245"/>
      <c r="AE120" s="245">
        <f t="shared" si="9"/>
        <v>0</v>
      </c>
      <c r="AF120" s="245">
        <f t="shared" si="10"/>
        <v>0</v>
      </c>
      <c r="AG120" s="112">
        <f t="shared" si="11"/>
        <v>299.46</v>
      </c>
    </row>
    <row r="121" customHeight="1" spans="1:33">
      <c r="A121" s="242">
        <v>117</v>
      </c>
      <c r="B121" s="242" t="s">
        <v>267</v>
      </c>
      <c r="C121" s="243" t="s">
        <v>268</v>
      </c>
      <c r="D121" s="225">
        <v>100.96</v>
      </c>
      <c r="E121" s="225">
        <v>118.61</v>
      </c>
      <c r="F121" s="225">
        <v>65.5</v>
      </c>
      <c r="G121" s="225">
        <v>72.91</v>
      </c>
      <c r="H121" s="245">
        <v>190</v>
      </c>
      <c r="I121" s="245">
        <v>54.41</v>
      </c>
      <c r="J121" s="245">
        <v>200</v>
      </c>
      <c r="K121" s="252">
        <v>68.56</v>
      </c>
      <c r="L121" s="245"/>
      <c r="M121" s="245">
        <v>98.49</v>
      </c>
      <c r="N121" s="245"/>
      <c r="O121" s="245">
        <v>81.83</v>
      </c>
      <c r="P121" s="245">
        <v>200</v>
      </c>
      <c r="Q121" s="252">
        <v>167.56</v>
      </c>
      <c r="R121" s="245"/>
      <c r="S121" s="252">
        <v>188.8</v>
      </c>
      <c r="T121" s="244">
        <v>123.19</v>
      </c>
      <c r="U121" s="245">
        <v>700</v>
      </c>
      <c r="V121" s="245"/>
      <c r="W121" s="245">
        <v>203.78</v>
      </c>
      <c r="X121" s="245"/>
      <c r="Y121" s="245">
        <v>111.5</v>
      </c>
      <c r="Z121" s="245"/>
      <c r="AA121" s="245">
        <v>94.67</v>
      </c>
      <c r="AB121" s="245">
        <v>500</v>
      </c>
      <c r="AC121" s="245">
        <v>79.98</v>
      </c>
      <c r="AD121" s="245"/>
      <c r="AE121" s="245">
        <f t="shared" si="9"/>
        <v>1464.29</v>
      </c>
      <c r="AF121" s="245">
        <f t="shared" si="10"/>
        <v>1855.5</v>
      </c>
      <c r="AG121" s="112">
        <f t="shared" si="11"/>
        <v>492.17</v>
      </c>
    </row>
    <row r="122" customHeight="1" spans="1:33">
      <c r="A122" s="242">
        <v>118</v>
      </c>
      <c r="B122" s="242" t="s">
        <v>269</v>
      </c>
      <c r="C122" s="243" t="s">
        <v>270</v>
      </c>
      <c r="D122" s="225">
        <v>985.9</v>
      </c>
      <c r="E122" s="225">
        <v>261.71</v>
      </c>
      <c r="F122" s="225"/>
      <c r="G122" s="225">
        <v>284.02</v>
      </c>
      <c r="H122" s="245"/>
      <c r="I122" s="245">
        <v>194.78</v>
      </c>
      <c r="J122" s="245"/>
      <c r="K122" s="252">
        <v>198.6</v>
      </c>
      <c r="L122" s="245">
        <v>2000</v>
      </c>
      <c r="M122" s="245">
        <v>195.27</v>
      </c>
      <c r="N122" s="245"/>
      <c r="O122" s="245">
        <v>123.3</v>
      </c>
      <c r="P122" s="245"/>
      <c r="Q122" s="252">
        <v>156.84</v>
      </c>
      <c r="R122" s="245"/>
      <c r="S122" s="252">
        <v>158.5</v>
      </c>
      <c r="T122" s="244">
        <v>140.85</v>
      </c>
      <c r="U122" s="245"/>
      <c r="V122" s="245"/>
      <c r="W122" s="245">
        <v>183.58</v>
      </c>
      <c r="X122" s="245"/>
      <c r="Y122" s="245">
        <v>152.61</v>
      </c>
      <c r="Z122" s="245"/>
      <c r="AA122" s="245">
        <v>167.58</v>
      </c>
      <c r="AB122" s="245"/>
      <c r="AC122" s="245">
        <v>245.39</v>
      </c>
      <c r="AD122" s="245"/>
      <c r="AE122" s="245">
        <f t="shared" si="9"/>
        <v>2463.03</v>
      </c>
      <c r="AF122" s="245">
        <f t="shared" si="10"/>
        <v>2000</v>
      </c>
      <c r="AG122" s="112">
        <f t="shared" si="11"/>
        <v>522.87</v>
      </c>
    </row>
    <row r="123" customHeight="1" spans="1:33">
      <c r="A123" s="242">
        <v>119</v>
      </c>
      <c r="B123" s="242" t="s">
        <v>271</v>
      </c>
      <c r="C123" s="243" t="s">
        <v>272</v>
      </c>
      <c r="D123" s="225">
        <v>713.93</v>
      </c>
      <c r="E123" s="225">
        <v>48.42</v>
      </c>
      <c r="F123" s="225"/>
      <c r="G123" s="225">
        <v>17.96</v>
      </c>
      <c r="H123" s="245"/>
      <c r="I123" s="245">
        <v>11.97</v>
      </c>
      <c r="J123" s="245"/>
      <c r="K123" s="252"/>
      <c r="L123" s="245"/>
      <c r="M123" s="245">
        <v>0.57</v>
      </c>
      <c r="N123" s="245"/>
      <c r="O123" s="245"/>
      <c r="P123" s="245"/>
      <c r="Q123" s="252">
        <v>7.9</v>
      </c>
      <c r="R123" s="245"/>
      <c r="S123" s="252">
        <v>8.74</v>
      </c>
      <c r="T123" s="244">
        <v>15.58</v>
      </c>
      <c r="U123" s="245"/>
      <c r="V123" s="245"/>
      <c r="W123" s="245">
        <v>10.97</v>
      </c>
      <c r="X123" s="245"/>
      <c r="Y123" s="245">
        <v>11.26</v>
      </c>
      <c r="Z123" s="245"/>
      <c r="AA123" s="245">
        <v>9.25</v>
      </c>
      <c r="AB123" s="245"/>
      <c r="AC123" s="245">
        <v>7.62</v>
      </c>
      <c r="AD123" s="245"/>
      <c r="AE123" s="245">
        <f t="shared" si="9"/>
        <v>150.24</v>
      </c>
      <c r="AF123" s="245">
        <f t="shared" si="10"/>
        <v>0</v>
      </c>
      <c r="AG123" s="112">
        <f t="shared" si="11"/>
        <v>563.69</v>
      </c>
    </row>
    <row r="124" customHeight="1" spans="1:33">
      <c r="A124" s="242">
        <v>120</v>
      </c>
      <c r="B124" s="242" t="s">
        <v>273</v>
      </c>
      <c r="C124" s="243" t="s">
        <v>274</v>
      </c>
      <c r="D124" s="225">
        <v>19.2199999999998</v>
      </c>
      <c r="E124" s="225">
        <v>237.23</v>
      </c>
      <c r="F124" s="225">
        <v>800</v>
      </c>
      <c r="G124" s="225">
        <v>219.27</v>
      </c>
      <c r="H124" s="245"/>
      <c r="I124" s="245">
        <v>184.44</v>
      </c>
      <c r="J124" s="245">
        <v>900</v>
      </c>
      <c r="K124" s="252">
        <v>189.89</v>
      </c>
      <c r="L124" s="245"/>
      <c r="M124" s="245">
        <v>128.66</v>
      </c>
      <c r="N124" s="245"/>
      <c r="O124" s="245">
        <v>86.31</v>
      </c>
      <c r="P124" s="245"/>
      <c r="Q124" s="252">
        <v>176.59</v>
      </c>
      <c r="R124" s="245"/>
      <c r="S124" s="252">
        <v>178.9</v>
      </c>
      <c r="T124" s="244">
        <v>175.15</v>
      </c>
      <c r="U124" s="245">
        <v>700</v>
      </c>
      <c r="V124" s="245"/>
      <c r="W124" s="245">
        <v>213.02</v>
      </c>
      <c r="X124" s="245"/>
      <c r="Y124" s="245">
        <v>144.16</v>
      </c>
      <c r="Z124" s="245"/>
      <c r="AA124" s="245">
        <v>142.01</v>
      </c>
      <c r="AB124" s="245"/>
      <c r="AC124" s="245">
        <v>195.88</v>
      </c>
      <c r="AD124" s="245"/>
      <c r="AE124" s="245">
        <f t="shared" si="9"/>
        <v>2271.51</v>
      </c>
      <c r="AF124" s="245">
        <f t="shared" si="10"/>
        <v>2400</v>
      </c>
      <c r="AG124" s="112">
        <f t="shared" si="11"/>
        <v>147.71</v>
      </c>
    </row>
    <row r="125" customHeight="1" spans="1:33">
      <c r="A125" s="242">
        <v>121</v>
      </c>
      <c r="B125" s="242" t="s">
        <v>275</v>
      </c>
      <c r="C125" s="243" t="s">
        <v>276</v>
      </c>
      <c r="D125" s="225">
        <v>162.49</v>
      </c>
      <c r="E125" s="225">
        <v>178.46</v>
      </c>
      <c r="F125" s="225">
        <v>178.46</v>
      </c>
      <c r="G125" s="225">
        <v>233.96</v>
      </c>
      <c r="H125" s="245"/>
      <c r="I125" s="245">
        <v>124.05</v>
      </c>
      <c r="J125" s="245">
        <v>233.96</v>
      </c>
      <c r="K125" s="252">
        <v>164.86</v>
      </c>
      <c r="L125" s="245">
        <f>124.05+164.86</f>
        <v>288.91</v>
      </c>
      <c r="M125" s="245">
        <v>130.94</v>
      </c>
      <c r="N125" s="245"/>
      <c r="O125" s="245">
        <v>89.67</v>
      </c>
      <c r="P125" s="245">
        <f>220.61+80.14</f>
        <v>300.75</v>
      </c>
      <c r="Q125" s="252">
        <v>138.79</v>
      </c>
      <c r="R125" s="245">
        <v>138.79</v>
      </c>
      <c r="S125" s="252">
        <v>117.71</v>
      </c>
      <c r="T125" s="244">
        <v>106.99</v>
      </c>
      <c r="U125" s="245">
        <v>224.7</v>
      </c>
      <c r="V125" s="245"/>
      <c r="W125" s="245">
        <v>140.86</v>
      </c>
      <c r="X125" s="245">
        <v>308.54</v>
      </c>
      <c r="Y125" s="245">
        <v>104.74</v>
      </c>
      <c r="Z125" s="245"/>
      <c r="AA125" s="245">
        <v>134.94</v>
      </c>
      <c r="AB125" s="245"/>
      <c r="AC125" s="245">
        <v>173.02</v>
      </c>
      <c r="AD125" s="245">
        <v>144</v>
      </c>
      <c r="AE125" s="245">
        <f t="shared" si="9"/>
        <v>1838.99</v>
      </c>
      <c r="AF125" s="245">
        <f t="shared" si="10"/>
        <v>1818.11</v>
      </c>
      <c r="AG125" s="112">
        <f t="shared" si="11"/>
        <v>141.61</v>
      </c>
    </row>
    <row r="126" customHeight="1" spans="1:33">
      <c r="A126" s="242">
        <v>122</v>
      </c>
      <c r="B126" s="242" t="s">
        <v>277</v>
      </c>
      <c r="C126" s="243" t="s">
        <v>278</v>
      </c>
      <c r="D126" s="225">
        <v>146.34</v>
      </c>
      <c r="E126" s="225">
        <v>218.18</v>
      </c>
      <c r="F126" s="225">
        <v>220</v>
      </c>
      <c r="G126" s="225">
        <v>206.76</v>
      </c>
      <c r="H126" s="245">
        <v>205</v>
      </c>
      <c r="I126" s="245">
        <v>143.64</v>
      </c>
      <c r="J126" s="245">
        <v>150</v>
      </c>
      <c r="K126" s="252">
        <v>142.55</v>
      </c>
      <c r="L126" s="245">
        <v>136</v>
      </c>
      <c r="M126" s="245">
        <v>178.19</v>
      </c>
      <c r="N126" s="245"/>
      <c r="O126" s="245">
        <v>96.4</v>
      </c>
      <c r="P126" s="245">
        <f>80.14+300</f>
        <v>380.14</v>
      </c>
      <c r="Q126" s="252">
        <v>219.46</v>
      </c>
      <c r="R126" s="245">
        <v>200</v>
      </c>
      <c r="S126" s="252">
        <v>272.14</v>
      </c>
      <c r="T126" s="244">
        <v>145.58</v>
      </c>
      <c r="U126" s="245">
        <v>412</v>
      </c>
      <c r="V126" s="245">
        <v>180</v>
      </c>
      <c r="W126" s="245">
        <v>229.18</v>
      </c>
      <c r="X126" s="245">
        <v>230</v>
      </c>
      <c r="Y126" s="245">
        <v>143.6</v>
      </c>
      <c r="Z126" s="245">
        <v>143</v>
      </c>
      <c r="AA126" s="245">
        <v>140.38</v>
      </c>
      <c r="AB126" s="245">
        <v>140</v>
      </c>
      <c r="AC126" s="245">
        <v>139.83</v>
      </c>
      <c r="AD126" s="245"/>
      <c r="AE126" s="245">
        <f t="shared" si="9"/>
        <v>2275.89</v>
      </c>
      <c r="AF126" s="245">
        <f t="shared" si="10"/>
        <v>2216.14</v>
      </c>
      <c r="AG126" s="112">
        <f t="shared" si="11"/>
        <v>86.5900000000006</v>
      </c>
    </row>
    <row r="127" customHeight="1" spans="1:33">
      <c r="A127" s="242">
        <v>123</v>
      </c>
      <c r="B127" s="242" t="s">
        <v>279</v>
      </c>
      <c r="C127" s="243" t="s">
        <v>280</v>
      </c>
      <c r="D127" s="225">
        <v>2381.53</v>
      </c>
      <c r="E127" s="225">
        <v>163.23</v>
      </c>
      <c r="F127" s="225"/>
      <c r="G127" s="225">
        <v>146.91</v>
      </c>
      <c r="H127" s="245"/>
      <c r="I127" s="245">
        <v>118.61</v>
      </c>
      <c r="J127" s="245">
        <v>300</v>
      </c>
      <c r="K127" s="252">
        <v>121.33</v>
      </c>
      <c r="L127" s="245"/>
      <c r="M127" s="245">
        <v>106.46</v>
      </c>
      <c r="N127" s="245">
        <v>300</v>
      </c>
      <c r="O127" s="245">
        <v>65.57</v>
      </c>
      <c r="P127" s="245">
        <v>80.14</v>
      </c>
      <c r="Q127" s="252">
        <v>105.5</v>
      </c>
      <c r="R127" s="245"/>
      <c r="S127" s="252">
        <v>107.81</v>
      </c>
      <c r="T127" s="244">
        <v>68.41</v>
      </c>
      <c r="U127" s="245">
        <v>300</v>
      </c>
      <c r="V127" s="245">
        <v>155</v>
      </c>
      <c r="W127" s="245">
        <v>125.85</v>
      </c>
      <c r="X127" s="245"/>
      <c r="Y127" s="245">
        <v>94.61</v>
      </c>
      <c r="Z127" s="245">
        <v>300</v>
      </c>
      <c r="AA127" s="245">
        <v>130.58</v>
      </c>
      <c r="AB127" s="245"/>
      <c r="AC127" s="245">
        <v>130.05</v>
      </c>
      <c r="AD127" s="245"/>
      <c r="AE127" s="245">
        <f t="shared" si="9"/>
        <v>1484.92</v>
      </c>
      <c r="AF127" s="245">
        <f t="shared" si="10"/>
        <v>1280.14</v>
      </c>
      <c r="AG127" s="112">
        <f t="shared" si="11"/>
        <v>2176.75</v>
      </c>
    </row>
    <row r="128" customHeight="1" spans="1:33">
      <c r="A128" s="242">
        <v>124</v>
      </c>
      <c r="B128" s="242" t="s">
        <v>281</v>
      </c>
      <c r="C128" s="243" t="s">
        <v>282</v>
      </c>
      <c r="D128" s="225">
        <v>234.19</v>
      </c>
      <c r="E128" s="225">
        <v>9.79</v>
      </c>
      <c r="F128" s="225"/>
      <c r="G128" s="225">
        <v>48.97</v>
      </c>
      <c r="H128" s="245"/>
      <c r="I128" s="245">
        <v>9.79</v>
      </c>
      <c r="J128" s="245"/>
      <c r="K128" s="252">
        <v>9.25</v>
      </c>
      <c r="L128" s="245">
        <f>1000+100</f>
        <v>1100</v>
      </c>
      <c r="M128" s="245">
        <v>6.83</v>
      </c>
      <c r="N128" s="245"/>
      <c r="O128" s="245">
        <v>7.29</v>
      </c>
      <c r="P128" s="245"/>
      <c r="Q128" s="252">
        <v>8.46</v>
      </c>
      <c r="R128" s="245"/>
      <c r="S128" s="252">
        <v>11.07</v>
      </c>
      <c r="T128" s="244">
        <v>11.84</v>
      </c>
      <c r="U128" s="245"/>
      <c r="V128" s="245"/>
      <c r="W128" s="245">
        <v>31.75</v>
      </c>
      <c r="X128" s="245"/>
      <c r="Y128" s="245">
        <v>12.95</v>
      </c>
      <c r="Z128" s="245"/>
      <c r="AA128" s="245">
        <v>28.29</v>
      </c>
      <c r="AB128" s="245"/>
      <c r="AC128" s="245">
        <v>15.78</v>
      </c>
      <c r="AD128" s="245"/>
      <c r="AE128" s="245">
        <f t="shared" si="9"/>
        <v>212.06</v>
      </c>
      <c r="AF128" s="245">
        <f t="shared" si="10"/>
        <v>1100</v>
      </c>
      <c r="AG128" s="112">
        <f t="shared" si="11"/>
        <v>1122.13</v>
      </c>
    </row>
    <row r="129" customHeight="1" spans="1:33">
      <c r="A129" s="242">
        <v>125</v>
      </c>
      <c r="B129" s="242" t="s">
        <v>283</v>
      </c>
      <c r="C129" s="243" t="s">
        <v>284</v>
      </c>
      <c r="D129" s="225">
        <v>-29.1600000000008</v>
      </c>
      <c r="E129" s="225">
        <v>226.89</v>
      </c>
      <c r="F129" s="225">
        <v>200</v>
      </c>
      <c r="G129" s="225">
        <v>175.2</v>
      </c>
      <c r="H129" s="245">
        <v>300</v>
      </c>
      <c r="I129" s="245">
        <v>161.05</v>
      </c>
      <c r="J129" s="245"/>
      <c r="K129" s="252">
        <v>176.29</v>
      </c>
      <c r="L129" s="245">
        <v>500</v>
      </c>
      <c r="M129" s="245">
        <v>156.56</v>
      </c>
      <c r="N129" s="245"/>
      <c r="O129" s="245">
        <v>91.36</v>
      </c>
      <c r="P129" s="245">
        <v>200</v>
      </c>
      <c r="Q129" s="252">
        <v>195.21</v>
      </c>
      <c r="R129" s="245">
        <v>270</v>
      </c>
      <c r="S129" s="252">
        <v>210.95</v>
      </c>
      <c r="T129" s="244">
        <v>160.79</v>
      </c>
      <c r="U129" s="245">
        <v>362</v>
      </c>
      <c r="V129" s="245">
        <v>190</v>
      </c>
      <c r="W129" s="245">
        <v>219.37</v>
      </c>
      <c r="X129" s="245">
        <v>220</v>
      </c>
      <c r="Y129" s="245">
        <v>130.65</v>
      </c>
      <c r="Z129" s="245">
        <v>130</v>
      </c>
      <c r="AA129" s="245">
        <v>154.52</v>
      </c>
      <c r="AB129" s="245">
        <v>155</v>
      </c>
      <c r="AC129" s="245">
        <v>157.24</v>
      </c>
      <c r="AD129" s="245"/>
      <c r="AE129" s="245">
        <f t="shared" si="9"/>
        <v>2216.08</v>
      </c>
      <c r="AF129" s="245">
        <f t="shared" si="10"/>
        <v>2337</v>
      </c>
      <c r="AG129" s="112">
        <f t="shared" si="11"/>
        <v>91.7599999999993</v>
      </c>
    </row>
    <row r="130" customHeight="1" spans="1:33">
      <c r="A130" s="242">
        <v>126</v>
      </c>
      <c r="B130" s="242" t="s">
        <v>285</v>
      </c>
      <c r="C130" s="243" t="s">
        <v>286</v>
      </c>
      <c r="D130" s="225">
        <v>113.65</v>
      </c>
      <c r="E130" s="225">
        <v>64.2</v>
      </c>
      <c r="F130" s="225">
        <v>300</v>
      </c>
      <c r="G130" s="225">
        <v>100.11</v>
      </c>
      <c r="H130" s="245"/>
      <c r="I130" s="245">
        <v>52.23</v>
      </c>
      <c r="J130" s="245"/>
      <c r="K130" s="252">
        <v>59.31</v>
      </c>
      <c r="L130" s="245"/>
      <c r="M130" s="245">
        <v>44.97</v>
      </c>
      <c r="N130" s="245">
        <v>200</v>
      </c>
      <c r="O130" s="245">
        <v>25.22</v>
      </c>
      <c r="P130" s="245">
        <v>80.14</v>
      </c>
      <c r="Q130" s="252">
        <v>38.93</v>
      </c>
      <c r="R130" s="245"/>
      <c r="S130" s="252">
        <v>39.63</v>
      </c>
      <c r="T130" s="244">
        <v>58.92</v>
      </c>
      <c r="U130" s="245">
        <v>200</v>
      </c>
      <c r="V130" s="245">
        <v>100</v>
      </c>
      <c r="W130" s="245">
        <v>40.99</v>
      </c>
      <c r="X130" s="245"/>
      <c r="Y130" s="245">
        <v>60.26</v>
      </c>
      <c r="Z130" s="245"/>
      <c r="AA130" s="245">
        <v>88.69</v>
      </c>
      <c r="AB130" s="245">
        <v>250</v>
      </c>
      <c r="AC130" s="245">
        <v>118.07</v>
      </c>
      <c r="AD130" s="245"/>
      <c r="AE130" s="245">
        <f t="shared" si="9"/>
        <v>791.53</v>
      </c>
      <c r="AF130" s="245">
        <f t="shared" si="10"/>
        <v>1030.14</v>
      </c>
      <c r="AG130" s="112">
        <f t="shared" si="11"/>
        <v>352.26</v>
      </c>
    </row>
    <row r="131" customHeight="1" spans="1:33">
      <c r="A131" s="242">
        <v>127</v>
      </c>
      <c r="B131" s="242" t="s">
        <v>287</v>
      </c>
      <c r="C131" s="243" t="s">
        <v>288</v>
      </c>
      <c r="D131" s="225">
        <v>227.76</v>
      </c>
      <c r="E131" s="225">
        <v>138.75</v>
      </c>
      <c r="F131" s="225"/>
      <c r="G131" s="225">
        <v>135.48</v>
      </c>
      <c r="H131" s="245"/>
      <c r="I131" s="245">
        <v>90.32</v>
      </c>
      <c r="J131" s="245"/>
      <c r="K131" s="252">
        <v>107.19</v>
      </c>
      <c r="L131" s="245">
        <v>1200</v>
      </c>
      <c r="M131" s="245">
        <v>104.18</v>
      </c>
      <c r="N131" s="245"/>
      <c r="O131" s="245">
        <v>70.62</v>
      </c>
      <c r="P131" s="245"/>
      <c r="Q131" s="252">
        <v>89.7</v>
      </c>
      <c r="R131" s="245"/>
      <c r="S131" s="252">
        <v>106.64</v>
      </c>
      <c r="T131" s="244">
        <v>80.05</v>
      </c>
      <c r="U131" s="245"/>
      <c r="V131" s="245">
        <v>205</v>
      </c>
      <c r="W131" s="245">
        <v>105.64</v>
      </c>
      <c r="X131" s="245"/>
      <c r="Y131" s="245">
        <v>103.06</v>
      </c>
      <c r="Z131" s="245">
        <v>1500</v>
      </c>
      <c r="AA131" s="245">
        <v>99.57</v>
      </c>
      <c r="AB131" s="245"/>
      <c r="AC131" s="245">
        <v>99.57</v>
      </c>
      <c r="AD131" s="245"/>
      <c r="AE131" s="245">
        <f t="shared" si="9"/>
        <v>1330.77</v>
      </c>
      <c r="AF131" s="245">
        <f t="shared" si="10"/>
        <v>2700</v>
      </c>
      <c r="AG131" s="112">
        <f t="shared" si="11"/>
        <v>1596.99</v>
      </c>
    </row>
    <row r="132" customHeight="1" spans="1:33">
      <c r="A132" s="242">
        <v>128</v>
      </c>
      <c r="B132" s="242" t="s">
        <v>289</v>
      </c>
      <c r="C132" s="243" t="s">
        <v>290</v>
      </c>
      <c r="D132" s="225">
        <v>-21.47</v>
      </c>
      <c r="E132" s="225">
        <v>131.13</v>
      </c>
      <c r="F132" s="225">
        <f>400+200</f>
        <v>600</v>
      </c>
      <c r="G132" s="225">
        <v>91.95</v>
      </c>
      <c r="H132" s="245"/>
      <c r="I132" s="245">
        <v>113.71</v>
      </c>
      <c r="J132" s="245"/>
      <c r="K132" s="252">
        <v>62.57</v>
      </c>
      <c r="L132" s="245"/>
      <c r="M132" s="245">
        <v>56.36</v>
      </c>
      <c r="N132" s="245"/>
      <c r="O132" s="245">
        <v>34.75</v>
      </c>
      <c r="P132" s="245">
        <v>200</v>
      </c>
      <c r="Q132" s="252">
        <v>99.3</v>
      </c>
      <c r="R132" s="245">
        <f>80.14+150</f>
        <v>230.14</v>
      </c>
      <c r="S132" s="252">
        <v>57.11</v>
      </c>
      <c r="T132" s="244">
        <v>83.05</v>
      </c>
      <c r="U132" s="245"/>
      <c r="V132" s="245"/>
      <c r="W132" s="245">
        <v>101.03</v>
      </c>
      <c r="X132" s="245"/>
      <c r="Y132" s="245">
        <v>58.57</v>
      </c>
      <c r="Z132" s="245">
        <v>200</v>
      </c>
      <c r="AA132" s="245">
        <v>83.79</v>
      </c>
      <c r="AB132" s="245">
        <v>200</v>
      </c>
      <c r="AC132" s="245">
        <v>169.76</v>
      </c>
      <c r="AD132" s="245"/>
      <c r="AE132" s="245">
        <f t="shared" si="9"/>
        <v>1143.08</v>
      </c>
      <c r="AF132" s="245">
        <f t="shared" si="10"/>
        <v>1430.14</v>
      </c>
      <c r="AG132" s="112">
        <f t="shared" si="11"/>
        <v>265.59</v>
      </c>
    </row>
    <row r="133" customHeight="1" spans="1:33">
      <c r="A133" s="242">
        <v>129</v>
      </c>
      <c r="B133" s="242" t="s">
        <v>291</v>
      </c>
      <c r="C133" s="243" t="s">
        <v>292</v>
      </c>
      <c r="D133" s="225">
        <v>-1900.94</v>
      </c>
      <c r="E133" s="225">
        <v>348.77</v>
      </c>
      <c r="F133" s="225">
        <v>1000</v>
      </c>
      <c r="G133" s="225">
        <v>281.3</v>
      </c>
      <c r="H133" s="245"/>
      <c r="I133" s="245">
        <v>218.18</v>
      </c>
      <c r="J133" s="245"/>
      <c r="K133" s="252">
        <v>161.05</v>
      </c>
      <c r="L133" s="245"/>
      <c r="M133" s="245">
        <v>109.3</v>
      </c>
      <c r="N133" s="245"/>
      <c r="O133" s="245">
        <v>90.24</v>
      </c>
      <c r="P133" s="245"/>
      <c r="Q133" s="252">
        <v>184.49</v>
      </c>
      <c r="R133" s="245">
        <v>1500</v>
      </c>
      <c r="S133" s="252">
        <v>208.04</v>
      </c>
      <c r="T133" s="244">
        <v>137.9</v>
      </c>
      <c r="U133" s="245"/>
      <c r="V133" s="245"/>
      <c r="W133" s="245">
        <v>210.71</v>
      </c>
      <c r="X133" s="245"/>
      <c r="Y133" s="245">
        <v>113.75</v>
      </c>
      <c r="Z133" s="245"/>
      <c r="AA133" s="245">
        <v>129.5</v>
      </c>
      <c r="AB133" s="245">
        <v>300</v>
      </c>
      <c r="AC133" s="245">
        <v>132.22</v>
      </c>
      <c r="AD133" s="245">
        <v>200</v>
      </c>
      <c r="AE133" s="245">
        <f t="shared" si="9"/>
        <v>2325.45</v>
      </c>
      <c r="AF133" s="245">
        <f t="shared" si="10"/>
        <v>3000</v>
      </c>
      <c r="AG133" s="112">
        <f t="shared" si="11"/>
        <v>-1226.39</v>
      </c>
    </row>
    <row r="134" customHeight="1" spans="1:33">
      <c r="A134" s="242">
        <v>130</v>
      </c>
      <c r="B134" s="108"/>
      <c r="C134" s="108" t="s">
        <v>3</v>
      </c>
      <c r="D134" s="245">
        <f>SUM(D5:D133)</f>
        <v>54038.016</v>
      </c>
      <c r="E134" s="245">
        <f t="shared" ref="E134:AG134" si="12">SUM(E5:E133)</f>
        <v>21196.93</v>
      </c>
      <c r="F134" s="245">
        <f t="shared" si="12"/>
        <v>19432.94</v>
      </c>
      <c r="G134" s="245">
        <f t="shared" si="12"/>
        <v>22195.13</v>
      </c>
      <c r="H134" s="245">
        <f t="shared" si="12"/>
        <v>16955</v>
      </c>
      <c r="I134" s="245">
        <f t="shared" si="12"/>
        <v>14550.61</v>
      </c>
      <c r="J134" s="245">
        <f t="shared" si="12"/>
        <v>16183.96</v>
      </c>
      <c r="K134" s="245">
        <f t="shared" si="12"/>
        <v>14223.57</v>
      </c>
      <c r="L134" s="245">
        <f t="shared" si="12"/>
        <v>24111.01</v>
      </c>
      <c r="M134" s="245">
        <f t="shared" si="12"/>
        <v>13345.97</v>
      </c>
      <c r="N134" s="245">
        <f t="shared" si="12"/>
        <v>17286.09</v>
      </c>
      <c r="O134" s="245">
        <f t="shared" si="12"/>
        <v>9492.41</v>
      </c>
      <c r="P134" s="245">
        <f t="shared" si="12"/>
        <v>23046.14</v>
      </c>
      <c r="Q134" s="245">
        <f t="shared" si="12"/>
        <v>17274.26</v>
      </c>
      <c r="R134" s="245">
        <f t="shared" si="12"/>
        <v>17940.71</v>
      </c>
      <c r="S134" s="245">
        <f t="shared" si="12"/>
        <v>20099.82</v>
      </c>
      <c r="T134" s="245">
        <f t="shared" si="12"/>
        <v>13064.68</v>
      </c>
      <c r="U134" s="245">
        <f t="shared" si="12"/>
        <v>31537.41</v>
      </c>
      <c r="V134" s="245">
        <f t="shared" si="12"/>
        <v>10435</v>
      </c>
      <c r="W134" s="245">
        <f t="shared" si="12"/>
        <v>21780.12</v>
      </c>
      <c r="X134" s="245">
        <f t="shared" si="12"/>
        <v>21042.42</v>
      </c>
      <c r="Y134" s="245">
        <f t="shared" si="12"/>
        <v>13686.19</v>
      </c>
      <c r="Z134" s="245">
        <f t="shared" si="12"/>
        <v>14852.83</v>
      </c>
      <c r="AA134" s="245">
        <f t="shared" si="12"/>
        <v>14313.79</v>
      </c>
      <c r="AB134" s="245">
        <f t="shared" si="12"/>
        <v>10667.14</v>
      </c>
      <c r="AC134" s="245">
        <f t="shared" si="12"/>
        <v>15707.19</v>
      </c>
      <c r="AD134" s="245">
        <f t="shared" si="12"/>
        <v>11882.04</v>
      </c>
      <c r="AE134" s="245">
        <f t="shared" si="12"/>
        <v>210930.67</v>
      </c>
      <c r="AF134" s="245">
        <f t="shared" si="12"/>
        <v>224937.69</v>
      </c>
      <c r="AG134" s="245">
        <f t="shared" si="12"/>
        <v>68045.036</v>
      </c>
    </row>
  </sheetData>
  <sheetProtection password="DE10" sheet="1" objects="1"/>
  <mergeCells count="3">
    <mergeCell ref="A1:AG1"/>
    <mergeCell ref="A2:D2"/>
    <mergeCell ref="AB2:AG2"/>
  </mergeCells>
  <conditionalFormatting sqref="C5:C68">
    <cfRule type="cellIs" dxfId="0" priority="4" operator="equal">
      <formula>0</formula>
    </cfRule>
    <cfRule type="duplicateValues" dxfId="1" priority="3"/>
  </conditionalFormatting>
  <conditionalFormatting sqref="C71:C133">
    <cfRule type="cellIs" dxfId="0" priority="2" operator="equal">
      <formula>0</formula>
    </cfRule>
  </conditionalFormatting>
  <pageMargins left="0.393055555555556" right="0.393055555555556" top="0.393055555555556" bottom="0.393055555555556" header="0.298611111111111" footer="0.298611111111111"/>
  <pageSetup paperSize="9" scale="35" fitToHeight="0" orientation="landscape" horizontalDpi="6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33"/>
  <sheetViews>
    <sheetView topLeftCell="A64" workbookViewId="0">
      <selection activeCell="X6" sqref="X6"/>
    </sheetView>
  </sheetViews>
  <sheetFormatPr defaultColWidth="9" defaultRowHeight="13.5"/>
  <cols>
    <col min="1" max="3" width="9" style="11"/>
    <col min="4" max="4" width="17.3833333333333" style="14" customWidth="1"/>
    <col min="5" max="5" width="13.775" style="14" customWidth="1"/>
    <col min="6" max="6" width="13.1083333333333" style="14" customWidth="1"/>
    <col min="7" max="7" width="9" style="14"/>
    <col min="8" max="8" width="13.225" style="14" customWidth="1"/>
    <col min="9" max="9" width="9.44166666666667" style="14"/>
    <col min="10" max="10" width="13.5583333333333" style="14" customWidth="1"/>
    <col min="11" max="11" width="9.44166666666667" style="14"/>
    <col min="12" max="12" width="13" style="14" customWidth="1"/>
    <col min="13" max="13" width="9.44166666666667" style="14"/>
    <col min="14" max="14" width="12.225" style="14" customWidth="1"/>
    <col min="15" max="15" width="9.44166666666667" style="14"/>
    <col min="16" max="16" width="10.3833333333333" style="14"/>
    <col min="17" max="17" width="9.44166666666667" style="14"/>
    <col min="18" max="18" width="10.3833333333333" style="14"/>
    <col min="19" max="19" width="10.6666666666667" style="14"/>
    <col min="20" max="20" width="9.44166666666667" style="14"/>
    <col min="21" max="21" width="13.25" style="14"/>
    <col min="22" max="22" width="9.44166666666667" style="14"/>
    <col min="23" max="23" width="13.25" style="14"/>
    <col min="24" max="24" width="9.44166666666667" style="14"/>
    <col min="25" max="25" width="13.25" style="14"/>
    <col min="26" max="26" width="9.44166666666667" style="14"/>
    <col min="27" max="27" width="12.4416666666667" style="14" customWidth="1"/>
    <col min="28" max="28" width="13.6666666666667" style="14" customWidth="1"/>
    <col min="29" max="29" width="13.25" style="14"/>
    <col min="30" max="30" width="10.775" style="14"/>
    <col min="31" max="31" width="11.8916666666667" style="14"/>
    <col min="32" max="32" width="13" style="14"/>
    <col min="33" max="33" width="9" style="11"/>
  </cols>
  <sheetData>
    <row r="1" s="4" customFormat="1" ht="35" customHeight="1" spans="1:33">
      <c r="A1" s="43" t="s">
        <v>310</v>
      </c>
      <c r="B1" s="43"/>
      <c r="C1" s="43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14"/>
      <c r="AE1" s="14"/>
      <c r="AF1" s="14"/>
      <c r="AG1" s="11"/>
    </row>
    <row r="2" customFormat="1" ht="35" customHeight="1" spans="1:33">
      <c r="A2" s="45" t="s">
        <v>1</v>
      </c>
      <c r="B2" s="45"/>
      <c r="C2" s="45"/>
      <c r="D2" s="46"/>
      <c r="E2" s="47"/>
      <c r="F2" s="47"/>
      <c r="G2" s="4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79" t="s">
        <v>2</v>
      </c>
      <c r="AB2" s="179"/>
      <c r="AC2" s="179"/>
      <c r="AD2" s="179"/>
      <c r="AE2" s="179"/>
      <c r="AF2" s="179"/>
      <c r="AG2" s="11"/>
    </row>
    <row r="3" s="5" customFormat="1" ht="48" customHeight="1" spans="1:33">
      <c r="A3" s="48" t="s">
        <v>6</v>
      </c>
      <c r="B3" s="48" t="s">
        <v>7</v>
      </c>
      <c r="C3" s="48" t="s">
        <v>8</v>
      </c>
      <c r="D3" s="49" t="s">
        <v>9</v>
      </c>
      <c r="E3" s="209" t="s">
        <v>311</v>
      </c>
      <c r="F3" s="50" t="s">
        <v>11</v>
      </c>
      <c r="G3" s="50" t="s">
        <v>12</v>
      </c>
      <c r="H3" s="50" t="s">
        <v>13</v>
      </c>
      <c r="I3" s="50" t="s">
        <v>14</v>
      </c>
      <c r="J3" s="50" t="s">
        <v>15</v>
      </c>
      <c r="K3" s="50" t="s">
        <v>16</v>
      </c>
      <c r="L3" s="50" t="s">
        <v>17</v>
      </c>
      <c r="M3" s="50" t="s">
        <v>18</v>
      </c>
      <c r="N3" s="50" t="s">
        <v>19</v>
      </c>
      <c r="O3" s="50" t="s">
        <v>20</v>
      </c>
      <c r="P3" s="50" t="s">
        <v>21</v>
      </c>
      <c r="Q3" s="50" t="s">
        <v>22</v>
      </c>
      <c r="R3" s="50" t="s">
        <v>23</v>
      </c>
      <c r="S3" s="50" t="s">
        <v>312</v>
      </c>
      <c r="T3" s="50" t="s">
        <v>24</v>
      </c>
      <c r="U3" s="50" t="s">
        <v>25</v>
      </c>
      <c r="V3" s="50" t="s">
        <v>26</v>
      </c>
      <c r="W3" s="50" t="s">
        <v>27</v>
      </c>
      <c r="X3" s="50" t="s">
        <v>28</v>
      </c>
      <c r="Y3" s="50" t="s">
        <v>29</v>
      </c>
      <c r="Z3" s="50" t="s">
        <v>30</v>
      </c>
      <c r="AA3" s="50" t="s">
        <v>31</v>
      </c>
      <c r="AB3" s="209" t="s">
        <v>313</v>
      </c>
      <c r="AC3" s="50" t="s">
        <v>33</v>
      </c>
      <c r="AD3" s="50" t="s">
        <v>32</v>
      </c>
      <c r="AE3" s="50" t="s">
        <v>314</v>
      </c>
      <c r="AF3" s="206" t="s">
        <v>36</v>
      </c>
      <c r="AG3" s="12"/>
    </row>
    <row r="4" s="4" customFormat="1" ht="35" customHeight="1" spans="1:33">
      <c r="A4" s="48">
        <v>1</v>
      </c>
      <c r="B4" s="48" t="s">
        <v>37</v>
      </c>
      <c r="C4" s="51" t="s">
        <v>38</v>
      </c>
      <c r="D4" s="50">
        <v>367.48</v>
      </c>
      <c r="E4" s="101">
        <v>43.41918</v>
      </c>
      <c r="F4" s="50"/>
      <c r="G4" s="50"/>
      <c r="H4" s="101"/>
      <c r="I4" s="101">
        <v>158.94</v>
      </c>
      <c r="J4" s="101">
        <v>300</v>
      </c>
      <c r="K4" s="101">
        <v>86.88</v>
      </c>
      <c r="L4" s="101">
        <v>0</v>
      </c>
      <c r="M4" s="101">
        <v>126.38</v>
      </c>
      <c r="N4" s="101"/>
      <c r="O4" s="101">
        <v>70.248751</v>
      </c>
      <c r="P4" s="101"/>
      <c r="Q4" s="101">
        <v>21.05</v>
      </c>
      <c r="R4" s="233"/>
      <c r="S4" s="233">
        <v>94.67</v>
      </c>
      <c r="T4" s="101">
        <v>92.82</v>
      </c>
      <c r="U4" s="233">
        <v>221.92</v>
      </c>
      <c r="V4" s="101">
        <v>107.71</v>
      </c>
      <c r="W4" s="233"/>
      <c r="X4" s="101">
        <v>39.27</v>
      </c>
      <c r="Y4" s="233">
        <v>295.2</v>
      </c>
      <c r="Z4" s="101">
        <v>42.97</v>
      </c>
      <c r="AA4" s="233">
        <v>39.27</v>
      </c>
      <c r="AB4" s="235">
        <v>42.08</v>
      </c>
      <c r="AC4" s="233">
        <v>42.97</v>
      </c>
      <c r="AD4" s="185">
        <f>E4+G4+I4+K4+M4+O4+Q4+S4+T4+V4+X4+Z4+AB4</f>
        <v>926.437931</v>
      </c>
      <c r="AE4" s="185">
        <f>F4+H4+J4+L4+N4+P4+R4+U4+W4+Y4+AA4+AC4</f>
        <v>899.36</v>
      </c>
      <c r="AF4" s="185">
        <f>D4+AE4-AD4</f>
        <v>340.402069</v>
      </c>
      <c r="AG4" s="11"/>
    </row>
    <row r="5" s="4" customFormat="1" ht="35" customHeight="1" spans="1:33">
      <c r="A5" s="48">
        <v>2</v>
      </c>
      <c r="B5" s="48" t="s">
        <v>39</v>
      </c>
      <c r="C5" s="51" t="s">
        <v>40</v>
      </c>
      <c r="D5" s="50">
        <v>763.52</v>
      </c>
      <c r="E5" s="101">
        <v>104.548815</v>
      </c>
      <c r="F5" s="50"/>
      <c r="G5" s="50"/>
      <c r="H5" s="101"/>
      <c r="I5" s="101">
        <v>453.93</v>
      </c>
      <c r="J5" s="101">
        <v>1000</v>
      </c>
      <c r="K5" s="101">
        <v>236.92</v>
      </c>
      <c r="L5" s="101">
        <v>0</v>
      </c>
      <c r="M5" s="101">
        <v>163.29</v>
      </c>
      <c r="N5" s="101"/>
      <c r="O5" s="101">
        <v>108.879851</v>
      </c>
      <c r="P5" s="101"/>
      <c r="Q5" s="101">
        <v>86.26</v>
      </c>
      <c r="R5" s="233"/>
      <c r="S5" s="233">
        <v>265.52</v>
      </c>
      <c r="T5" s="101">
        <v>110.23</v>
      </c>
      <c r="U5" s="233"/>
      <c r="V5" s="101">
        <v>93.82</v>
      </c>
      <c r="W5" s="233">
        <v>81.41</v>
      </c>
      <c r="X5" s="101">
        <v>51.79</v>
      </c>
      <c r="Y5" s="233">
        <v>93.82</v>
      </c>
      <c r="Z5" s="101">
        <v>106.61</v>
      </c>
      <c r="AA5" s="233">
        <v>51.79</v>
      </c>
      <c r="AB5" s="176">
        <v>89.96</v>
      </c>
      <c r="AC5" s="233">
        <v>106.61</v>
      </c>
      <c r="AD5" s="185">
        <f t="shared" ref="AD5:AD36" si="0">E5+G5+I5+K5+M5+O5+Q5+S5+T5+V5+X5+Z5+AB5</f>
        <v>1871.758666</v>
      </c>
      <c r="AE5" s="185">
        <f t="shared" ref="AE5:AE36" si="1">F5+H5+J5+L5+N5+P5+R5+U5+W5+Y5+AA5+AC5</f>
        <v>1333.63</v>
      </c>
      <c r="AF5" s="185">
        <f t="shared" ref="AF5:AF36" si="2">D5+AE5-AD5</f>
        <v>225.391334</v>
      </c>
      <c r="AG5" s="11"/>
    </row>
    <row r="6" s="4" customFormat="1" ht="35" customHeight="1" spans="1:33">
      <c r="A6" s="48">
        <v>3</v>
      </c>
      <c r="B6" s="48" t="s">
        <v>41</v>
      </c>
      <c r="C6" s="51" t="s">
        <v>42</v>
      </c>
      <c r="D6" s="50">
        <v>274.23</v>
      </c>
      <c r="E6" s="101">
        <v>162.821925</v>
      </c>
      <c r="F6" s="50">
        <v>300</v>
      </c>
      <c r="G6" s="50"/>
      <c r="H6" s="101"/>
      <c r="I6" s="101">
        <v>573.31</v>
      </c>
      <c r="J6" s="101"/>
      <c r="K6" s="101">
        <v>222.1</v>
      </c>
      <c r="L6" s="101">
        <v>565</v>
      </c>
      <c r="M6" s="101">
        <v>143.11</v>
      </c>
      <c r="N6" s="101">
        <v>150</v>
      </c>
      <c r="O6" s="101">
        <v>156.216551</v>
      </c>
      <c r="P6" s="101"/>
      <c r="Q6" s="101">
        <v>121.19</v>
      </c>
      <c r="R6" s="234">
        <v>292.908376</v>
      </c>
      <c r="S6" s="233">
        <v>267.15</v>
      </c>
      <c r="T6" s="101">
        <v>182.6</v>
      </c>
      <c r="U6" s="233">
        <v>121.19</v>
      </c>
      <c r="V6" s="101">
        <v>191.6</v>
      </c>
      <c r="W6" s="233">
        <v>449.75</v>
      </c>
      <c r="X6" s="101">
        <v>76.82</v>
      </c>
      <c r="Y6" s="233">
        <v>191.6</v>
      </c>
      <c r="Z6" s="101">
        <v>77.28</v>
      </c>
      <c r="AA6" s="233">
        <v>76.82</v>
      </c>
      <c r="AB6" s="176">
        <v>88.33</v>
      </c>
      <c r="AC6" s="233">
        <v>77.28</v>
      </c>
      <c r="AD6" s="185">
        <f t="shared" si="0"/>
        <v>2262.528476</v>
      </c>
      <c r="AE6" s="185">
        <f t="shared" si="1"/>
        <v>2224.548376</v>
      </c>
      <c r="AF6" s="185">
        <f t="shared" si="2"/>
        <v>236.2499</v>
      </c>
      <c r="AG6" s="11"/>
    </row>
    <row r="7" s="4" customFormat="1" ht="35" customHeight="1" spans="1:33">
      <c r="A7" s="48">
        <v>4</v>
      </c>
      <c r="B7" s="48" t="s">
        <v>43</v>
      </c>
      <c r="C7" s="51" t="s">
        <v>44</v>
      </c>
      <c r="D7" s="50">
        <v>763.42</v>
      </c>
      <c r="E7" s="101">
        <v>92.55141</v>
      </c>
      <c r="F7" s="50"/>
      <c r="G7" s="50"/>
      <c r="H7" s="101"/>
      <c r="I7" s="101">
        <v>86.62</v>
      </c>
      <c r="J7" s="101"/>
      <c r="K7" s="101">
        <v>85.69</v>
      </c>
      <c r="L7" s="101">
        <v>0</v>
      </c>
      <c r="M7" s="101">
        <v>74.47</v>
      </c>
      <c r="N7" s="101"/>
      <c r="O7" s="101">
        <v>87.115851</v>
      </c>
      <c r="P7" s="101"/>
      <c r="Q7" s="101">
        <v>106.63</v>
      </c>
      <c r="R7" s="234">
        <v>13.2859609999999</v>
      </c>
      <c r="S7" s="233">
        <v>102.29</v>
      </c>
      <c r="T7" s="101">
        <v>99.9</v>
      </c>
      <c r="U7" s="233">
        <v>106.63</v>
      </c>
      <c r="V7" s="101">
        <v>106.6</v>
      </c>
      <c r="W7" s="233">
        <v>202.19</v>
      </c>
      <c r="X7" s="101">
        <v>88.79</v>
      </c>
      <c r="Y7" s="233">
        <v>106.6</v>
      </c>
      <c r="Z7" s="101">
        <v>87.8</v>
      </c>
      <c r="AA7" s="233">
        <v>88.79</v>
      </c>
      <c r="AB7" s="176">
        <v>137.3</v>
      </c>
      <c r="AC7" s="233">
        <v>87.8</v>
      </c>
      <c r="AD7" s="185">
        <f t="shared" si="0"/>
        <v>1155.757261</v>
      </c>
      <c r="AE7" s="185">
        <f t="shared" si="1"/>
        <v>605.295961</v>
      </c>
      <c r="AF7" s="185">
        <f t="shared" si="2"/>
        <v>212.9587</v>
      </c>
      <c r="AG7" s="11"/>
    </row>
    <row r="8" s="4" customFormat="1" ht="35" customHeight="1" spans="1:33">
      <c r="A8" s="48">
        <v>5</v>
      </c>
      <c r="B8" s="48" t="s">
        <v>45</v>
      </c>
      <c r="C8" s="51" t="s">
        <v>46</v>
      </c>
      <c r="D8" s="50">
        <v>459.12</v>
      </c>
      <c r="E8" s="101">
        <v>179.38977</v>
      </c>
      <c r="F8" s="50"/>
      <c r="G8" s="50"/>
      <c r="H8" s="101">
        <v>500</v>
      </c>
      <c r="I8" s="101">
        <v>186.49</v>
      </c>
      <c r="J8" s="101"/>
      <c r="K8" s="101">
        <v>128.39</v>
      </c>
      <c r="L8" s="101">
        <v>0</v>
      </c>
      <c r="M8" s="101">
        <v>122.34</v>
      </c>
      <c r="N8" s="101"/>
      <c r="O8" s="101">
        <v>150.775551</v>
      </c>
      <c r="P8" s="101"/>
      <c r="Q8" s="101">
        <v>142.73</v>
      </c>
      <c r="R8" s="234">
        <v>190.729121</v>
      </c>
      <c r="S8" s="233">
        <v>193.16</v>
      </c>
      <c r="T8" s="101">
        <v>164.1</v>
      </c>
      <c r="U8" s="233">
        <v>142.73</v>
      </c>
      <c r="V8" s="101">
        <v>166.6</v>
      </c>
      <c r="W8" s="233">
        <v>357.26</v>
      </c>
      <c r="X8" s="101">
        <v>145.92</v>
      </c>
      <c r="Y8" s="233">
        <v>166.6</v>
      </c>
      <c r="Z8" s="101">
        <v>116.57</v>
      </c>
      <c r="AA8" s="233"/>
      <c r="AB8" s="176">
        <v>130.22</v>
      </c>
      <c r="AC8" s="233">
        <v>262.49</v>
      </c>
      <c r="AD8" s="185">
        <f t="shared" si="0"/>
        <v>1826.685321</v>
      </c>
      <c r="AE8" s="185">
        <f t="shared" si="1"/>
        <v>1619.809121</v>
      </c>
      <c r="AF8" s="185">
        <f t="shared" si="2"/>
        <v>252.2438</v>
      </c>
      <c r="AG8" s="11"/>
    </row>
    <row r="9" s="4" customFormat="1" ht="35" customHeight="1" spans="1:33">
      <c r="A9" s="48">
        <v>6</v>
      </c>
      <c r="B9" s="48" t="s">
        <v>47</v>
      </c>
      <c r="C9" s="51" t="s">
        <v>48</v>
      </c>
      <c r="D9" s="50">
        <v>512.04</v>
      </c>
      <c r="E9" s="101">
        <v>53.131365</v>
      </c>
      <c r="F9" s="50"/>
      <c r="G9" s="50"/>
      <c r="H9" s="101"/>
      <c r="I9" s="101">
        <v>10.87</v>
      </c>
      <c r="J9" s="101"/>
      <c r="K9" s="101">
        <v>14.52</v>
      </c>
      <c r="L9" s="101">
        <v>0</v>
      </c>
      <c r="M9" s="101">
        <v>31.8</v>
      </c>
      <c r="N9" s="101"/>
      <c r="O9" s="101">
        <v>115.953151</v>
      </c>
      <c r="P9" s="101"/>
      <c r="Q9" s="101">
        <v>75.78</v>
      </c>
      <c r="R9" s="234">
        <v>85.2479160000002</v>
      </c>
      <c r="S9" s="233">
        <v>158.88</v>
      </c>
      <c r="T9" s="101">
        <v>75.41</v>
      </c>
      <c r="U9" s="233">
        <v>75.78</v>
      </c>
      <c r="V9" s="101">
        <v>42.16</v>
      </c>
      <c r="W9" s="233">
        <v>234.29</v>
      </c>
      <c r="X9" s="101">
        <v>14.24</v>
      </c>
      <c r="Y9" s="233">
        <v>42.16</v>
      </c>
      <c r="Z9" s="101">
        <v>13.65</v>
      </c>
      <c r="AA9" s="233">
        <v>14.24</v>
      </c>
      <c r="AB9" s="176">
        <v>14.33</v>
      </c>
      <c r="AC9" s="233">
        <v>13.65</v>
      </c>
      <c r="AD9" s="185">
        <f t="shared" si="0"/>
        <v>620.724516</v>
      </c>
      <c r="AE9" s="185">
        <f t="shared" si="1"/>
        <v>465.367916</v>
      </c>
      <c r="AF9" s="185">
        <f t="shared" si="2"/>
        <v>356.6834</v>
      </c>
      <c r="AG9" s="11"/>
    </row>
    <row r="10" s="4" customFormat="1" ht="35" customHeight="1" spans="1:33">
      <c r="A10" s="48">
        <v>7</v>
      </c>
      <c r="B10" s="48" t="s">
        <v>49</v>
      </c>
      <c r="C10" s="51" t="s">
        <v>50</v>
      </c>
      <c r="D10" s="50">
        <v>1307.66</v>
      </c>
      <c r="E10" s="101">
        <v>216.524595</v>
      </c>
      <c r="F10" s="50"/>
      <c r="G10" s="50"/>
      <c r="H10" s="101">
        <v>500</v>
      </c>
      <c r="I10" s="101">
        <v>288.07</v>
      </c>
      <c r="J10" s="101"/>
      <c r="K10" s="101">
        <v>237.52</v>
      </c>
      <c r="L10" s="101">
        <v>0</v>
      </c>
      <c r="M10" s="101">
        <v>318.44</v>
      </c>
      <c r="N10" s="101"/>
      <c r="O10" s="101">
        <v>91.468651</v>
      </c>
      <c r="P10" s="101"/>
      <c r="Q10" s="101">
        <v>194.54</v>
      </c>
      <c r="R10" s="234"/>
      <c r="S10" s="233">
        <v>199.68</v>
      </c>
      <c r="T10" s="101">
        <v>243</v>
      </c>
      <c r="U10" s="233">
        <v>238.86</v>
      </c>
      <c r="V10" s="101">
        <v>219.37</v>
      </c>
      <c r="W10" s="233">
        <v>442.68</v>
      </c>
      <c r="X10" s="101">
        <v>133.4</v>
      </c>
      <c r="Y10" s="233">
        <v>219.37</v>
      </c>
      <c r="Z10" s="101">
        <v>112.7</v>
      </c>
      <c r="AA10" s="233">
        <v>133.4</v>
      </c>
      <c r="AB10" s="176">
        <v>147.09</v>
      </c>
      <c r="AC10" s="233">
        <v>112.7</v>
      </c>
      <c r="AD10" s="185">
        <f t="shared" si="0"/>
        <v>2401.803246</v>
      </c>
      <c r="AE10" s="185">
        <f t="shared" si="1"/>
        <v>1647.01</v>
      </c>
      <c r="AF10" s="185">
        <f t="shared" si="2"/>
        <v>552.866754</v>
      </c>
      <c r="AG10" s="11"/>
    </row>
    <row r="11" s="4" customFormat="1" ht="35" customHeight="1" spans="1:33">
      <c r="A11" s="48">
        <v>8</v>
      </c>
      <c r="B11" s="48" t="s">
        <v>51</v>
      </c>
      <c r="C11" s="51" t="s">
        <v>52</v>
      </c>
      <c r="D11" s="50">
        <v>213.66</v>
      </c>
      <c r="E11" s="101">
        <v>222.80895</v>
      </c>
      <c r="F11" s="50">
        <v>157</v>
      </c>
      <c r="G11" s="50"/>
      <c r="H11" s="101">
        <v>200</v>
      </c>
      <c r="I11" s="101">
        <v>261.09</v>
      </c>
      <c r="J11" s="101">
        <v>300</v>
      </c>
      <c r="K11" s="101">
        <v>198.37</v>
      </c>
      <c r="L11" s="101">
        <v>200</v>
      </c>
      <c r="M11" s="101">
        <v>154.07</v>
      </c>
      <c r="N11" s="101"/>
      <c r="O11" s="101">
        <v>229.125951</v>
      </c>
      <c r="P11" s="101">
        <v>155</v>
      </c>
      <c r="Q11" s="101">
        <v>124.1</v>
      </c>
      <c r="R11" s="234">
        <v>210.129101</v>
      </c>
      <c r="S11" s="233">
        <v>250.83</v>
      </c>
      <c r="T11" s="101">
        <v>252.79</v>
      </c>
      <c r="U11" s="233">
        <v>124.1</v>
      </c>
      <c r="V11" s="101">
        <v>216.59</v>
      </c>
      <c r="W11" s="233">
        <v>503.62</v>
      </c>
      <c r="X11" s="101">
        <v>118.71</v>
      </c>
      <c r="Y11" s="233">
        <v>216.59</v>
      </c>
      <c r="Z11" s="101">
        <v>129.85</v>
      </c>
      <c r="AA11" s="233">
        <v>118.71</v>
      </c>
      <c r="AB11" s="176">
        <v>134.03</v>
      </c>
      <c r="AC11" s="233">
        <v>129.85</v>
      </c>
      <c r="AD11" s="185">
        <f t="shared" si="0"/>
        <v>2292.364901</v>
      </c>
      <c r="AE11" s="185">
        <f t="shared" si="1"/>
        <v>2314.999101</v>
      </c>
      <c r="AF11" s="185">
        <f t="shared" si="2"/>
        <v>236.2942</v>
      </c>
      <c r="AG11" s="11"/>
    </row>
    <row r="12" s="4" customFormat="1" ht="35" customHeight="1" spans="1:33">
      <c r="A12" s="48">
        <v>9</v>
      </c>
      <c r="B12" s="48" t="s">
        <v>53</v>
      </c>
      <c r="C12" s="51" t="s">
        <v>54</v>
      </c>
      <c r="D12" s="50">
        <v>233.68</v>
      </c>
      <c r="E12" s="101">
        <v>103.406205</v>
      </c>
      <c r="F12" s="50"/>
      <c r="G12" s="50"/>
      <c r="H12" s="101"/>
      <c r="I12" s="101">
        <v>324.23</v>
      </c>
      <c r="J12" s="101"/>
      <c r="K12" s="101">
        <v>222.1</v>
      </c>
      <c r="L12" s="101">
        <v>500</v>
      </c>
      <c r="M12" s="101">
        <v>206.55</v>
      </c>
      <c r="N12" s="101"/>
      <c r="O12" s="101">
        <v>126.835151</v>
      </c>
      <c r="P12" s="101"/>
      <c r="Q12" s="101">
        <v>145.06</v>
      </c>
      <c r="R12" s="233"/>
      <c r="S12" s="233">
        <v>202.95</v>
      </c>
      <c r="T12" s="101">
        <v>104.25</v>
      </c>
      <c r="U12" s="233">
        <v>390.08</v>
      </c>
      <c r="V12" s="101">
        <v>141.6</v>
      </c>
      <c r="W12" s="233"/>
      <c r="X12" s="101">
        <v>111.64</v>
      </c>
      <c r="Y12" s="233">
        <v>500</v>
      </c>
      <c r="Z12" s="101">
        <v>122.66</v>
      </c>
      <c r="AA12" s="233"/>
      <c r="AB12" s="176">
        <v>172.66</v>
      </c>
      <c r="AC12" s="233">
        <v>500</v>
      </c>
      <c r="AD12" s="185">
        <f t="shared" si="0"/>
        <v>1983.941356</v>
      </c>
      <c r="AE12" s="185">
        <f t="shared" si="1"/>
        <v>1890.08</v>
      </c>
      <c r="AF12" s="185">
        <f t="shared" si="2"/>
        <v>139.818643999999</v>
      </c>
      <c r="AG12" s="11"/>
    </row>
    <row r="13" s="4" customFormat="1" ht="35" customHeight="1" spans="1:33">
      <c r="A13" s="48">
        <v>10</v>
      </c>
      <c r="B13" s="48" t="s">
        <v>55</v>
      </c>
      <c r="C13" s="51" t="s">
        <v>56</v>
      </c>
      <c r="D13" s="50">
        <v>299.81</v>
      </c>
      <c r="E13" s="101">
        <v>0</v>
      </c>
      <c r="F13" s="50"/>
      <c r="G13" s="50"/>
      <c r="H13" s="101"/>
      <c r="I13" s="101"/>
      <c r="J13" s="101"/>
      <c r="K13" s="101"/>
      <c r="L13" s="101">
        <v>0</v>
      </c>
      <c r="M13" s="101"/>
      <c r="N13" s="101"/>
      <c r="O13" s="101"/>
      <c r="P13" s="101"/>
      <c r="Q13" s="101"/>
      <c r="R13" s="233"/>
      <c r="S13" s="233"/>
      <c r="T13" s="101"/>
      <c r="U13" s="233"/>
      <c r="V13" s="101">
        <v>18.83</v>
      </c>
      <c r="W13" s="233"/>
      <c r="X13" s="101">
        <v>21.86</v>
      </c>
      <c r="Y13" s="233"/>
      <c r="Z13" s="101">
        <v>15.86</v>
      </c>
      <c r="AA13" s="233"/>
      <c r="AB13" s="176">
        <v>20.86</v>
      </c>
      <c r="AC13" s="233"/>
      <c r="AD13" s="185">
        <f t="shared" si="0"/>
        <v>77.41</v>
      </c>
      <c r="AE13" s="185">
        <f t="shared" si="1"/>
        <v>0</v>
      </c>
      <c r="AF13" s="185">
        <f t="shared" si="2"/>
        <v>222.4</v>
      </c>
      <c r="AG13" s="11"/>
    </row>
    <row r="14" s="4" customFormat="1" ht="35" customHeight="1" spans="1:33">
      <c r="A14" s="48">
        <v>11</v>
      </c>
      <c r="B14" s="48" t="s">
        <v>57</v>
      </c>
      <c r="C14" s="51" t="s">
        <v>58</v>
      </c>
      <c r="D14" s="50">
        <v>300</v>
      </c>
      <c r="E14" s="101">
        <v>0</v>
      </c>
      <c r="F14" s="50"/>
      <c r="G14" s="50"/>
      <c r="H14" s="101"/>
      <c r="I14" s="101"/>
      <c r="J14" s="101"/>
      <c r="K14" s="101"/>
      <c r="L14" s="101">
        <v>0</v>
      </c>
      <c r="M14" s="101"/>
      <c r="N14" s="101"/>
      <c r="O14" s="101"/>
      <c r="P14" s="101"/>
      <c r="Q14" s="101"/>
      <c r="R14" s="233"/>
      <c r="S14" s="233"/>
      <c r="T14" s="101"/>
      <c r="U14" s="233"/>
      <c r="V14" s="101"/>
      <c r="W14" s="233"/>
      <c r="X14" s="101"/>
      <c r="Y14" s="233"/>
      <c r="Z14" s="101"/>
      <c r="AA14" s="233"/>
      <c r="AB14" s="176">
        <v>0</v>
      </c>
      <c r="AC14" s="233"/>
      <c r="AD14" s="185">
        <f t="shared" si="0"/>
        <v>0</v>
      </c>
      <c r="AE14" s="185">
        <f t="shared" si="1"/>
        <v>0</v>
      </c>
      <c r="AF14" s="185">
        <f t="shared" si="2"/>
        <v>300</v>
      </c>
      <c r="AG14" s="11"/>
    </row>
    <row r="15" s="4" customFormat="1" ht="35" customHeight="1" spans="1:33">
      <c r="A15" s="48">
        <v>12</v>
      </c>
      <c r="B15" s="48" t="s">
        <v>59</v>
      </c>
      <c r="C15" s="51" t="s">
        <v>60</v>
      </c>
      <c r="D15" s="50">
        <v>386.710000000001</v>
      </c>
      <c r="E15" s="101">
        <v>329.07168</v>
      </c>
      <c r="F15" s="50">
        <v>400</v>
      </c>
      <c r="G15" s="50"/>
      <c r="H15" s="101"/>
      <c r="I15" s="101">
        <v>339.15</v>
      </c>
      <c r="J15" s="101">
        <v>500</v>
      </c>
      <c r="K15" s="101">
        <v>239.3</v>
      </c>
      <c r="L15" s="101">
        <v>0</v>
      </c>
      <c r="M15" s="101">
        <v>216.35</v>
      </c>
      <c r="N15" s="101">
        <v>300</v>
      </c>
      <c r="O15" s="101">
        <v>349.916151</v>
      </c>
      <c r="P15" s="101"/>
      <c r="Q15" s="101">
        <v>390.16</v>
      </c>
      <c r="R15" s="234">
        <v>269.45</v>
      </c>
      <c r="S15" s="233">
        <v>341.69</v>
      </c>
      <c r="T15" s="101">
        <v>550.96</v>
      </c>
      <c r="U15" s="233">
        <v>390.16</v>
      </c>
      <c r="V15" s="101">
        <v>385.47</v>
      </c>
      <c r="W15" s="233">
        <v>892.65</v>
      </c>
      <c r="X15" s="101">
        <v>253.65</v>
      </c>
      <c r="Y15" s="233">
        <v>385.47</v>
      </c>
      <c r="Z15" s="101">
        <v>207.87</v>
      </c>
      <c r="AA15" s="233">
        <v>253.65</v>
      </c>
      <c r="AB15" s="176">
        <v>279.85</v>
      </c>
      <c r="AC15" s="233">
        <v>207.87</v>
      </c>
      <c r="AD15" s="185">
        <f t="shared" si="0"/>
        <v>3883.437831</v>
      </c>
      <c r="AE15" s="185">
        <f t="shared" si="1"/>
        <v>3599.25</v>
      </c>
      <c r="AF15" s="185">
        <f t="shared" si="2"/>
        <v>102.522169000001</v>
      </c>
      <c r="AG15" s="11"/>
    </row>
    <row r="16" s="4" customFormat="1" ht="35" customHeight="1" spans="1:33">
      <c r="A16" s="48">
        <v>13</v>
      </c>
      <c r="B16" s="48" t="s">
        <v>61</v>
      </c>
      <c r="C16" s="51" t="s">
        <v>62</v>
      </c>
      <c r="D16" s="50">
        <v>378.639999999999</v>
      </c>
      <c r="E16" s="101">
        <v>207.95502</v>
      </c>
      <c r="F16" s="50">
        <v>500</v>
      </c>
      <c r="G16" s="50"/>
      <c r="H16" s="101"/>
      <c r="I16" s="101">
        <v>410.31</v>
      </c>
      <c r="J16" s="101">
        <v>600</v>
      </c>
      <c r="K16" s="101">
        <v>333.59</v>
      </c>
      <c r="L16" s="101">
        <v>0</v>
      </c>
      <c r="M16" s="101">
        <v>310.36</v>
      </c>
      <c r="N16" s="101"/>
      <c r="O16" s="101">
        <v>272.109851</v>
      </c>
      <c r="P16" s="101"/>
      <c r="Q16" s="101">
        <v>288.28</v>
      </c>
      <c r="R16" s="234">
        <v>436.574571</v>
      </c>
      <c r="S16" s="233">
        <v>288.92</v>
      </c>
      <c r="T16" s="101">
        <v>347.46</v>
      </c>
      <c r="U16" s="233">
        <v>288.28</v>
      </c>
      <c r="V16" s="101">
        <v>304.37</v>
      </c>
      <c r="W16" s="233">
        <v>636.38</v>
      </c>
      <c r="X16" s="101">
        <v>203.59</v>
      </c>
      <c r="Y16" s="233">
        <v>304.37</v>
      </c>
      <c r="Z16" s="101">
        <v>146.45</v>
      </c>
      <c r="AA16" s="233">
        <v>203.59</v>
      </c>
      <c r="AB16" s="176">
        <v>204.22</v>
      </c>
      <c r="AC16" s="233">
        <v>146.45</v>
      </c>
      <c r="AD16" s="185">
        <f t="shared" si="0"/>
        <v>3317.614871</v>
      </c>
      <c r="AE16" s="185">
        <f t="shared" si="1"/>
        <v>3115.644571</v>
      </c>
      <c r="AF16" s="185">
        <f t="shared" si="2"/>
        <v>176.669699999999</v>
      </c>
      <c r="AG16" s="11"/>
    </row>
    <row r="17" s="4" customFormat="1" ht="35" customHeight="1" spans="1:33">
      <c r="A17" s="48">
        <v>14</v>
      </c>
      <c r="B17" s="48" t="s">
        <v>63</v>
      </c>
      <c r="C17" s="51" t="s">
        <v>64</v>
      </c>
      <c r="D17" s="50">
        <v>300</v>
      </c>
      <c r="E17" s="101">
        <v>0</v>
      </c>
      <c r="F17" s="50"/>
      <c r="G17" s="50"/>
      <c r="H17" s="101"/>
      <c r="I17" s="101"/>
      <c r="J17" s="101"/>
      <c r="K17" s="101"/>
      <c r="L17" s="101">
        <v>0</v>
      </c>
      <c r="M17" s="101"/>
      <c r="N17" s="101"/>
      <c r="O17" s="101"/>
      <c r="P17" s="101"/>
      <c r="Q17" s="101"/>
      <c r="R17" s="233"/>
      <c r="S17" s="233"/>
      <c r="T17" s="101"/>
      <c r="U17" s="233"/>
      <c r="V17" s="101"/>
      <c r="W17" s="233"/>
      <c r="X17" s="101"/>
      <c r="Y17" s="233"/>
      <c r="Z17" s="101"/>
      <c r="AA17" s="233"/>
      <c r="AB17" s="176">
        <v>0</v>
      </c>
      <c r="AC17" s="233"/>
      <c r="AD17" s="185">
        <f t="shared" si="0"/>
        <v>0</v>
      </c>
      <c r="AE17" s="185">
        <f t="shared" si="1"/>
        <v>0</v>
      </c>
      <c r="AF17" s="185">
        <f t="shared" si="2"/>
        <v>300</v>
      </c>
      <c r="AG17" s="11"/>
    </row>
    <row r="18" s="4" customFormat="1" ht="35" customHeight="1" spans="1:33">
      <c r="A18" s="48">
        <v>15</v>
      </c>
      <c r="B18" s="48" t="s">
        <v>65</v>
      </c>
      <c r="C18" s="51" t="s">
        <v>66</v>
      </c>
      <c r="D18" s="50">
        <v>300</v>
      </c>
      <c r="E18" s="101">
        <v>0</v>
      </c>
      <c r="F18" s="50"/>
      <c r="G18" s="50"/>
      <c r="H18" s="101"/>
      <c r="I18" s="101"/>
      <c r="J18" s="101"/>
      <c r="K18" s="101"/>
      <c r="L18" s="101">
        <v>0</v>
      </c>
      <c r="M18" s="101"/>
      <c r="N18" s="101"/>
      <c r="O18" s="101"/>
      <c r="P18" s="101"/>
      <c r="Q18" s="101"/>
      <c r="R18" s="233"/>
      <c r="S18" s="233"/>
      <c r="T18" s="101"/>
      <c r="U18" s="233"/>
      <c r="V18" s="101"/>
      <c r="W18" s="233"/>
      <c r="X18" s="101"/>
      <c r="Y18" s="233"/>
      <c r="Z18" s="101"/>
      <c r="AA18" s="233"/>
      <c r="AB18" s="176">
        <v>0</v>
      </c>
      <c r="AC18" s="233"/>
      <c r="AD18" s="185">
        <f t="shared" si="0"/>
        <v>0</v>
      </c>
      <c r="AE18" s="185">
        <f t="shared" si="1"/>
        <v>0</v>
      </c>
      <c r="AF18" s="185">
        <f t="shared" si="2"/>
        <v>300</v>
      </c>
      <c r="AG18" s="11"/>
    </row>
    <row r="19" s="4" customFormat="1" ht="35" customHeight="1" spans="1:33">
      <c r="A19" s="48">
        <v>16</v>
      </c>
      <c r="B19" s="48" t="s">
        <v>67</v>
      </c>
      <c r="C19" s="51" t="s">
        <v>68</v>
      </c>
      <c r="D19" s="50">
        <v>222.96</v>
      </c>
      <c r="E19" s="101">
        <v>247.94637</v>
      </c>
      <c r="F19" s="50">
        <v>500</v>
      </c>
      <c r="G19" s="50"/>
      <c r="H19" s="101"/>
      <c r="I19" s="101">
        <v>368.42</v>
      </c>
      <c r="J19" s="101">
        <v>600</v>
      </c>
      <c r="K19" s="101">
        <v>228.62</v>
      </c>
      <c r="L19" s="101">
        <v>0</v>
      </c>
      <c r="M19" s="101">
        <v>237.12</v>
      </c>
      <c r="N19" s="101"/>
      <c r="O19" s="101">
        <v>158.937051</v>
      </c>
      <c r="P19" s="101"/>
      <c r="Q19" s="101">
        <v>168.34</v>
      </c>
      <c r="R19" s="234">
        <v>293.506421</v>
      </c>
      <c r="S19" s="233">
        <v>295.99</v>
      </c>
      <c r="T19" s="101">
        <v>100.98</v>
      </c>
      <c r="U19" s="233">
        <v>168.34</v>
      </c>
      <c r="V19" s="101">
        <v>171.04</v>
      </c>
      <c r="W19" s="233">
        <v>396.97</v>
      </c>
      <c r="X19" s="101">
        <v>107.83</v>
      </c>
      <c r="Y19" s="233">
        <v>171.04</v>
      </c>
      <c r="Z19" s="101">
        <v>165.82</v>
      </c>
      <c r="AA19" s="233">
        <v>107.83</v>
      </c>
      <c r="AB19" s="176">
        <v>143.83</v>
      </c>
      <c r="AC19" s="233">
        <v>165.82</v>
      </c>
      <c r="AD19" s="185">
        <f t="shared" si="0"/>
        <v>2394.873421</v>
      </c>
      <c r="AE19" s="185">
        <f t="shared" si="1"/>
        <v>2403.506421</v>
      </c>
      <c r="AF19" s="185">
        <f t="shared" si="2"/>
        <v>231.593</v>
      </c>
      <c r="AG19" s="11"/>
    </row>
    <row r="20" s="4" customFormat="1" ht="35" customHeight="1" spans="1:33">
      <c r="A20" s="48">
        <v>17</v>
      </c>
      <c r="B20" s="48" t="s">
        <v>69</v>
      </c>
      <c r="C20" s="51" t="s">
        <v>70</v>
      </c>
      <c r="D20" s="50">
        <v>511.820000000001</v>
      </c>
      <c r="E20" s="101">
        <v>302.220345</v>
      </c>
      <c r="F20" s="50"/>
      <c r="G20" s="50"/>
      <c r="H20" s="101"/>
      <c r="I20" s="101">
        <v>346.03</v>
      </c>
      <c r="J20" s="101"/>
      <c r="K20" s="101">
        <v>222.69</v>
      </c>
      <c r="L20" s="101">
        <v>0</v>
      </c>
      <c r="M20" s="101">
        <v>204.24</v>
      </c>
      <c r="N20" s="101">
        <v>698.41</v>
      </c>
      <c r="O20" s="101">
        <v>429.354751</v>
      </c>
      <c r="P20" s="101"/>
      <c r="Q20" s="101">
        <v>483.31</v>
      </c>
      <c r="R20" s="234"/>
      <c r="S20" s="233">
        <v>421.68</v>
      </c>
      <c r="T20" s="101">
        <v>536.81</v>
      </c>
      <c r="U20" s="233">
        <v>1116.9</v>
      </c>
      <c r="V20" s="101">
        <v>686.01</v>
      </c>
      <c r="W20" s="233"/>
      <c r="X20" s="101">
        <v>266.71</v>
      </c>
      <c r="Y20" s="233">
        <v>1644.5</v>
      </c>
      <c r="Z20" s="101">
        <v>164.71</v>
      </c>
      <c r="AA20" s="233"/>
      <c r="AB20" s="176">
        <v>185.72</v>
      </c>
      <c r="AC20" s="233">
        <v>431.42</v>
      </c>
      <c r="AD20" s="185">
        <f t="shared" si="0"/>
        <v>4249.485096</v>
      </c>
      <c r="AE20" s="185">
        <f t="shared" si="1"/>
        <v>3891.23</v>
      </c>
      <c r="AF20" s="185">
        <f t="shared" si="2"/>
        <v>153.564904000001</v>
      </c>
      <c r="AG20" s="11"/>
    </row>
    <row r="21" s="4" customFormat="1" ht="35" customHeight="1" spans="1:33">
      <c r="A21" s="48">
        <v>18</v>
      </c>
      <c r="B21" s="48" t="s">
        <v>71</v>
      </c>
      <c r="C21" s="51" t="s">
        <v>72</v>
      </c>
      <c r="D21" s="50">
        <v>214.58</v>
      </c>
      <c r="E21" s="101">
        <v>14.85393</v>
      </c>
      <c r="F21" s="50"/>
      <c r="G21" s="50"/>
      <c r="H21" s="101"/>
      <c r="I21" s="101">
        <v>285.2</v>
      </c>
      <c r="J21" s="101"/>
      <c r="K21" s="101">
        <v>53.66</v>
      </c>
      <c r="L21" s="101">
        <v>400</v>
      </c>
      <c r="M21" s="101">
        <v>28.91</v>
      </c>
      <c r="N21" s="101">
        <f>28.74</f>
        <v>28.74</v>
      </c>
      <c r="O21" s="101">
        <v>12.030051</v>
      </c>
      <c r="P21" s="101">
        <v>37.49</v>
      </c>
      <c r="Q21" s="101">
        <v>78.69</v>
      </c>
      <c r="R21" s="233">
        <v>200</v>
      </c>
      <c r="S21" s="233">
        <v>152.89</v>
      </c>
      <c r="T21" s="101">
        <v>22.09</v>
      </c>
      <c r="U21" s="233"/>
      <c r="V21" s="101">
        <v>43.27</v>
      </c>
      <c r="W21" s="233"/>
      <c r="X21" s="101">
        <v>55.05</v>
      </c>
      <c r="Y21" s="233">
        <v>140.08</v>
      </c>
      <c r="Z21" s="101">
        <v>11.99</v>
      </c>
      <c r="AA21" s="233"/>
      <c r="AB21" s="176">
        <v>14.33</v>
      </c>
      <c r="AC21" s="233"/>
      <c r="AD21" s="185">
        <f t="shared" si="0"/>
        <v>772.963981</v>
      </c>
      <c r="AE21" s="185">
        <f t="shared" si="1"/>
        <v>806.31</v>
      </c>
      <c r="AF21" s="185">
        <f t="shared" si="2"/>
        <v>247.926019</v>
      </c>
      <c r="AG21" s="11"/>
    </row>
    <row r="22" s="4" customFormat="1" ht="35" customHeight="1" spans="1:33">
      <c r="A22" s="48">
        <v>19</v>
      </c>
      <c r="B22" s="48" t="s">
        <v>73</v>
      </c>
      <c r="C22" s="51" t="s">
        <v>74</v>
      </c>
      <c r="D22" s="50">
        <v>374.18</v>
      </c>
      <c r="E22" s="101">
        <v>235.37766</v>
      </c>
      <c r="F22" s="50">
        <v>1000</v>
      </c>
      <c r="G22" s="50"/>
      <c r="H22" s="101"/>
      <c r="I22" s="101">
        <v>248.47</v>
      </c>
      <c r="J22" s="101"/>
      <c r="K22" s="101">
        <v>201.93</v>
      </c>
      <c r="L22" s="101">
        <v>0</v>
      </c>
      <c r="M22" s="101">
        <v>194.44</v>
      </c>
      <c r="N22" s="101"/>
      <c r="O22" s="101">
        <v>222.596751</v>
      </c>
      <c r="P22" s="101"/>
      <c r="Q22" s="101">
        <v>218.99</v>
      </c>
      <c r="R22" s="234">
        <v>48.8689110000001</v>
      </c>
      <c r="S22" s="233">
        <v>251.92</v>
      </c>
      <c r="T22" s="101">
        <v>301.21</v>
      </c>
      <c r="U22" s="233">
        <v>218.99</v>
      </c>
      <c r="V22" s="101">
        <v>229.93</v>
      </c>
      <c r="W22" s="233">
        <v>443.21</v>
      </c>
      <c r="X22" s="101">
        <v>194.34</v>
      </c>
      <c r="Y22" s="233">
        <v>229.93</v>
      </c>
      <c r="Z22" s="101">
        <v>170.8</v>
      </c>
      <c r="AA22" s="233">
        <v>194.34</v>
      </c>
      <c r="AB22" s="176">
        <v>199.33</v>
      </c>
      <c r="AC22" s="233">
        <v>170.8</v>
      </c>
      <c r="AD22" s="185">
        <f t="shared" si="0"/>
        <v>2669.334411</v>
      </c>
      <c r="AE22" s="185">
        <f t="shared" si="1"/>
        <v>2306.138911</v>
      </c>
      <c r="AF22" s="185">
        <f t="shared" si="2"/>
        <v>10.9845</v>
      </c>
      <c r="AG22" s="11"/>
    </row>
    <row r="23" s="4" customFormat="1" ht="35" customHeight="1" spans="1:33">
      <c r="A23" s="48">
        <v>20</v>
      </c>
      <c r="B23" s="48" t="s">
        <v>75</v>
      </c>
      <c r="C23" s="51" t="s">
        <v>76</v>
      </c>
      <c r="D23" s="50">
        <v>779</v>
      </c>
      <c r="E23" s="101">
        <v>165.67845</v>
      </c>
      <c r="F23" s="50"/>
      <c r="G23" s="50"/>
      <c r="H23" s="101"/>
      <c r="I23" s="101">
        <v>92.94</v>
      </c>
      <c r="J23" s="101"/>
      <c r="K23" s="101">
        <v>131.36</v>
      </c>
      <c r="L23" s="101">
        <v>0</v>
      </c>
      <c r="M23" s="101">
        <v>124.65</v>
      </c>
      <c r="N23" s="101">
        <v>200</v>
      </c>
      <c r="O23" s="101">
        <v>216.067551</v>
      </c>
      <c r="P23" s="101"/>
      <c r="Q23" s="101">
        <v>303.99</v>
      </c>
      <c r="R23" s="234">
        <v>27.243601</v>
      </c>
      <c r="S23" s="233">
        <v>172.48</v>
      </c>
      <c r="T23" s="101">
        <v>503.07</v>
      </c>
      <c r="U23" s="233">
        <v>303.99</v>
      </c>
      <c r="V23" s="101">
        <v>398.25</v>
      </c>
      <c r="W23" s="233">
        <v>675.55</v>
      </c>
      <c r="X23" s="101">
        <v>267.8</v>
      </c>
      <c r="Y23" s="233">
        <v>398.25</v>
      </c>
      <c r="Z23" s="101">
        <v>131.51</v>
      </c>
      <c r="AA23" s="233">
        <v>267.8</v>
      </c>
      <c r="AB23" s="176">
        <v>155.8</v>
      </c>
      <c r="AC23" s="233">
        <v>131.51</v>
      </c>
      <c r="AD23" s="185">
        <f t="shared" si="0"/>
        <v>2663.596001</v>
      </c>
      <c r="AE23" s="185">
        <f t="shared" si="1"/>
        <v>2004.343601</v>
      </c>
      <c r="AF23" s="185">
        <f t="shared" si="2"/>
        <v>119.747599999999</v>
      </c>
      <c r="AG23" s="11"/>
    </row>
    <row r="24" s="4" customFormat="1" ht="35" customHeight="1" spans="1:33">
      <c r="A24" s="48">
        <v>21</v>
      </c>
      <c r="B24" s="48" t="s">
        <v>77</v>
      </c>
      <c r="C24" s="51" t="s">
        <v>78</v>
      </c>
      <c r="D24" s="50">
        <v>134.46</v>
      </c>
      <c r="E24" s="101">
        <v>12.56871</v>
      </c>
      <c r="F24" s="50"/>
      <c r="G24" s="50"/>
      <c r="H24" s="101"/>
      <c r="I24" s="101">
        <v>10.87</v>
      </c>
      <c r="J24" s="101"/>
      <c r="K24" s="101">
        <v>11.56</v>
      </c>
      <c r="L24" s="101">
        <v>0</v>
      </c>
      <c r="M24" s="101">
        <v>13.34</v>
      </c>
      <c r="N24" s="101"/>
      <c r="O24" s="101">
        <v>10.941851</v>
      </c>
      <c r="P24" s="101"/>
      <c r="Q24" s="101">
        <v>11.74</v>
      </c>
      <c r="R24" s="234">
        <v>109.330561</v>
      </c>
      <c r="S24" s="233">
        <v>12.51</v>
      </c>
      <c r="T24" s="101">
        <v>11.75</v>
      </c>
      <c r="U24" s="233">
        <v>11.74</v>
      </c>
      <c r="V24" s="101">
        <v>12.72</v>
      </c>
      <c r="W24" s="233">
        <v>24.26</v>
      </c>
      <c r="X24" s="101">
        <v>12.07</v>
      </c>
      <c r="Y24" s="233">
        <v>12.72</v>
      </c>
      <c r="Z24" s="101">
        <v>11.99</v>
      </c>
      <c r="AA24" s="233">
        <v>12.07</v>
      </c>
      <c r="AB24" s="176">
        <v>14.33</v>
      </c>
      <c r="AC24" s="233">
        <v>11.99</v>
      </c>
      <c r="AD24" s="185">
        <f t="shared" si="0"/>
        <v>146.390561</v>
      </c>
      <c r="AE24" s="185">
        <f t="shared" si="1"/>
        <v>182.110561</v>
      </c>
      <c r="AF24" s="185">
        <f t="shared" si="2"/>
        <v>170.18</v>
      </c>
      <c r="AG24" s="11"/>
    </row>
    <row r="25" s="4" customFormat="1" ht="35" customHeight="1" spans="1:33">
      <c r="A25" s="48">
        <v>22</v>
      </c>
      <c r="B25" s="48" t="s">
        <v>79</v>
      </c>
      <c r="C25" s="51" t="s">
        <v>80</v>
      </c>
      <c r="D25" s="50">
        <v>1547.4</v>
      </c>
      <c r="E25" s="101">
        <v>73.698345</v>
      </c>
      <c r="F25" s="50"/>
      <c r="G25" s="50"/>
      <c r="H25" s="101"/>
      <c r="I25" s="101">
        <v>199.11</v>
      </c>
      <c r="J25" s="101"/>
      <c r="K25" s="101">
        <v>156.86</v>
      </c>
      <c r="L25" s="101">
        <v>0</v>
      </c>
      <c r="M25" s="101">
        <v>186.94</v>
      </c>
      <c r="N25" s="101"/>
      <c r="O25" s="101">
        <v>71.336951</v>
      </c>
      <c r="P25" s="101"/>
      <c r="Q25" s="101">
        <v>81.6</v>
      </c>
      <c r="R25" s="233"/>
      <c r="S25" s="233">
        <v>223.08</v>
      </c>
      <c r="T25" s="101">
        <v>79.77</v>
      </c>
      <c r="U25" s="233"/>
      <c r="V25" s="101">
        <v>77.71</v>
      </c>
      <c r="W25" s="233"/>
      <c r="X25" s="101">
        <v>137.21</v>
      </c>
      <c r="Y25" s="233">
        <v>90.18</v>
      </c>
      <c r="Z25" s="101">
        <v>65.11</v>
      </c>
      <c r="AA25" s="233">
        <v>27.29</v>
      </c>
      <c r="AB25" s="176">
        <v>77.99</v>
      </c>
      <c r="AC25" s="233">
        <v>65.11</v>
      </c>
      <c r="AD25" s="185">
        <f t="shared" si="0"/>
        <v>1430.415296</v>
      </c>
      <c r="AE25" s="185">
        <f t="shared" si="1"/>
        <v>182.58</v>
      </c>
      <c r="AF25" s="185">
        <f t="shared" si="2"/>
        <v>299.564703999999</v>
      </c>
      <c r="AG25" s="11"/>
    </row>
    <row r="26" s="4" customFormat="1" ht="35" customHeight="1" spans="1:33">
      <c r="A26" s="48">
        <v>23</v>
      </c>
      <c r="B26" s="48" t="s">
        <v>81</v>
      </c>
      <c r="C26" s="51" t="s">
        <v>82</v>
      </c>
      <c r="D26" s="50">
        <v>1677.52</v>
      </c>
      <c r="E26" s="101">
        <v>111.404475</v>
      </c>
      <c r="F26" s="50"/>
      <c r="G26" s="50"/>
      <c r="H26" s="101"/>
      <c r="I26" s="101">
        <v>113.6</v>
      </c>
      <c r="J26" s="101">
        <v>1000</v>
      </c>
      <c r="K26" s="101">
        <v>88.06</v>
      </c>
      <c r="L26" s="101">
        <v>0</v>
      </c>
      <c r="M26" s="101">
        <v>92.35</v>
      </c>
      <c r="N26" s="101"/>
      <c r="O26" s="101">
        <v>114.864951</v>
      </c>
      <c r="P26" s="101"/>
      <c r="Q26" s="101">
        <v>97.9</v>
      </c>
      <c r="R26" s="234"/>
      <c r="S26" s="233">
        <v>111</v>
      </c>
      <c r="T26" s="101">
        <v>105.88</v>
      </c>
      <c r="U26" s="233"/>
      <c r="V26" s="101">
        <v>102.71</v>
      </c>
      <c r="W26" s="233"/>
      <c r="X26" s="101">
        <v>77.36</v>
      </c>
      <c r="Y26" s="233"/>
      <c r="Z26" s="101">
        <v>81.16</v>
      </c>
      <c r="AA26" s="233"/>
      <c r="AB26" s="176">
        <v>102.48</v>
      </c>
      <c r="AC26" s="233"/>
      <c r="AD26" s="185">
        <f t="shared" si="0"/>
        <v>1198.769426</v>
      </c>
      <c r="AE26" s="185">
        <f t="shared" si="1"/>
        <v>1000</v>
      </c>
      <c r="AF26" s="185">
        <f t="shared" si="2"/>
        <v>1478.750574</v>
      </c>
      <c r="AG26" s="11"/>
    </row>
    <row r="27" s="4" customFormat="1" ht="35" customHeight="1" spans="1:33">
      <c r="A27" s="48">
        <v>24</v>
      </c>
      <c r="B27" s="48" t="s">
        <v>83</v>
      </c>
      <c r="C27" s="51" t="s">
        <v>84</v>
      </c>
      <c r="D27" s="50">
        <v>972.82</v>
      </c>
      <c r="E27" s="101">
        <v>189.67326</v>
      </c>
      <c r="F27" s="50"/>
      <c r="G27" s="50"/>
      <c r="H27" s="101"/>
      <c r="I27" s="101">
        <v>211.74</v>
      </c>
      <c r="J27" s="101"/>
      <c r="K27" s="101">
        <v>184.14</v>
      </c>
      <c r="L27" s="101">
        <v>0</v>
      </c>
      <c r="M27" s="101">
        <v>13.34</v>
      </c>
      <c r="N27" s="101">
        <v>3206.6</v>
      </c>
      <c r="O27" s="101">
        <v>309.652751</v>
      </c>
      <c r="P27" s="101"/>
      <c r="Q27" s="101">
        <v>177.08</v>
      </c>
      <c r="R27" s="233"/>
      <c r="S27" s="233">
        <v>207.3</v>
      </c>
      <c r="T27" s="101">
        <v>253.88</v>
      </c>
      <c r="U27" s="233"/>
      <c r="V27" s="101">
        <v>201.04</v>
      </c>
      <c r="W27" s="233"/>
      <c r="X27" s="101">
        <v>142.65</v>
      </c>
      <c r="Y27" s="233"/>
      <c r="Z27" s="101">
        <v>139.26</v>
      </c>
      <c r="AA27" s="233"/>
      <c r="AB27" s="176">
        <v>155.8</v>
      </c>
      <c r="AC27" s="233"/>
      <c r="AD27" s="185">
        <f t="shared" si="0"/>
        <v>2185.556011</v>
      </c>
      <c r="AE27" s="185">
        <f t="shared" si="1"/>
        <v>3206.6</v>
      </c>
      <c r="AF27" s="185">
        <f t="shared" si="2"/>
        <v>1993.863989</v>
      </c>
      <c r="AG27" s="11"/>
    </row>
    <row r="28" s="4" customFormat="1" ht="35" customHeight="1" spans="1:33">
      <c r="A28" s="48">
        <v>25</v>
      </c>
      <c r="B28" s="48" t="s">
        <v>85</v>
      </c>
      <c r="C28" s="51" t="s">
        <v>86</v>
      </c>
      <c r="D28" s="50">
        <v>-503.19</v>
      </c>
      <c r="E28" s="101">
        <v>284.50989</v>
      </c>
      <c r="F28" s="50"/>
      <c r="G28" s="50"/>
      <c r="H28" s="101"/>
      <c r="I28" s="101">
        <v>110.15</v>
      </c>
      <c r="J28" s="101"/>
      <c r="K28" s="101">
        <v>297.42</v>
      </c>
      <c r="L28" s="101">
        <v>260</v>
      </c>
      <c r="M28" s="101">
        <v>13.34</v>
      </c>
      <c r="N28" s="101">
        <v>255.99</v>
      </c>
      <c r="O28" s="101">
        <v>10.941851</v>
      </c>
      <c r="P28" s="101"/>
      <c r="Q28" s="101">
        <v>99.65</v>
      </c>
      <c r="R28" s="233"/>
      <c r="S28" s="233">
        <v>180.64</v>
      </c>
      <c r="T28" s="101">
        <v>128.19</v>
      </c>
      <c r="U28" s="233"/>
      <c r="V28" s="101">
        <v>108.82</v>
      </c>
      <c r="W28" s="233">
        <v>432.76</v>
      </c>
      <c r="X28" s="101">
        <v>94.77</v>
      </c>
      <c r="Y28" s="233">
        <v>108.82</v>
      </c>
      <c r="Z28" s="101">
        <v>104.95</v>
      </c>
      <c r="AA28" s="233">
        <v>94.77</v>
      </c>
      <c r="AB28" s="176">
        <v>119.34</v>
      </c>
      <c r="AC28" s="233">
        <v>104.95</v>
      </c>
      <c r="AD28" s="185">
        <f t="shared" si="0"/>
        <v>1552.721741</v>
      </c>
      <c r="AE28" s="185">
        <f t="shared" si="1"/>
        <v>1257.29</v>
      </c>
      <c r="AF28" s="185">
        <f t="shared" si="2"/>
        <v>-798.621741</v>
      </c>
      <c r="AG28" s="11"/>
    </row>
    <row r="29" s="4" customFormat="1" ht="35" customHeight="1" spans="1:33">
      <c r="A29" s="48">
        <v>26</v>
      </c>
      <c r="B29" s="48" t="s">
        <v>87</v>
      </c>
      <c r="C29" s="210" t="s">
        <v>88</v>
      </c>
      <c r="D29" s="50">
        <v>255.350000000001</v>
      </c>
      <c r="E29" s="101">
        <v>146.825385</v>
      </c>
      <c r="F29" s="50">
        <v>121.59</v>
      </c>
      <c r="G29" s="50"/>
      <c r="H29" s="101">
        <v>600</v>
      </c>
      <c r="I29" s="101">
        <v>220.92</v>
      </c>
      <c r="J29" s="101"/>
      <c r="K29" s="101">
        <v>114.75</v>
      </c>
      <c r="L29" s="101">
        <v>0</v>
      </c>
      <c r="M29" s="101">
        <v>137.92</v>
      </c>
      <c r="N29" s="101"/>
      <c r="O29" s="101">
        <v>204.097351</v>
      </c>
      <c r="P29" s="101"/>
      <c r="Q29" s="101">
        <v>151.46</v>
      </c>
      <c r="R29" s="233">
        <v>590.08</v>
      </c>
      <c r="S29" s="233">
        <v>185.54</v>
      </c>
      <c r="T29" s="101">
        <v>395.34</v>
      </c>
      <c r="U29" s="233">
        <v>106</v>
      </c>
      <c r="V29" s="101">
        <v>331.59</v>
      </c>
      <c r="W29" s="233">
        <v>400</v>
      </c>
      <c r="X29" s="101">
        <v>161.15</v>
      </c>
      <c r="Y29" s="233">
        <v>1000</v>
      </c>
      <c r="Z29" s="101">
        <v>118.23</v>
      </c>
      <c r="AA29" s="233"/>
      <c r="AB29" s="176">
        <v>131.31</v>
      </c>
      <c r="AC29" s="233"/>
      <c r="AD29" s="185">
        <f t="shared" si="0"/>
        <v>2299.132736</v>
      </c>
      <c r="AE29" s="185">
        <f t="shared" si="1"/>
        <v>2817.67</v>
      </c>
      <c r="AF29" s="185">
        <f t="shared" si="2"/>
        <v>773.887264000001</v>
      </c>
      <c r="AG29" s="11"/>
    </row>
    <row r="30" s="4" customFormat="1" ht="35" customHeight="1" spans="1:33">
      <c r="A30" s="48">
        <v>27</v>
      </c>
      <c r="B30" s="48" t="s">
        <v>89</v>
      </c>
      <c r="C30" s="210" t="s">
        <v>90</v>
      </c>
      <c r="D30" s="50">
        <v>786.82</v>
      </c>
      <c r="E30" s="101">
        <v>118.83144</v>
      </c>
      <c r="F30" s="50"/>
      <c r="G30" s="50"/>
      <c r="H30" s="101"/>
      <c r="I30" s="101">
        <v>106.14</v>
      </c>
      <c r="J30" s="101"/>
      <c r="K30" s="101">
        <v>213.79</v>
      </c>
      <c r="L30" s="101">
        <v>0</v>
      </c>
      <c r="M30" s="101">
        <v>146.57</v>
      </c>
      <c r="N30" s="101"/>
      <c r="O30" s="101">
        <v>392.355951</v>
      </c>
      <c r="P30" s="101"/>
      <c r="Q30" s="101">
        <v>453.03</v>
      </c>
      <c r="R30" s="234">
        <v>717.137691</v>
      </c>
      <c r="S30" s="233">
        <v>94.13</v>
      </c>
      <c r="T30" s="101">
        <v>603.73</v>
      </c>
      <c r="U30" s="233">
        <v>453.03</v>
      </c>
      <c r="V30" s="101">
        <v>594.91</v>
      </c>
      <c r="W30" s="233">
        <v>697.86</v>
      </c>
      <c r="X30" s="101">
        <v>242.77</v>
      </c>
      <c r="Y30" s="233">
        <v>594.91</v>
      </c>
      <c r="Z30" s="101">
        <v>168.03</v>
      </c>
      <c r="AA30" s="233">
        <v>242.77</v>
      </c>
      <c r="AB30" s="176">
        <v>194.43</v>
      </c>
      <c r="AC30" s="233">
        <v>168.03</v>
      </c>
      <c r="AD30" s="185">
        <f t="shared" si="0"/>
        <v>3328.717391</v>
      </c>
      <c r="AE30" s="185">
        <f t="shared" si="1"/>
        <v>2873.737691</v>
      </c>
      <c r="AF30" s="185">
        <f t="shared" si="2"/>
        <v>331.840300000001</v>
      </c>
      <c r="AG30" s="11"/>
    </row>
    <row r="31" s="4" customFormat="1" ht="35" customHeight="1" spans="1:33">
      <c r="A31" s="48">
        <v>28</v>
      </c>
      <c r="B31" s="48" t="s">
        <v>91</v>
      </c>
      <c r="C31" s="51" t="s">
        <v>92</v>
      </c>
      <c r="D31" s="50">
        <v>194.91</v>
      </c>
      <c r="E31" s="101">
        <v>12.56871</v>
      </c>
      <c r="F31" s="50"/>
      <c r="G31" s="50"/>
      <c r="H31" s="101"/>
      <c r="I31" s="101">
        <v>10.87</v>
      </c>
      <c r="J31" s="101"/>
      <c r="K31" s="101">
        <v>11.56</v>
      </c>
      <c r="L31" s="101">
        <v>0</v>
      </c>
      <c r="M31" s="101">
        <v>13.34</v>
      </c>
      <c r="N31" s="101">
        <v>8.72</v>
      </c>
      <c r="O31" s="101">
        <v>10.941851</v>
      </c>
      <c r="P31" s="101"/>
      <c r="Q31" s="101">
        <v>19.3</v>
      </c>
      <c r="R31" s="233"/>
      <c r="S31" s="233">
        <v>12.51</v>
      </c>
      <c r="T31" s="101">
        <v>23.72</v>
      </c>
      <c r="U31" s="233"/>
      <c r="V31" s="101">
        <v>283.81</v>
      </c>
      <c r="W31" s="233">
        <v>890.08</v>
      </c>
      <c r="X31" s="101">
        <v>218.28</v>
      </c>
      <c r="Y31" s="233"/>
      <c r="Z31" s="101">
        <v>128.74</v>
      </c>
      <c r="AA31" s="233"/>
      <c r="AB31" s="176">
        <v>94.31</v>
      </c>
      <c r="AC31" s="233"/>
      <c r="AD31" s="185">
        <f t="shared" si="0"/>
        <v>839.950561</v>
      </c>
      <c r="AE31" s="185">
        <f t="shared" si="1"/>
        <v>898.8</v>
      </c>
      <c r="AF31" s="185">
        <f t="shared" si="2"/>
        <v>253.759439</v>
      </c>
      <c r="AG31" s="11"/>
    </row>
    <row r="32" s="4" customFormat="1" ht="35" customHeight="1" spans="1:33">
      <c r="A32" s="48">
        <v>29</v>
      </c>
      <c r="B32" s="48" t="s">
        <v>93</v>
      </c>
      <c r="C32" s="210" t="s">
        <v>94</v>
      </c>
      <c r="D32" s="50">
        <v>382.04</v>
      </c>
      <c r="E32" s="101">
        <v>206.241105</v>
      </c>
      <c r="F32" s="50"/>
      <c r="G32" s="50"/>
      <c r="H32" s="101"/>
      <c r="I32" s="101">
        <v>283.48</v>
      </c>
      <c r="J32" s="101">
        <v>1000</v>
      </c>
      <c r="K32" s="101">
        <v>221.5</v>
      </c>
      <c r="L32" s="101">
        <v>0</v>
      </c>
      <c r="M32" s="101">
        <v>159.83</v>
      </c>
      <c r="N32" s="101"/>
      <c r="O32" s="101">
        <v>177.436451</v>
      </c>
      <c r="P32" s="101"/>
      <c r="Q32" s="101">
        <v>178.24</v>
      </c>
      <c r="R32" s="234">
        <v>46.653356</v>
      </c>
      <c r="S32" s="233">
        <v>202.95</v>
      </c>
      <c r="T32" s="101">
        <v>218.51</v>
      </c>
      <c r="U32" s="233">
        <v>178.24</v>
      </c>
      <c r="V32" s="101">
        <v>176.6</v>
      </c>
      <c r="W32" s="233">
        <v>421.46</v>
      </c>
      <c r="X32" s="101">
        <v>144.28</v>
      </c>
      <c r="Y32" s="233">
        <v>176.6</v>
      </c>
      <c r="Z32" s="101">
        <v>175.22</v>
      </c>
      <c r="AA32" s="233">
        <v>144.28</v>
      </c>
      <c r="AB32" s="176">
        <v>468.66</v>
      </c>
      <c r="AC32" s="233">
        <v>175.22</v>
      </c>
      <c r="AD32" s="185">
        <f t="shared" si="0"/>
        <v>2612.947556</v>
      </c>
      <c r="AE32" s="185">
        <f t="shared" si="1"/>
        <v>2142.453356</v>
      </c>
      <c r="AF32" s="185">
        <f t="shared" si="2"/>
        <v>-88.4541999999997</v>
      </c>
      <c r="AG32" s="11"/>
    </row>
    <row r="33" s="4" customFormat="1" ht="35" customHeight="1" spans="1:33">
      <c r="A33" s="48">
        <v>30</v>
      </c>
      <c r="B33" s="48" t="s">
        <v>95</v>
      </c>
      <c r="C33" s="51" t="s">
        <v>96</v>
      </c>
      <c r="D33" s="50">
        <v>338.81</v>
      </c>
      <c r="E33" s="101">
        <v>12.56871</v>
      </c>
      <c r="F33" s="50"/>
      <c r="G33" s="50"/>
      <c r="H33" s="101"/>
      <c r="I33" s="101">
        <v>193.37</v>
      </c>
      <c r="J33" s="101">
        <v>120.89</v>
      </c>
      <c r="K33" s="101">
        <v>143.81</v>
      </c>
      <c r="L33" s="101">
        <v>0</v>
      </c>
      <c r="M33" s="101">
        <v>113.69</v>
      </c>
      <c r="N33" s="101">
        <v>257.5</v>
      </c>
      <c r="O33" s="101">
        <v>10.941851</v>
      </c>
      <c r="P33" s="101"/>
      <c r="Q33" s="101">
        <v>11.74</v>
      </c>
      <c r="R33" s="233"/>
      <c r="S33" s="233">
        <v>210.57</v>
      </c>
      <c r="T33" s="101">
        <v>11.75</v>
      </c>
      <c r="U33" s="233">
        <v>22.68</v>
      </c>
      <c r="V33" s="101">
        <v>29.38</v>
      </c>
      <c r="W33" s="233">
        <v>222.32</v>
      </c>
      <c r="X33" s="101">
        <v>20.23</v>
      </c>
      <c r="Y33" s="233"/>
      <c r="Z33" s="101">
        <v>11.99</v>
      </c>
      <c r="AA33" s="233">
        <v>49.61</v>
      </c>
      <c r="AB33" s="176">
        <v>20.86</v>
      </c>
      <c r="AC33" s="233"/>
      <c r="AD33" s="185">
        <f t="shared" si="0"/>
        <v>790.900561</v>
      </c>
      <c r="AE33" s="185">
        <f t="shared" si="1"/>
        <v>673</v>
      </c>
      <c r="AF33" s="185">
        <f t="shared" si="2"/>
        <v>220.909439</v>
      </c>
      <c r="AG33" s="11"/>
    </row>
    <row r="34" s="4" customFormat="1" ht="35" customHeight="1" spans="1:33">
      <c r="A34" s="48">
        <v>31</v>
      </c>
      <c r="B34" s="48" t="s">
        <v>97</v>
      </c>
      <c r="C34" s="51" t="s">
        <v>98</v>
      </c>
      <c r="D34" s="50">
        <v>744.49</v>
      </c>
      <c r="E34" s="101">
        <v>12.56871</v>
      </c>
      <c r="F34" s="50"/>
      <c r="G34" s="50"/>
      <c r="H34" s="101"/>
      <c r="I34" s="101">
        <v>10.87</v>
      </c>
      <c r="J34" s="101"/>
      <c r="K34" s="101">
        <v>11.56</v>
      </c>
      <c r="L34" s="101">
        <v>0</v>
      </c>
      <c r="M34" s="101">
        <v>13.34</v>
      </c>
      <c r="N34" s="101"/>
      <c r="O34" s="101">
        <v>10.941851</v>
      </c>
      <c r="P34" s="101"/>
      <c r="Q34" s="101">
        <v>11.74</v>
      </c>
      <c r="R34" s="233"/>
      <c r="S34" s="233">
        <v>12.51</v>
      </c>
      <c r="T34" s="101">
        <v>23.72</v>
      </c>
      <c r="U34" s="233"/>
      <c r="V34" s="101">
        <v>61.05</v>
      </c>
      <c r="W34" s="233"/>
      <c r="X34" s="101">
        <v>19.69</v>
      </c>
      <c r="Y34" s="233"/>
      <c r="Z34" s="101">
        <v>109.93</v>
      </c>
      <c r="AA34" s="233"/>
      <c r="AB34" s="176">
        <v>77.99</v>
      </c>
      <c r="AC34" s="233"/>
      <c r="AD34" s="185">
        <f t="shared" si="0"/>
        <v>375.910561</v>
      </c>
      <c r="AE34" s="185">
        <f t="shared" si="1"/>
        <v>0</v>
      </c>
      <c r="AF34" s="185">
        <f t="shared" si="2"/>
        <v>368.579439</v>
      </c>
      <c r="AG34" s="11"/>
    </row>
    <row r="35" s="4" customFormat="1" ht="35" customHeight="1" spans="1:33">
      <c r="A35" s="48">
        <v>32</v>
      </c>
      <c r="B35" s="48" t="s">
        <v>99</v>
      </c>
      <c r="C35" s="51" t="s">
        <v>100</v>
      </c>
      <c r="D35" s="50">
        <v>300</v>
      </c>
      <c r="E35" s="101">
        <v>0</v>
      </c>
      <c r="F35" s="50"/>
      <c r="G35" s="50"/>
      <c r="H35" s="101"/>
      <c r="I35" s="101"/>
      <c r="J35" s="101"/>
      <c r="K35" s="101"/>
      <c r="L35" s="101">
        <v>0</v>
      </c>
      <c r="M35" s="101"/>
      <c r="N35" s="101"/>
      <c r="O35" s="101">
        <v>18.015151</v>
      </c>
      <c r="P35" s="101"/>
      <c r="Q35" s="101">
        <v>19.3</v>
      </c>
      <c r="R35" s="233"/>
      <c r="S35" s="233"/>
      <c r="T35" s="101">
        <v>15.02</v>
      </c>
      <c r="U35" s="233"/>
      <c r="V35" s="101">
        <v>23.83</v>
      </c>
      <c r="W35" s="233"/>
      <c r="X35" s="101">
        <v>13.16</v>
      </c>
      <c r="Y35" s="233"/>
      <c r="Z35" s="101">
        <v>14.75</v>
      </c>
      <c r="AA35" s="233"/>
      <c r="AB35" s="176">
        <v>14.88</v>
      </c>
      <c r="AC35" s="233"/>
      <c r="AD35" s="185">
        <f t="shared" si="0"/>
        <v>118.955151</v>
      </c>
      <c r="AE35" s="185">
        <f t="shared" si="1"/>
        <v>0</v>
      </c>
      <c r="AF35" s="185">
        <f t="shared" si="2"/>
        <v>181.044849</v>
      </c>
      <c r="AG35" s="11"/>
    </row>
    <row r="36" s="4" customFormat="1" ht="35" customHeight="1" spans="1:33">
      <c r="A36" s="48">
        <v>33</v>
      </c>
      <c r="B36" s="48" t="s">
        <v>101</v>
      </c>
      <c r="C36" s="51" t="s">
        <v>102</v>
      </c>
      <c r="D36" s="50">
        <v>300</v>
      </c>
      <c r="E36" s="101">
        <v>0</v>
      </c>
      <c r="F36" s="50"/>
      <c r="G36" s="50"/>
      <c r="H36" s="101"/>
      <c r="I36" s="101"/>
      <c r="J36" s="101"/>
      <c r="K36" s="101"/>
      <c r="L36" s="101">
        <v>0</v>
      </c>
      <c r="M36" s="101"/>
      <c r="N36" s="101"/>
      <c r="O36" s="101"/>
      <c r="P36" s="101"/>
      <c r="Q36" s="101"/>
      <c r="R36" s="233"/>
      <c r="S36" s="233"/>
      <c r="T36" s="101"/>
      <c r="U36" s="233"/>
      <c r="V36" s="101"/>
      <c r="W36" s="233"/>
      <c r="X36" s="101"/>
      <c r="Y36" s="233"/>
      <c r="Z36" s="101"/>
      <c r="AA36" s="233"/>
      <c r="AB36" s="176">
        <v>0</v>
      </c>
      <c r="AC36" s="233"/>
      <c r="AD36" s="185">
        <f t="shared" si="0"/>
        <v>0</v>
      </c>
      <c r="AE36" s="185">
        <f t="shared" si="1"/>
        <v>0</v>
      </c>
      <c r="AF36" s="185">
        <f t="shared" si="2"/>
        <v>300</v>
      </c>
      <c r="AG36" s="11"/>
    </row>
    <row r="37" s="4" customFormat="1" ht="35" customHeight="1" spans="1:33">
      <c r="A37" s="48">
        <v>34</v>
      </c>
      <c r="B37" s="48" t="s">
        <v>103</v>
      </c>
      <c r="C37" s="51" t="s">
        <v>104</v>
      </c>
      <c r="D37" s="50">
        <v>801.249999999999</v>
      </c>
      <c r="E37" s="101">
        <v>166.82106</v>
      </c>
      <c r="F37" s="50"/>
      <c r="G37" s="50"/>
      <c r="H37" s="101"/>
      <c r="I37" s="101">
        <v>199.69</v>
      </c>
      <c r="J37" s="101"/>
      <c r="K37" s="101">
        <v>191.26</v>
      </c>
      <c r="L37" s="101">
        <v>0</v>
      </c>
      <c r="M37" s="101">
        <v>236.54</v>
      </c>
      <c r="N37" s="101">
        <f>312.8+500</f>
        <v>812.8</v>
      </c>
      <c r="O37" s="101">
        <v>319.446551</v>
      </c>
      <c r="P37" s="101"/>
      <c r="Q37" s="101">
        <v>283.62</v>
      </c>
      <c r="R37" s="233"/>
      <c r="S37" s="233">
        <v>148.54</v>
      </c>
      <c r="T37" s="101">
        <v>330.6</v>
      </c>
      <c r="U37" s="233">
        <v>103.07</v>
      </c>
      <c r="V37" s="101">
        <v>393.81</v>
      </c>
      <c r="W37" s="233">
        <v>479.14</v>
      </c>
      <c r="X37" s="101">
        <v>168.77</v>
      </c>
      <c r="Y37" s="233">
        <v>393.81</v>
      </c>
      <c r="Z37" s="101">
        <v>121</v>
      </c>
      <c r="AA37" s="233">
        <v>168.77</v>
      </c>
      <c r="AB37" s="176">
        <v>146.55</v>
      </c>
      <c r="AC37" s="233">
        <v>121</v>
      </c>
      <c r="AD37" s="185">
        <f t="shared" ref="AD37:AD68" si="3">E37+G37+I37+K37+M37+O37+Q37+S37+T37+V37+X37+Z37+AB37</f>
        <v>2706.647611</v>
      </c>
      <c r="AE37" s="185">
        <f t="shared" ref="AE37:AE68" si="4">F37+H37+J37+L37+N37+P37+R37+U37+W37+Y37+AA37+AC37</f>
        <v>2078.59</v>
      </c>
      <c r="AF37" s="185">
        <f t="shared" ref="AF37:AF68" si="5">D37+AE37-AD37</f>
        <v>173.192388999999</v>
      </c>
      <c r="AG37" s="11"/>
    </row>
    <row r="38" s="4" customFormat="1" ht="35" customHeight="1" spans="1:33">
      <c r="A38" s="48">
        <v>35</v>
      </c>
      <c r="B38" s="48" t="s">
        <v>105</v>
      </c>
      <c r="C38" s="210" t="s">
        <v>106</v>
      </c>
      <c r="D38" s="50">
        <v>407.96</v>
      </c>
      <c r="E38" s="101">
        <v>251.3742</v>
      </c>
      <c r="F38" s="50"/>
      <c r="G38" s="50"/>
      <c r="H38" s="101"/>
      <c r="I38" s="101">
        <v>347.76</v>
      </c>
      <c r="J38" s="101">
        <v>1000</v>
      </c>
      <c r="K38" s="101">
        <v>148.56</v>
      </c>
      <c r="L38" s="101">
        <v>0</v>
      </c>
      <c r="M38" s="101">
        <v>129.84</v>
      </c>
      <c r="N38" s="101"/>
      <c r="O38" s="101">
        <v>202.465051</v>
      </c>
      <c r="P38" s="101"/>
      <c r="Q38" s="101">
        <v>223.07</v>
      </c>
      <c r="R38" s="234">
        <v>12.44</v>
      </c>
      <c r="S38" s="233">
        <v>220.36</v>
      </c>
      <c r="T38" s="101">
        <v>226.67</v>
      </c>
      <c r="U38" s="233">
        <v>113.15</v>
      </c>
      <c r="V38" s="101">
        <v>199.93</v>
      </c>
      <c r="W38" s="233">
        <v>447.03</v>
      </c>
      <c r="X38" s="101">
        <v>142.11</v>
      </c>
      <c r="Y38" s="233">
        <v>199.93</v>
      </c>
      <c r="Z38" s="101">
        <v>116.02</v>
      </c>
      <c r="AA38" s="233">
        <v>142.11</v>
      </c>
      <c r="AB38" s="176">
        <v>142.2</v>
      </c>
      <c r="AC38" s="233">
        <v>116.02</v>
      </c>
      <c r="AD38" s="185">
        <f t="shared" si="3"/>
        <v>2350.359251</v>
      </c>
      <c r="AE38" s="185">
        <f t="shared" si="4"/>
        <v>2030.68</v>
      </c>
      <c r="AF38" s="185">
        <f t="shared" si="5"/>
        <v>88.2807490000005</v>
      </c>
      <c r="AG38" s="11"/>
    </row>
    <row r="39" s="4" customFormat="1" ht="35" customHeight="1" spans="1:33">
      <c r="A39" s="48">
        <v>36</v>
      </c>
      <c r="B39" s="48" t="s">
        <v>107</v>
      </c>
      <c r="C39" s="51" t="s">
        <v>108</v>
      </c>
      <c r="D39" s="50">
        <v>983.75</v>
      </c>
      <c r="E39" s="101">
        <v>91.980105</v>
      </c>
      <c r="F39" s="50"/>
      <c r="G39" s="50"/>
      <c r="H39" s="101"/>
      <c r="I39" s="101">
        <v>45.88</v>
      </c>
      <c r="J39" s="101"/>
      <c r="K39" s="101">
        <v>69.68</v>
      </c>
      <c r="L39" s="101">
        <v>0</v>
      </c>
      <c r="M39" s="101">
        <v>72.17</v>
      </c>
      <c r="N39" s="101"/>
      <c r="O39" s="101">
        <v>77.322051</v>
      </c>
      <c r="P39" s="101"/>
      <c r="Q39" s="101">
        <v>69.37</v>
      </c>
      <c r="R39" s="233"/>
      <c r="S39" s="233">
        <v>88.69</v>
      </c>
      <c r="T39" s="101">
        <v>75.96</v>
      </c>
      <c r="U39" s="233"/>
      <c r="V39" s="101">
        <v>67.71</v>
      </c>
      <c r="W39" s="233">
        <v>36.96</v>
      </c>
      <c r="X39" s="101">
        <v>62.13</v>
      </c>
      <c r="Y39" s="233">
        <v>67.71</v>
      </c>
      <c r="Z39" s="101">
        <v>66.77</v>
      </c>
      <c r="AA39" s="233">
        <v>62.13</v>
      </c>
      <c r="AB39" s="176">
        <v>69.29</v>
      </c>
      <c r="AC39" s="233">
        <v>66.77</v>
      </c>
      <c r="AD39" s="185">
        <f t="shared" si="3"/>
        <v>856.952156</v>
      </c>
      <c r="AE39" s="185">
        <f t="shared" si="4"/>
        <v>233.57</v>
      </c>
      <c r="AF39" s="185">
        <f t="shared" si="5"/>
        <v>360.367844</v>
      </c>
      <c r="AG39" s="11"/>
    </row>
    <row r="40" s="4" customFormat="1" ht="35" customHeight="1" spans="1:33">
      <c r="A40" s="48">
        <v>37</v>
      </c>
      <c r="B40" s="48" t="s">
        <v>109</v>
      </c>
      <c r="C40" s="51" t="s">
        <v>110</v>
      </c>
      <c r="D40" s="50">
        <v>14.0800000000004</v>
      </c>
      <c r="E40" s="101">
        <v>399.9135</v>
      </c>
      <c r="F40" s="50"/>
      <c r="G40" s="50"/>
      <c r="H40" s="101"/>
      <c r="I40" s="101">
        <v>224.94</v>
      </c>
      <c r="J40" s="101">
        <v>1000</v>
      </c>
      <c r="K40" s="101">
        <v>179.99</v>
      </c>
      <c r="L40" s="101">
        <v>34.78</v>
      </c>
      <c r="M40" s="101">
        <v>136.76</v>
      </c>
      <c r="N40" s="101"/>
      <c r="O40" s="101">
        <v>139.349451</v>
      </c>
      <c r="P40" s="101"/>
      <c r="Q40" s="101">
        <v>166.02</v>
      </c>
      <c r="R40" s="233">
        <v>340.08</v>
      </c>
      <c r="S40" s="233">
        <v>381.41</v>
      </c>
      <c r="T40" s="101">
        <v>269.66</v>
      </c>
      <c r="U40" s="233">
        <v>53.08</v>
      </c>
      <c r="V40" s="101">
        <v>218.26</v>
      </c>
      <c r="W40" s="233">
        <v>650.12</v>
      </c>
      <c r="X40" s="101">
        <v>114.36</v>
      </c>
      <c r="Y40" s="233">
        <v>218.26</v>
      </c>
      <c r="Z40" s="101">
        <v>116.57</v>
      </c>
      <c r="AA40" s="233">
        <v>115</v>
      </c>
      <c r="AB40" s="176">
        <v>153.62</v>
      </c>
      <c r="AC40" s="233">
        <v>116</v>
      </c>
      <c r="AD40" s="185">
        <f t="shared" si="3"/>
        <v>2500.852951</v>
      </c>
      <c r="AE40" s="185">
        <f t="shared" si="4"/>
        <v>2527.32</v>
      </c>
      <c r="AF40" s="185">
        <f t="shared" si="5"/>
        <v>40.5470489999998</v>
      </c>
      <c r="AG40" s="11"/>
    </row>
    <row r="41" s="4" customFormat="1" ht="35" customHeight="1" spans="1:33">
      <c r="A41" s="48">
        <v>38</v>
      </c>
      <c r="B41" s="48" t="s">
        <v>111</v>
      </c>
      <c r="C41" s="51" t="s">
        <v>112</v>
      </c>
      <c r="D41" s="50">
        <v>266.569999999999</v>
      </c>
      <c r="E41" s="101">
        <v>149.68191</v>
      </c>
      <c r="F41" s="50">
        <v>300</v>
      </c>
      <c r="G41" s="50"/>
      <c r="H41" s="101"/>
      <c r="I41" s="101">
        <v>160.66</v>
      </c>
      <c r="J41" s="101"/>
      <c r="K41" s="101">
        <v>112.97</v>
      </c>
      <c r="L41" s="101">
        <v>300</v>
      </c>
      <c r="M41" s="101">
        <v>107.35</v>
      </c>
      <c r="N41" s="101"/>
      <c r="O41" s="101">
        <v>120.850051</v>
      </c>
      <c r="P41" s="101"/>
      <c r="Q41" s="101">
        <v>120.02</v>
      </c>
      <c r="R41" s="234">
        <v>115.549061</v>
      </c>
      <c r="S41" s="233">
        <v>143.64</v>
      </c>
      <c r="T41" s="101">
        <v>142.34</v>
      </c>
      <c r="U41" s="233">
        <v>120.02</v>
      </c>
      <c r="V41" s="101">
        <v>123.27</v>
      </c>
      <c r="W41" s="233">
        <v>285.98</v>
      </c>
      <c r="X41" s="101">
        <v>93.14</v>
      </c>
      <c r="Y41" s="233">
        <v>123.27</v>
      </c>
      <c r="Z41" s="101">
        <v>126.53</v>
      </c>
      <c r="AA41" s="233">
        <v>93.14</v>
      </c>
      <c r="AB41" s="176">
        <v>145.46</v>
      </c>
      <c r="AC41" s="233">
        <v>126.53</v>
      </c>
      <c r="AD41" s="185">
        <f t="shared" si="3"/>
        <v>1545.911961</v>
      </c>
      <c r="AE41" s="185">
        <f t="shared" si="4"/>
        <v>1464.489061</v>
      </c>
      <c r="AF41" s="185">
        <f t="shared" si="5"/>
        <v>185.147099999999</v>
      </c>
      <c r="AG41" s="11"/>
    </row>
    <row r="42" s="4" customFormat="1" ht="35" customHeight="1" spans="1:33">
      <c r="A42" s="48">
        <v>39</v>
      </c>
      <c r="B42" s="48" t="s">
        <v>113</v>
      </c>
      <c r="C42" s="51" t="s">
        <v>114</v>
      </c>
      <c r="D42" s="50">
        <v>472.55</v>
      </c>
      <c r="E42" s="101">
        <v>304.505565</v>
      </c>
      <c r="F42" s="50"/>
      <c r="G42" s="50"/>
      <c r="H42" s="101">
        <v>500</v>
      </c>
      <c r="I42" s="101">
        <v>39.56</v>
      </c>
      <c r="J42" s="101"/>
      <c r="K42" s="101">
        <v>102.3</v>
      </c>
      <c r="L42" s="101">
        <v>0</v>
      </c>
      <c r="M42" s="101">
        <v>190.4</v>
      </c>
      <c r="N42" s="101"/>
      <c r="O42" s="101">
        <v>218.243951</v>
      </c>
      <c r="P42" s="101"/>
      <c r="Q42" s="101">
        <v>234.71</v>
      </c>
      <c r="R42" s="234">
        <v>201.669516</v>
      </c>
      <c r="S42" s="233">
        <v>156.7</v>
      </c>
      <c r="T42" s="101">
        <v>233.2</v>
      </c>
      <c r="U42" s="233">
        <v>234.71</v>
      </c>
      <c r="V42" s="101">
        <v>123.27</v>
      </c>
      <c r="W42" s="233">
        <v>389.9</v>
      </c>
      <c r="X42" s="101">
        <v>196.52</v>
      </c>
      <c r="Y42" s="233">
        <v>123.27</v>
      </c>
      <c r="Z42" s="101">
        <v>214.51</v>
      </c>
      <c r="AA42" s="233">
        <v>196.52</v>
      </c>
      <c r="AB42" s="176">
        <v>258.63</v>
      </c>
      <c r="AC42" s="233">
        <v>214.51</v>
      </c>
      <c r="AD42" s="185">
        <f t="shared" si="3"/>
        <v>2272.549516</v>
      </c>
      <c r="AE42" s="185">
        <f t="shared" si="4"/>
        <v>1860.579516</v>
      </c>
      <c r="AF42" s="185">
        <f t="shared" si="5"/>
        <v>60.5799999999999</v>
      </c>
      <c r="AG42" s="11"/>
    </row>
    <row r="43" s="4" customFormat="1" ht="35" customHeight="1" spans="1:33">
      <c r="A43" s="48">
        <v>40</v>
      </c>
      <c r="B43" s="48" t="s">
        <v>115</v>
      </c>
      <c r="C43" s="51" t="s">
        <v>116</v>
      </c>
      <c r="D43" s="50">
        <v>550.1</v>
      </c>
      <c r="E43" s="101">
        <v>183.96021</v>
      </c>
      <c r="F43" s="50"/>
      <c r="G43" s="50"/>
      <c r="H43" s="101"/>
      <c r="I43" s="101">
        <v>173.86</v>
      </c>
      <c r="J43" s="101"/>
      <c r="K43" s="101">
        <v>106.45</v>
      </c>
      <c r="L43" s="101">
        <v>500</v>
      </c>
      <c r="M43" s="101">
        <v>78.51</v>
      </c>
      <c r="N43" s="101"/>
      <c r="O43" s="101">
        <v>144.246351</v>
      </c>
      <c r="P43" s="101"/>
      <c r="Q43" s="101">
        <v>132.83</v>
      </c>
      <c r="R43" s="233">
        <v>890.08</v>
      </c>
      <c r="S43" s="233">
        <v>133.3</v>
      </c>
      <c r="T43" s="101">
        <v>170.63</v>
      </c>
      <c r="U43" s="233"/>
      <c r="V43" s="101">
        <v>131.04</v>
      </c>
      <c r="W43" s="233"/>
      <c r="X43" s="101">
        <v>120.89</v>
      </c>
      <c r="Y43" s="233">
        <v>16.15</v>
      </c>
      <c r="Z43" s="101">
        <v>102.18</v>
      </c>
      <c r="AA43" s="233">
        <v>10.97</v>
      </c>
      <c r="AB43" s="176">
        <v>126.96</v>
      </c>
      <c r="AC43" s="233">
        <v>102.18</v>
      </c>
      <c r="AD43" s="185">
        <f t="shared" si="3"/>
        <v>1604.856561</v>
      </c>
      <c r="AE43" s="185">
        <f t="shared" si="4"/>
        <v>1519.38</v>
      </c>
      <c r="AF43" s="185">
        <f t="shared" si="5"/>
        <v>464.623439</v>
      </c>
      <c r="AG43" s="11"/>
    </row>
    <row r="44" s="4" customFormat="1" ht="35" customHeight="1" spans="1:33">
      <c r="A44" s="48">
        <v>41</v>
      </c>
      <c r="B44" s="48" t="s">
        <v>117</v>
      </c>
      <c r="C44" s="51" t="s">
        <v>118</v>
      </c>
      <c r="D44" s="50">
        <v>460.19</v>
      </c>
      <c r="E44" s="101">
        <v>83.41053</v>
      </c>
      <c r="F44" s="50"/>
      <c r="G44" s="50"/>
      <c r="H44" s="101"/>
      <c r="I44" s="101">
        <v>23.49</v>
      </c>
      <c r="J44" s="101">
        <v>500</v>
      </c>
      <c r="K44" s="101">
        <v>83.32</v>
      </c>
      <c r="L44" s="101">
        <v>0</v>
      </c>
      <c r="M44" s="101">
        <v>71.59</v>
      </c>
      <c r="N44" s="101"/>
      <c r="O44" s="101">
        <v>51.749351</v>
      </c>
      <c r="P44" s="101"/>
      <c r="Q44" s="101">
        <v>59.48</v>
      </c>
      <c r="R44" s="233"/>
      <c r="S44" s="233">
        <v>25.03</v>
      </c>
      <c r="T44" s="101">
        <v>62.9</v>
      </c>
      <c r="U44" s="233"/>
      <c r="V44" s="101">
        <v>67.71</v>
      </c>
      <c r="W44" s="233"/>
      <c r="X44" s="101">
        <v>51.24</v>
      </c>
      <c r="Y44" s="233">
        <v>82.51</v>
      </c>
      <c r="Z44" s="101">
        <v>45.19</v>
      </c>
      <c r="AA44" s="233">
        <v>51.24</v>
      </c>
      <c r="AB44" s="176">
        <v>57.32</v>
      </c>
      <c r="AC44" s="233">
        <v>45.19</v>
      </c>
      <c r="AD44" s="185">
        <f t="shared" si="3"/>
        <v>682.429881</v>
      </c>
      <c r="AE44" s="185">
        <f t="shared" si="4"/>
        <v>678.94</v>
      </c>
      <c r="AF44" s="185">
        <f t="shared" si="5"/>
        <v>456.700119</v>
      </c>
      <c r="AG44" s="11"/>
    </row>
    <row r="45" s="4" customFormat="1" ht="35" customHeight="1" spans="1:33">
      <c r="A45" s="48">
        <v>42</v>
      </c>
      <c r="B45" s="48" t="s">
        <v>119</v>
      </c>
      <c r="C45" s="51" t="s">
        <v>120</v>
      </c>
      <c r="D45" s="50">
        <v>233.66</v>
      </c>
      <c r="E45" s="101">
        <v>220.52373</v>
      </c>
      <c r="F45" s="50"/>
      <c r="G45" s="50"/>
      <c r="H45" s="101"/>
      <c r="I45" s="101">
        <v>88.35</v>
      </c>
      <c r="J45" s="101">
        <v>1000</v>
      </c>
      <c r="K45" s="101">
        <v>107.63</v>
      </c>
      <c r="L45" s="101">
        <v>0</v>
      </c>
      <c r="M45" s="101">
        <v>244.04</v>
      </c>
      <c r="N45" s="101"/>
      <c r="O45" s="101">
        <v>330.872651</v>
      </c>
      <c r="P45" s="101"/>
      <c r="Q45" s="101">
        <v>416.36</v>
      </c>
      <c r="R45" s="234">
        <v>11.5263809999999</v>
      </c>
      <c r="S45" s="233">
        <v>131.67</v>
      </c>
      <c r="T45" s="101">
        <v>602.1</v>
      </c>
      <c r="U45" s="233">
        <v>416.36</v>
      </c>
      <c r="V45" s="101">
        <v>457.14</v>
      </c>
      <c r="W45" s="233">
        <v>733.77</v>
      </c>
      <c r="X45" s="101">
        <v>227.53</v>
      </c>
      <c r="Y45" s="233">
        <v>457.14</v>
      </c>
      <c r="Z45" s="101">
        <v>172.46</v>
      </c>
      <c r="AA45" s="233">
        <v>227.53</v>
      </c>
      <c r="AB45" s="176">
        <v>186.81</v>
      </c>
      <c r="AC45" s="233">
        <v>172.46</v>
      </c>
      <c r="AD45" s="185">
        <f t="shared" si="3"/>
        <v>3185.486381</v>
      </c>
      <c r="AE45" s="185">
        <f t="shared" si="4"/>
        <v>3018.786381</v>
      </c>
      <c r="AF45" s="185">
        <f t="shared" si="5"/>
        <v>66.9599999999996</v>
      </c>
      <c r="AG45" s="11"/>
    </row>
    <row r="46" s="4" customFormat="1" ht="35" customHeight="1" spans="1:33">
      <c r="A46" s="48">
        <v>43</v>
      </c>
      <c r="B46" s="48" t="s">
        <v>121</v>
      </c>
      <c r="C46" s="51" t="s">
        <v>122</v>
      </c>
      <c r="D46" s="50">
        <v>1990.2</v>
      </c>
      <c r="E46" s="101">
        <v>189.101955</v>
      </c>
      <c r="F46" s="50"/>
      <c r="G46" s="50"/>
      <c r="H46" s="101"/>
      <c r="I46" s="101">
        <v>183.04</v>
      </c>
      <c r="J46" s="101"/>
      <c r="K46" s="101">
        <v>175.84</v>
      </c>
      <c r="L46" s="101">
        <v>0</v>
      </c>
      <c r="M46" s="101">
        <v>162.14</v>
      </c>
      <c r="N46" s="101"/>
      <c r="O46" s="101">
        <v>172.539551</v>
      </c>
      <c r="P46" s="101"/>
      <c r="Q46" s="101">
        <v>166.6</v>
      </c>
      <c r="R46" s="233"/>
      <c r="S46" s="233">
        <v>251.92</v>
      </c>
      <c r="T46" s="101">
        <v>169</v>
      </c>
      <c r="U46" s="233"/>
      <c r="V46" s="101">
        <v>168.82</v>
      </c>
      <c r="W46" s="233">
        <v>1890.08</v>
      </c>
      <c r="X46" s="101">
        <v>161.7</v>
      </c>
      <c r="Y46" s="233"/>
      <c r="Z46" s="101">
        <v>168.58</v>
      </c>
      <c r="AA46" s="233"/>
      <c r="AB46" s="176">
        <v>188.44</v>
      </c>
      <c r="AC46" s="233"/>
      <c r="AD46" s="185">
        <f t="shared" si="3"/>
        <v>2157.721506</v>
      </c>
      <c r="AE46" s="185">
        <f t="shared" si="4"/>
        <v>1890.08</v>
      </c>
      <c r="AF46" s="185">
        <f t="shared" si="5"/>
        <v>1722.558494</v>
      </c>
      <c r="AG46" s="11"/>
    </row>
    <row r="47" s="4" customFormat="1" ht="35" customHeight="1" spans="1:33">
      <c r="A47" s="48">
        <v>44</v>
      </c>
      <c r="B47" s="48" t="s">
        <v>123</v>
      </c>
      <c r="C47" s="51" t="s">
        <v>124</v>
      </c>
      <c r="D47" s="50">
        <v>138.83</v>
      </c>
      <c r="E47" s="101">
        <v>209.09763</v>
      </c>
      <c r="F47" s="50">
        <v>1000</v>
      </c>
      <c r="G47" s="50"/>
      <c r="H47" s="101"/>
      <c r="I47" s="101">
        <v>249.04</v>
      </c>
      <c r="J47" s="101"/>
      <c r="K47" s="101">
        <v>168.13</v>
      </c>
      <c r="L47" s="101">
        <v>0</v>
      </c>
      <c r="M47" s="101">
        <v>130.42</v>
      </c>
      <c r="N47" s="101"/>
      <c r="O47" s="101">
        <v>94.189151</v>
      </c>
      <c r="P47" s="101"/>
      <c r="Q47" s="101">
        <v>64.13</v>
      </c>
      <c r="R47" s="233"/>
      <c r="S47" s="233">
        <v>185.54</v>
      </c>
      <c r="T47" s="101">
        <v>99.9</v>
      </c>
      <c r="U47" s="233">
        <v>39.24</v>
      </c>
      <c r="V47" s="101">
        <v>116.6</v>
      </c>
      <c r="W47" s="233">
        <v>285.44</v>
      </c>
      <c r="X47" s="101">
        <v>96.4</v>
      </c>
      <c r="Y47" s="233">
        <v>116.6</v>
      </c>
      <c r="Z47" s="101">
        <v>122.1</v>
      </c>
      <c r="AA47" s="233">
        <v>96.4</v>
      </c>
      <c r="AB47" s="176">
        <v>136.75</v>
      </c>
      <c r="AC47" s="233">
        <v>122.1</v>
      </c>
      <c r="AD47" s="185">
        <f t="shared" si="3"/>
        <v>1672.296781</v>
      </c>
      <c r="AE47" s="185">
        <f t="shared" si="4"/>
        <v>1659.78</v>
      </c>
      <c r="AF47" s="185">
        <f t="shared" si="5"/>
        <v>126.313219</v>
      </c>
      <c r="AG47" s="11"/>
    </row>
    <row r="48" s="4" customFormat="1" ht="35" customHeight="1" spans="1:33">
      <c r="A48" s="48">
        <v>45</v>
      </c>
      <c r="B48" s="48" t="s">
        <v>125</v>
      </c>
      <c r="C48" s="51" t="s">
        <v>126</v>
      </c>
      <c r="D48" s="50">
        <v>1464.37</v>
      </c>
      <c r="E48" s="101">
        <v>230.235915</v>
      </c>
      <c r="F48" s="50"/>
      <c r="G48" s="50"/>
      <c r="H48" s="101"/>
      <c r="I48" s="101">
        <v>222.64</v>
      </c>
      <c r="J48" s="101"/>
      <c r="K48" s="101">
        <v>198.37</v>
      </c>
      <c r="L48" s="101">
        <v>0</v>
      </c>
      <c r="M48" s="101">
        <v>170.79</v>
      </c>
      <c r="N48" s="101"/>
      <c r="O48" s="101">
        <v>198.656351</v>
      </c>
      <c r="P48" s="101">
        <v>500</v>
      </c>
      <c r="Q48" s="101">
        <v>167.18</v>
      </c>
      <c r="R48" s="233"/>
      <c r="S48" s="233">
        <v>243.21</v>
      </c>
      <c r="T48" s="101">
        <v>203.82</v>
      </c>
      <c r="U48" s="233"/>
      <c r="V48" s="101">
        <v>177.15</v>
      </c>
      <c r="W48" s="233"/>
      <c r="X48" s="101">
        <v>141.56</v>
      </c>
      <c r="Y48" s="233">
        <v>62.91</v>
      </c>
      <c r="Z48" s="101">
        <v>142.58</v>
      </c>
      <c r="AA48" s="233">
        <v>141.56</v>
      </c>
      <c r="AB48" s="176">
        <v>173.21</v>
      </c>
      <c r="AC48" s="233">
        <v>142.58</v>
      </c>
      <c r="AD48" s="185">
        <f t="shared" si="3"/>
        <v>2269.402266</v>
      </c>
      <c r="AE48" s="185">
        <f t="shared" si="4"/>
        <v>847.05</v>
      </c>
      <c r="AF48" s="185">
        <f t="shared" si="5"/>
        <v>42.017734</v>
      </c>
      <c r="AG48" s="11"/>
    </row>
    <row r="49" s="4" customFormat="1" ht="35" customHeight="1" spans="1:33">
      <c r="A49" s="48">
        <v>46</v>
      </c>
      <c r="B49" s="48" t="s">
        <v>127</v>
      </c>
      <c r="C49" s="51" t="s">
        <v>128</v>
      </c>
      <c r="D49" s="50">
        <v>420.29</v>
      </c>
      <c r="E49" s="101">
        <v>245.089845</v>
      </c>
      <c r="F49" s="50"/>
      <c r="G49" s="50"/>
      <c r="H49" s="101">
        <v>1000</v>
      </c>
      <c r="I49" s="101">
        <v>34.4</v>
      </c>
      <c r="J49" s="101"/>
      <c r="K49" s="101">
        <v>226.25</v>
      </c>
      <c r="L49" s="101">
        <v>0</v>
      </c>
      <c r="M49" s="101">
        <v>167.33</v>
      </c>
      <c r="N49" s="101"/>
      <c r="O49" s="101">
        <v>202.465051</v>
      </c>
      <c r="P49" s="112"/>
      <c r="Q49" s="101">
        <v>158.45</v>
      </c>
      <c r="R49" s="233"/>
      <c r="S49" s="233">
        <v>144.73</v>
      </c>
      <c r="T49" s="101">
        <v>260.95</v>
      </c>
      <c r="U49" s="233">
        <v>66.66</v>
      </c>
      <c r="V49" s="101">
        <v>244.37</v>
      </c>
      <c r="W49" s="233">
        <v>295.76</v>
      </c>
      <c r="X49" s="101">
        <v>211.21</v>
      </c>
      <c r="Y49" s="233">
        <v>244.37</v>
      </c>
      <c r="Z49" s="101">
        <v>171.35</v>
      </c>
      <c r="AA49" s="233">
        <v>211.21</v>
      </c>
      <c r="AB49" s="176">
        <v>192.25</v>
      </c>
      <c r="AC49" s="233">
        <v>171.35</v>
      </c>
      <c r="AD49" s="185">
        <f t="shared" si="3"/>
        <v>2258.844896</v>
      </c>
      <c r="AE49" s="185">
        <f t="shared" si="4"/>
        <v>1989.35</v>
      </c>
      <c r="AF49" s="185">
        <f t="shared" si="5"/>
        <v>150.795104</v>
      </c>
      <c r="AG49" s="11"/>
    </row>
    <row r="50" s="4" customFormat="1" ht="35" customHeight="1" spans="1:33">
      <c r="A50" s="48">
        <v>47</v>
      </c>
      <c r="B50" s="48" t="s">
        <v>129</v>
      </c>
      <c r="C50" s="51" t="s">
        <v>130</v>
      </c>
      <c r="D50" s="50">
        <v>437.63</v>
      </c>
      <c r="E50" s="101">
        <v>174.81933</v>
      </c>
      <c r="F50" s="50"/>
      <c r="G50" s="50"/>
      <c r="H50" s="101"/>
      <c r="I50" s="101">
        <v>165.25</v>
      </c>
      <c r="J50" s="101"/>
      <c r="K50" s="101">
        <v>105.26</v>
      </c>
      <c r="L50" s="101">
        <v>1000</v>
      </c>
      <c r="M50" s="101">
        <v>93.51</v>
      </c>
      <c r="N50" s="101"/>
      <c r="O50" s="101">
        <v>179.068751</v>
      </c>
      <c r="P50" s="112"/>
      <c r="Q50" s="101">
        <v>193.38</v>
      </c>
      <c r="R50" s="233"/>
      <c r="S50" s="233">
        <v>157.79</v>
      </c>
      <c r="T50" s="101">
        <v>203.82</v>
      </c>
      <c r="U50" s="233"/>
      <c r="V50" s="101">
        <v>172.15</v>
      </c>
      <c r="W50" s="233">
        <v>132.91</v>
      </c>
      <c r="X50" s="101">
        <v>140.48</v>
      </c>
      <c r="Y50" s="233">
        <v>172.15</v>
      </c>
      <c r="Z50" s="101">
        <v>119.34</v>
      </c>
      <c r="AA50" s="233">
        <v>140.48</v>
      </c>
      <c r="AB50" s="176">
        <v>113.36</v>
      </c>
      <c r="AC50" s="233">
        <v>119.34</v>
      </c>
      <c r="AD50" s="185">
        <f t="shared" si="3"/>
        <v>1818.228081</v>
      </c>
      <c r="AE50" s="185">
        <f t="shared" si="4"/>
        <v>1564.88</v>
      </c>
      <c r="AF50" s="185">
        <f t="shared" si="5"/>
        <v>184.281919</v>
      </c>
      <c r="AG50" s="11"/>
    </row>
    <row r="51" s="4" customFormat="1" ht="35" customHeight="1" spans="1:33">
      <c r="A51" s="48">
        <v>48</v>
      </c>
      <c r="B51" s="48" t="s">
        <v>131</v>
      </c>
      <c r="C51" s="51" t="s">
        <v>132</v>
      </c>
      <c r="D51" s="50">
        <v>554.87</v>
      </c>
      <c r="E51" s="101">
        <v>281.653365</v>
      </c>
      <c r="F51" s="50">
        <v>500</v>
      </c>
      <c r="G51" s="50"/>
      <c r="H51" s="101"/>
      <c r="I51" s="101">
        <v>241.01</v>
      </c>
      <c r="J51" s="101"/>
      <c r="K51" s="101">
        <v>208.46</v>
      </c>
      <c r="L51" s="101">
        <v>0</v>
      </c>
      <c r="M51" s="101">
        <v>178.29</v>
      </c>
      <c r="N51" s="101">
        <v>500</v>
      </c>
      <c r="O51" s="101">
        <v>223.140851</v>
      </c>
      <c r="P51" s="112"/>
      <c r="Q51" s="101">
        <v>203.86</v>
      </c>
      <c r="R51" s="233"/>
      <c r="S51" s="233">
        <v>305.78</v>
      </c>
      <c r="T51" s="101">
        <v>247.89</v>
      </c>
      <c r="U51" s="233">
        <v>58.72</v>
      </c>
      <c r="V51" s="101">
        <v>197.71</v>
      </c>
      <c r="W51" s="233">
        <v>553.67</v>
      </c>
      <c r="X51" s="101">
        <v>138.84</v>
      </c>
      <c r="Y51" s="233">
        <v>197.71</v>
      </c>
      <c r="Z51" s="101">
        <v>175.78</v>
      </c>
      <c r="AA51" s="233">
        <v>138.84</v>
      </c>
      <c r="AB51" s="176">
        <v>196.06</v>
      </c>
      <c r="AC51" s="233">
        <v>175.78</v>
      </c>
      <c r="AD51" s="185">
        <f t="shared" si="3"/>
        <v>2598.474216</v>
      </c>
      <c r="AE51" s="185">
        <f t="shared" si="4"/>
        <v>2124.72</v>
      </c>
      <c r="AF51" s="185">
        <f t="shared" si="5"/>
        <v>81.1157839999992</v>
      </c>
      <c r="AG51" s="11"/>
    </row>
    <row r="52" s="4" customFormat="1" ht="35" customHeight="1" spans="1:33">
      <c r="A52" s="48">
        <v>49</v>
      </c>
      <c r="B52" s="48" t="s">
        <v>133</v>
      </c>
      <c r="C52" s="51" t="s">
        <v>134</v>
      </c>
      <c r="D52" s="50">
        <v>936.59</v>
      </c>
      <c r="E52" s="101">
        <v>308.5047</v>
      </c>
      <c r="F52" s="50"/>
      <c r="G52" s="50"/>
      <c r="H52" s="101"/>
      <c r="I52" s="101">
        <v>279.46</v>
      </c>
      <c r="J52" s="101"/>
      <c r="K52" s="101">
        <v>172.28</v>
      </c>
      <c r="L52" s="101">
        <v>1179.74</v>
      </c>
      <c r="M52" s="101">
        <v>166.75</v>
      </c>
      <c r="N52" s="101"/>
      <c r="O52" s="101">
        <v>148.599151</v>
      </c>
      <c r="P52" s="112"/>
      <c r="Q52" s="101">
        <v>150.88</v>
      </c>
      <c r="R52" s="233"/>
      <c r="S52" s="233">
        <v>297.62</v>
      </c>
      <c r="T52" s="101">
        <v>153.76</v>
      </c>
      <c r="U52" s="233"/>
      <c r="V52" s="101">
        <v>131.04</v>
      </c>
      <c r="W52" s="233"/>
      <c r="X52" s="101">
        <v>98.58</v>
      </c>
      <c r="Y52" s="233"/>
      <c r="Z52" s="101">
        <v>129.3</v>
      </c>
      <c r="AA52" s="233">
        <v>1390.08</v>
      </c>
      <c r="AB52" s="176">
        <v>107.92</v>
      </c>
      <c r="AC52" s="233"/>
      <c r="AD52" s="185">
        <f t="shared" si="3"/>
        <v>2144.693851</v>
      </c>
      <c r="AE52" s="185">
        <f t="shared" si="4"/>
        <v>2569.82</v>
      </c>
      <c r="AF52" s="185">
        <f t="shared" si="5"/>
        <v>1361.716149</v>
      </c>
      <c r="AG52" s="11"/>
    </row>
    <row r="53" s="4" customFormat="1" ht="35" customHeight="1" spans="1:33">
      <c r="A53" s="48">
        <v>50</v>
      </c>
      <c r="B53" s="48" t="s">
        <v>135</v>
      </c>
      <c r="C53" s="51" t="s">
        <v>136</v>
      </c>
      <c r="D53" s="50">
        <v>-607</v>
      </c>
      <c r="E53" s="101">
        <v>385.05957</v>
      </c>
      <c r="F53" s="50"/>
      <c r="G53" s="50"/>
      <c r="H53" s="101">
        <v>1600</v>
      </c>
      <c r="I53" s="101">
        <v>426.38</v>
      </c>
      <c r="J53" s="101"/>
      <c r="K53" s="101">
        <v>300.97</v>
      </c>
      <c r="L53" s="101">
        <v>440</v>
      </c>
      <c r="M53" s="101">
        <v>246.34</v>
      </c>
      <c r="N53" s="101">
        <v>300</v>
      </c>
      <c r="O53" s="101">
        <v>275.918551</v>
      </c>
      <c r="P53" s="112"/>
      <c r="Q53" s="101">
        <v>115.95</v>
      </c>
      <c r="R53" s="233"/>
      <c r="S53" s="233">
        <v>483.7</v>
      </c>
      <c r="T53" s="101">
        <v>195.66</v>
      </c>
      <c r="U53" s="233">
        <v>334.05</v>
      </c>
      <c r="V53" s="101">
        <v>273.26</v>
      </c>
      <c r="W53" s="233"/>
      <c r="X53" s="101">
        <v>165.5</v>
      </c>
      <c r="Y53" s="233">
        <v>952.62</v>
      </c>
      <c r="Z53" s="101">
        <v>85.03</v>
      </c>
      <c r="AA53" s="233"/>
      <c r="AB53" s="176">
        <v>125.87</v>
      </c>
      <c r="AC53" s="233"/>
      <c r="AD53" s="185">
        <f t="shared" si="3"/>
        <v>3079.638121</v>
      </c>
      <c r="AE53" s="185">
        <f t="shared" si="4"/>
        <v>3626.67</v>
      </c>
      <c r="AF53" s="185">
        <f t="shared" si="5"/>
        <v>-59.9681209999994</v>
      </c>
      <c r="AG53" s="11"/>
    </row>
    <row r="54" s="4" customFormat="1" ht="35" customHeight="1" spans="1:33">
      <c r="A54" s="48">
        <v>51</v>
      </c>
      <c r="B54" s="48" t="s">
        <v>137</v>
      </c>
      <c r="C54" s="51" t="s">
        <v>138</v>
      </c>
      <c r="D54" s="50">
        <v>335.22</v>
      </c>
      <c r="E54" s="101">
        <v>117.117525</v>
      </c>
      <c r="F54" s="50"/>
      <c r="G54" s="50"/>
      <c r="H54" s="101">
        <v>1000</v>
      </c>
      <c r="I54" s="101">
        <v>215.76</v>
      </c>
      <c r="J54" s="101"/>
      <c r="K54" s="101">
        <v>193.63</v>
      </c>
      <c r="L54" s="101">
        <v>0</v>
      </c>
      <c r="M54" s="101">
        <v>183.48</v>
      </c>
      <c r="N54" s="101"/>
      <c r="O54" s="101">
        <v>236.743351</v>
      </c>
      <c r="P54" s="112"/>
      <c r="Q54" s="101">
        <v>252.18</v>
      </c>
      <c r="R54" s="234">
        <v>28.5874759999998</v>
      </c>
      <c r="S54" s="233">
        <v>165.95</v>
      </c>
      <c r="T54" s="101">
        <v>282.17</v>
      </c>
      <c r="U54" s="233">
        <v>142.26</v>
      </c>
      <c r="V54" s="101">
        <v>222.7</v>
      </c>
      <c r="W54" s="233">
        <v>448.12</v>
      </c>
      <c r="X54" s="101">
        <v>145.92</v>
      </c>
      <c r="Y54" s="233">
        <v>222.7</v>
      </c>
      <c r="Z54" s="101">
        <v>112.14</v>
      </c>
      <c r="AA54" s="233">
        <v>145.92</v>
      </c>
      <c r="AB54" s="176">
        <v>123.7</v>
      </c>
      <c r="AC54" s="233">
        <v>112.14</v>
      </c>
      <c r="AD54" s="185">
        <f t="shared" si="3"/>
        <v>2251.490876</v>
      </c>
      <c r="AE54" s="185">
        <f t="shared" si="4"/>
        <v>2099.727476</v>
      </c>
      <c r="AF54" s="185">
        <f t="shared" si="5"/>
        <v>183.4566</v>
      </c>
      <c r="AG54" s="11"/>
    </row>
    <row r="55" s="4" customFormat="1" ht="35" customHeight="1" spans="1:33">
      <c r="A55" s="48">
        <v>52</v>
      </c>
      <c r="B55" s="48" t="s">
        <v>139</v>
      </c>
      <c r="C55" s="51" t="s">
        <v>140</v>
      </c>
      <c r="D55" s="50">
        <v>201.990000000001</v>
      </c>
      <c r="E55" s="101">
        <v>240.519405</v>
      </c>
      <c r="F55" s="50">
        <v>500</v>
      </c>
      <c r="G55" s="50"/>
      <c r="H55" s="101"/>
      <c r="I55" s="101">
        <v>68.83</v>
      </c>
      <c r="J55" s="101"/>
      <c r="K55" s="101">
        <v>126.02</v>
      </c>
      <c r="L55" s="101">
        <v>500</v>
      </c>
      <c r="M55" s="101">
        <v>147.72</v>
      </c>
      <c r="N55" s="101"/>
      <c r="O55" s="101">
        <v>288.432851</v>
      </c>
      <c r="P55" s="112"/>
      <c r="Q55" s="101">
        <v>300.5</v>
      </c>
      <c r="R55" s="233">
        <v>390.08</v>
      </c>
      <c r="S55" s="233">
        <v>118.07</v>
      </c>
      <c r="T55" s="101">
        <v>311.55</v>
      </c>
      <c r="U55" s="233">
        <v>190.08</v>
      </c>
      <c r="V55" s="101">
        <v>244.37</v>
      </c>
      <c r="W55" s="233">
        <v>500</v>
      </c>
      <c r="X55" s="101">
        <v>147.55</v>
      </c>
      <c r="Y55" s="233">
        <v>300</v>
      </c>
      <c r="Z55" s="101">
        <v>120.44</v>
      </c>
      <c r="AA55" s="233"/>
      <c r="AB55" s="176">
        <v>121.52</v>
      </c>
      <c r="AC55" s="233">
        <v>200</v>
      </c>
      <c r="AD55" s="185">
        <f t="shared" si="3"/>
        <v>2235.522256</v>
      </c>
      <c r="AE55" s="185">
        <f t="shared" si="4"/>
        <v>2580.16</v>
      </c>
      <c r="AF55" s="185">
        <f t="shared" si="5"/>
        <v>546.627744000001</v>
      </c>
      <c r="AG55" s="11"/>
    </row>
    <row r="56" s="4" customFormat="1" ht="35" customHeight="1" spans="1:33">
      <c r="A56" s="48">
        <v>53</v>
      </c>
      <c r="B56" s="48" t="s">
        <v>141</v>
      </c>
      <c r="C56" s="51" t="s">
        <v>142</v>
      </c>
      <c r="D56" s="50">
        <v>1201.99</v>
      </c>
      <c r="E56" s="101">
        <v>124.54449</v>
      </c>
      <c r="F56" s="50">
        <v>300</v>
      </c>
      <c r="G56" s="50"/>
      <c r="H56" s="101"/>
      <c r="I56" s="101">
        <v>387.21</v>
      </c>
      <c r="J56" s="101"/>
      <c r="K56" s="101">
        <v>157.8</v>
      </c>
      <c r="L56" s="101">
        <v>0</v>
      </c>
      <c r="M56" s="101">
        <v>77.82</v>
      </c>
      <c r="N56" s="101"/>
      <c r="O56" s="101">
        <v>103.074304</v>
      </c>
      <c r="P56" s="112"/>
      <c r="Q56" s="101">
        <v>110.02</v>
      </c>
      <c r="R56" s="233"/>
      <c r="S56" s="233">
        <v>280.76</v>
      </c>
      <c r="T56" s="101">
        <v>118.78</v>
      </c>
      <c r="U56" s="233"/>
      <c r="V56" s="101">
        <v>133.98</v>
      </c>
      <c r="W56" s="233">
        <v>500</v>
      </c>
      <c r="X56" s="101">
        <v>84.44</v>
      </c>
      <c r="Y56" s="233"/>
      <c r="Z56" s="101">
        <v>107.14</v>
      </c>
      <c r="AA56" s="233"/>
      <c r="AB56" s="176">
        <v>106.83</v>
      </c>
      <c r="AC56" s="233"/>
      <c r="AD56" s="185">
        <f t="shared" si="3"/>
        <v>1792.398794</v>
      </c>
      <c r="AE56" s="185">
        <f t="shared" si="4"/>
        <v>800</v>
      </c>
      <c r="AF56" s="185">
        <f t="shared" si="5"/>
        <v>209.591206</v>
      </c>
      <c r="AG56" s="11"/>
    </row>
    <row r="57" s="4" customFormat="1" ht="35" customHeight="1" spans="1:33">
      <c r="A57" s="48">
        <v>54</v>
      </c>
      <c r="B57" s="48" t="s">
        <v>143</v>
      </c>
      <c r="C57" s="51" t="s">
        <v>144</v>
      </c>
      <c r="D57" s="50">
        <v>108.99</v>
      </c>
      <c r="E57" s="101">
        <v>71.413125</v>
      </c>
      <c r="F57" s="50"/>
      <c r="G57" s="50"/>
      <c r="H57" s="101"/>
      <c r="I57" s="101">
        <v>72.13</v>
      </c>
      <c r="J57" s="101"/>
      <c r="K57" s="101">
        <v>74.77</v>
      </c>
      <c r="L57" s="101">
        <v>0</v>
      </c>
      <c r="M57" s="101">
        <v>72.62</v>
      </c>
      <c r="N57" s="101"/>
      <c r="O57" s="101">
        <v>160.204804</v>
      </c>
      <c r="P57" s="112"/>
      <c r="Q57" s="101">
        <v>167.08</v>
      </c>
      <c r="R57" s="233"/>
      <c r="S57" s="233">
        <v>68.01</v>
      </c>
      <c r="T57" s="101">
        <v>240.11</v>
      </c>
      <c r="U57" s="233"/>
      <c r="V57" s="101">
        <v>251.19</v>
      </c>
      <c r="W57" s="233">
        <v>40.08</v>
      </c>
      <c r="X57" s="101">
        <v>136.68</v>
      </c>
      <c r="Y57" s="233">
        <v>251.19</v>
      </c>
      <c r="Z57" s="101">
        <v>100.5</v>
      </c>
      <c r="AA57" s="233">
        <v>136.68</v>
      </c>
      <c r="AB57" s="176">
        <v>129.14</v>
      </c>
      <c r="AC57" s="233">
        <v>100.5</v>
      </c>
      <c r="AD57" s="185">
        <f t="shared" si="3"/>
        <v>1543.847929</v>
      </c>
      <c r="AE57" s="185">
        <f t="shared" si="4"/>
        <v>528.45</v>
      </c>
      <c r="AF57" s="185">
        <f t="shared" si="5"/>
        <v>-906.407929</v>
      </c>
      <c r="AG57" s="11"/>
    </row>
    <row r="58" s="4" customFormat="1" ht="35" customHeight="1" spans="1:33">
      <c r="A58" s="48">
        <v>55</v>
      </c>
      <c r="B58" s="48" t="s">
        <v>145</v>
      </c>
      <c r="C58" s="51" t="s">
        <v>146</v>
      </c>
      <c r="D58" s="50">
        <v>352.61</v>
      </c>
      <c r="E58" s="101">
        <v>350.78127</v>
      </c>
      <c r="F58" s="50"/>
      <c r="G58" s="50"/>
      <c r="H58" s="101">
        <v>500</v>
      </c>
      <c r="I58" s="101">
        <v>483.63</v>
      </c>
      <c r="J58" s="101"/>
      <c r="K58" s="101">
        <v>355.29</v>
      </c>
      <c r="L58" s="101">
        <v>210</v>
      </c>
      <c r="M58" s="101">
        <v>276.8</v>
      </c>
      <c r="N58" s="101">
        <v>500</v>
      </c>
      <c r="O58" s="101">
        <v>206.453304</v>
      </c>
      <c r="P58" s="112"/>
      <c r="Q58" s="101">
        <v>132.73</v>
      </c>
      <c r="R58" s="233">
        <v>390.9</v>
      </c>
      <c r="S58" s="233">
        <v>408.08</v>
      </c>
      <c r="T58" s="101">
        <v>219.98</v>
      </c>
      <c r="U58" s="233">
        <v>500</v>
      </c>
      <c r="V58" s="101">
        <v>197.31</v>
      </c>
      <c r="W58" s="233"/>
      <c r="X58" s="101">
        <v>164.97</v>
      </c>
      <c r="Y58" s="233">
        <v>458.1</v>
      </c>
      <c r="Z58" s="101">
        <v>116</v>
      </c>
      <c r="AA58" s="233">
        <v>164.97</v>
      </c>
      <c r="AB58" s="176">
        <v>175.39</v>
      </c>
      <c r="AC58" s="233">
        <v>291.39</v>
      </c>
      <c r="AD58" s="185">
        <f t="shared" si="3"/>
        <v>3087.414574</v>
      </c>
      <c r="AE58" s="185">
        <f t="shared" si="4"/>
        <v>3015.36</v>
      </c>
      <c r="AF58" s="185">
        <f t="shared" si="5"/>
        <v>280.555426</v>
      </c>
      <c r="AG58" s="11"/>
    </row>
    <row r="59" s="4" customFormat="1" ht="35" customHeight="1" spans="1:33">
      <c r="A59" s="48">
        <v>56</v>
      </c>
      <c r="B59" s="48" t="s">
        <v>147</v>
      </c>
      <c r="C59" s="51" t="s">
        <v>148</v>
      </c>
      <c r="D59" s="50">
        <v>880.89</v>
      </c>
      <c r="E59" s="101">
        <v>136.541895</v>
      </c>
      <c r="F59" s="50"/>
      <c r="G59" s="50"/>
      <c r="H59" s="101"/>
      <c r="I59" s="101">
        <v>101.97</v>
      </c>
      <c r="J59" s="101"/>
      <c r="K59" s="101">
        <v>173.22</v>
      </c>
      <c r="L59" s="101">
        <v>0</v>
      </c>
      <c r="M59" s="101">
        <v>151.65</v>
      </c>
      <c r="N59" s="101"/>
      <c r="O59" s="101">
        <v>101.442004</v>
      </c>
      <c r="P59" s="112"/>
      <c r="Q59" s="101">
        <v>132.15</v>
      </c>
      <c r="R59" s="234">
        <v>439.182899</v>
      </c>
      <c r="S59" s="233">
        <v>145.27</v>
      </c>
      <c r="T59" s="101">
        <v>165.57</v>
      </c>
      <c r="U59" s="233">
        <v>132.15</v>
      </c>
      <c r="V59" s="101">
        <v>125.64</v>
      </c>
      <c r="W59" s="233"/>
      <c r="X59" s="101">
        <v>104.03</v>
      </c>
      <c r="Y59" s="233">
        <v>436.48</v>
      </c>
      <c r="Z59" s="101">
        <v>98.84</v>
      </c>
      <c r="AA59" s="233">
        <v>104.03</v>
      </c>
      <c r="AB59" s="176">
        <v>132.4</v>
      </c>
      <c r="AC59" s="233">
        <v>98.84</v>
      </c>
      <c r="AD59" s="185">
        <f t="shared" si="3"/>
        <v>1568.723899</v>
      </c>
      <c r="AE59" s="185">
        <f t="shared" si="4"/>
        <v>1210.682899</v>
      </c>
      <c r="AF59" s="185">
        <f t="shared" si="5"/>
        <v>522.849</v>
      </c>
      <c r="AG59" s="11"/>
    </row>
    <row r="60" s="4" customFormat="1" ht="35" customHeight="1" spans="1:33">
      <c r="A60" s="48">
        <v>57</v>
      </c>
      <c r="B60" s="48" t="s">
        <v>149</v>
      </c>
      <c r="C60" s="51" t="s">
        <v>150</v>
      </c>
      <c r="D60" s="50">
        <v>1504.9</v>
      </c>
      <c r="E60" s="101">
        <v>131.971455</v>
      </c>
      <c r="F60" s="50"/>
      <c r="G60" s="50"/>
      <c r="H60" s="101"/>
      <c r="I60" s="101">
        <v>193.22</v>
      </c>
      <c r="J60" s="101"/>
      <c r="K60" s="101">
        <v>137.64</v>
      </c>
      <c r="L60" s="101">
        <v>0</v>
      </c>
      <c r="M60" s="101">
        <v>126.27</v>
      </c>
      <c r="N60" s="101"/>
      <c r="O60" s="101">
        <v>145.514104</v>
      </c>
      <c r="P60" s="112"/>
      <c r="Q60" s="101">
        <v>202.59</v>
      </c>
      <c r="R60" s="233"/>
      <c r="S60" s="233">
        <v>140.38</v>
      </c>
      <c r="T60" s="101">
        <v>180.26</v>
      </c>
      <c r="U60" s="233"/>
      <c r="V60" s="101">
        <v>168.42</v>
      </c>
      <c r="W60" s="233">
        <v>890.08</v>
      </c>
      <c r="X60" s="101">
        <v>75.74</v>
      </c>
      <c r="Y60" s="233"/>
      <c r="Z60" s="101">
        <v>97.74</v>
      </c>
      <c r="AA60" s="233"/>
      <c r="AB60" s="176">
        <v>108.46</v>
      </c>
      <c r="AC60" s="233"/>
      <c r="AD60" s="185">
        <f t="shared" si="3"/>
        <v>1708.205559</v>
      </c>
      <c r="AE60" s="185">
        <f t="shared" si="4"/>
        <v>890.08</v>
      </c>
      <c r="AF60" s="185">
        <f t="shared" si="5"/>
        <v>686.774441</v>
      </c>
      <c r="AG60" s="11"/>
    </row>
    <row r="61" s="4" customFormat="1" ht="35" customHeight="1" spans="1:33">
      <c r="A61" s="48">
        <v>58</v>
      </c>
      <c r="B61" s="48" t="s">
        <v>151</v>
      </c>
      <c r="C61" s="51" t="s">
        <v>152</v>
      </c>
      <c r="D61" s="50">
        <v>278.21</v>
      </c>
      <c r="E61" s="101">
        <v>92.55141</v>
      </c>
      <c r="F61" s="50">
        <v>100</v>
      </c>
      <c r="G61" s="50"/>
      <c r="H61" s="101"/>
      <c r="I61" s="101">
        <v>7.85</v>
      </c>
      <c r="J61" s="101"/>
      <c r="K61" s="101">
        <v>8.35</v>
      </c>
      <c r="L61" s="101">
        <v>0</v>
      </c>
      <c r="M61" s="101">
        <v>25.92</v>
      </c>
      <c r="N61" s="101">
        <v>50</v>
      </c>
      <c r="O61" s="101">
        <v>33.973604</v>
      </c>
      <c r="P61" s="112"/>
      <c r="Q61" s="101">
        <v>8.72</v>
      </c>
      <c r="R61" s="233">
        <v>100</v>
      </c>
      <c r="S61" s="233">
        <v>12.51</v>
      </c>
      <c r="T61" s="101">
        <v>163.39</v>
      </c>
      <c r="U61" s="233">
        <v>390.08</v>
      </c>
      <c r="V61" s="101">
        <v>79.53</v>
      </c>
      <c r="W61" s="233"/>
      <c r="X61" s="101">
        <v>9.9</v>
      </c>
      <c r="Y61" s="233">
        <v>183</v>
      </c>
      <c r="Z61" s="101">
        <v>28.02</v>
      </c>
      <c r="AA61" s="233"/>
      <c r="AB61" s="176">
        <v>75.27</v>
      </c>
      <c r="AC61" s="233">
        <v>37.76</v>
      </c>
      <c r="AD61" s="185">
        <f t="shared" si="3"/>
        <v>545.985014</v>
      </c>
      <c r="AE61" s="185">
        <f t="shared" si="4"/>
        <v>860.84</v>
      </c>
      <c r="AF61" s="185">
        <f t="shared" si="5"/>
        <v>593.064986</v>
      </c>
      <c r="AG61" s="11"/>
    </row>
    <row r="62" s="4" customFormat="1" ht="35" customHeight="1" spans="1:33">
      <c r="A62" s="48">
        <v>59</v>
      </c>
      <c r="B62" s="48" t="s">
        <v>153</v>
      </c>
      <c r="C62" s="51" t="s">
        <v>154</v>
      </c>
      <c r="D62" s="50">
        <v>2430.35</v>
      </c>
      <c r="E62" s="101">
        <v>195.38631</v>
      </c>
      <c r="F62" s="50"/>
      <c r="G62" s="50"/>
      <c r="H62" s="112"/>
      <c r="I62" s="101">
        <v>217.83</v>
      </c>
      <c r="J62" s="101"/>
      <c r="K62" s="101">
        <v>192.79</v>
      </c>
      <c r="L62" s="101">
        <v>0</v>
      </c>
      <c r="M62" s="101">
        <v>183.95</v>
      </c>
      <c r="N62" s="101"/>
      <c r="O62" s="101">
        <v>258.142804</v>
      </c>
      <c r="P62" s="112"/>
      <c r="Q62" s="101">
        <v>249.75</v>
      </c>
      <c r="R62" s="233"/>
      <c r="S62" s="233">
        <v>291.64</v>
      </c>
      <c r="T62" s="101">
        <v>403.34</v>
      </c>
      <c r="U62" s="233">
        <v>355.55</v>
      </c>
      <c r="V62" s="101">
        <v>415.63</v>
      </c>
      <c r="W62" s="233"/>
      <c r="X62" s="101">
        <v>256.38</v>
      </c>
      <c r="Y62" s="233">
        <v>1110.61</v>
      </c>
      <c r="Z62" s="101">
        <v>182.4</v>
      </c>
      <c r="AA62" s="233">
        <v>256.38</v>
      </c>
      <c r="AB62" s="176">
        <v>199.33</v>
      </c>
      <c r="AC62" s="233">
        <v>182.4</v>
      </c>
      <c r="AD62" s="185">
        <f t="shared" si="3"/>
        <v>3046.569114</v>
      </c>
      <c r="AE62" s="185">
        <f t="shared" si="4"/>
        <v>1904.94</v>
      </c>
      <c r="AF62" s="185">
        <f t="shared" si="5"/>
        <v>1288.720886</v>
      </c>
      <c r="AG62" s="11"/>
    </row>
    <row r="63" s="4" customFormat="1" ht="35" customHeight="1" spans="1:33">
      <c r="A63" s="48">
        <v>60</v>
      </c>
      <c r="B63" s="48" t="s">
        <v>155</v>
      </c>
      <c r="C63" s="210" t="s">
        <v>156</v>
      </c>
      <c r="D63" s="50">
        <v>724.97</v>
      </c>
      <c r="E63" s="101">
        <v>118.260135</v>
      </c>
      <c r="F63" s="50"/>
      <c r="G63" s="50"/>
      <c r="H63" s="112"/>
      <c r="I63" s="101">
        <v>201.83</v>
      </c>
      <c r="J63" s="101"/>
      <c r="K63" s="101">
        <v>147.72</v>
      </c>
      <c r="L63" s="101">
        <v>0</v>
      </c>
      <c r="M63" s="101">
        <v>130.31</v>
      </c>
      <c r="N63" s="101"/>
      <c r="O63" s="101">
        <v>144.970004</v>
      </c>
      <c r="P63" s="112"/>
      <c r="Q63" s="101">
        <v>136.8</v>
      </c>
      <c r="R63" s="233">
        <v>93.5961390000001</v>
      </c>
      <c r="S63" s="233">
        <v>206.76</v>
      </c>
      <c r="T63" s="101">
        <v>131.84</v>
      </c>
      <c r="U63" s="233">
        <v>26.88</v>
      </c>
      <c r="V63" s="101">
        <v>123.42</v>
      </c>
      <c r="W63" s="233">
        <v>338.6</v>
      </c>
      <c r="X63" s="101">
        <v>76.28</v>
      </c>
      <c r="Y63" s="233">
        <v>123.42</v>
      </c>
      <c r="Z63" s="101">
        <v>85.56</v>
      </c>
      <c r="AA63" s="233">
        <v>76.28</v>
      </c>
      <c r="AB63" s="176">
        <v>122.06</v>
      </c>
      <c r="AC63" s="233">
        <v>85.56</v>
      </c>
      <c r="AD63" s="185">
        <f t="shared" si="3"/>
        <v>1625.810139</v>
      </c>
      <c r="AE63" s="185">
        <f t="shared" si="4"/>
        <v>744.336139</v>
      </c>
      <c r="AF63" s="185">
        <f t="shared" si="5"/>
        <v>-156.503999999999</v>
      </c>
      <c r="AG63" s="11"/>
    </row>
    <row r="64" s="4" customFormat="1" ht="35" customHeight="1" spans="1:33">
      <c r="A64" s="48">
        <v>61</v>
      </c>
      <c r="B64" s="48" t="s">
        <v>157</v>
      </c>
      <c r="C64" s="210" t="s">
        <v>158</v>
      </c>
      <c r="D64" s="50">
        <v>1125.4</v>
      </c>
      <c r="E64" s="101">
        <v>167.96367</v>
      </c>
      <c r="F64" s="50"/>
      <c r="G64" s="50"/>
      <c r="H64" s="112"/>
      <c r="I64" s="101">
        <v>126.65</v>
      </c>
      <c r="J64" s="101"/>
      <c r="K64" s="101">
        <v>153.06</v>
      </c>
      <c r="L64" s="101">
        <v>0</v>
      </c>
      <c r="M64" s="101">
        <v>117.62</v>
      </c>
      <c r="N64" s="101"/>
      <c r="O64" s="101">
        <v>57.369904</v>
      </c>
      <c r="P64" s="112"/>
      <c r="Q64" s="101">
        <v>67.52</v>
      </c>
      <c r="R64" s="233">
        <v>500</v>
      </c>
      <c r="S64" s="233">
        <v>107.73</v>
      </c>
      <c r="T64" s="101">
        <v>45.87</v>
      </c>
      <c r="U64" s="233"/>
      <c r="V64" s="101">
        <v>58.98</v>
      </c>
      <c r="W64" s="233"/>
      <c r="X64" s="101">
        <v>81.18</v>
      </c>
      <c r="Y64" s="233"/>
      <c r="Z64" s="101">
        <v>104.93</v>
      </c>
      <c r="AA64" s="233"/>
      <c r="AB64" s="176">
        <v>139.47</v>
      </c>
      <c r="AC64" s="233">
        <v>290.08</v>
      </c>
      <c r="AD64" s="185">
        <f t="shared" si="3"/>
        <v>1228.343574</v>
      </c>
      <c r="AE64" s="185">
        <f t="shared" si="4"/>
        <v>790.08</v>
      </c>
      <c r="AF64" s="185">
        <f t="shared" si="5"/>
        <v>687.136426</v>
      </c>
      <c r="AG64" s="11"/>
    </row>
    <row r="65" s="4" customFormat="1" ht="35" customHeight="1" spans="1:33">
      <c r="A65" s="48">
        <v>62</v>
      </c>
      <c r="B65" s="48" t="s">
        <v>159</v>
      </c>
      <c r="C65" s="51" t="s">
        <v>160</v>
      </c>
      <c r="D65" s="50">
        <v>165.230000000001</v>
      </c>
      <c r="E65" s="101">
        <v>168.534975</v>
      </c>
      <c r="F65" s="50"/>
      <c r="G65" s="50"/>
      <c r="H65" s="112"/>
      <c r="I65" s="101">
        <v>206.42</v>
      </c>
      <c r="J65" s="101">
        <v>800</v>
      </c>
      <c r="K65" s="101">
        <v>120.44</v>
      </c>
      <c r="L65" s="101">
        <v>0</v>
      </c>
      <c r="M65" s="101">
        <v>117.62</v>
      </c>
      <c r="N65" s="101">
        <v>500</v>
      </c>
      <c r="O65" s="101">
        <v>201.556404</v>
      </c>
      <c r="P65" s="112"/>
      <c r="Q65" s="101">
        <v>254.4</v>
      </c>
      <c r="R65" s="112"/>
      <c r="S65" s="233">
        <v>162.69</v>
      </c>
      <c r="T65" s="101">
        <v>288.54</v>
      </c>
      <c r="U65" s="233">
        <v>390.08</v>
      </c>
      <c r="V65" s="101">
        <v>260.08</v>
      </c>
      <c r="W65" s="233">
        <v>200</v>
      </c>
      <c r="X65" s="101">
        <v>90.43</v>
      </c>
      <c r="Y65" s="233">
        <v>500</v>
      </c>
      <c r="Z65" s="101">
        <v>99.95</v>
      </c>
      <c r="AA65" s="233"/>
      <c r="AB65" s="176">
        <v>127.5</v>
      </c>
      <c r="AC65" s="233"/>
      <c r="AD65" s="185">
        <f t="shared" si="3"/>
        <v>2098.161379</v>
      </c>
      <c r="AE65" s="185">
        <f t="shared" si="4"/>
        <v>2390.08</v>
      </c>
      <c r="AF65" s="185">
        <f t="shared" si="5"/>
        <v>457.148621000001</v>
      </c>
      <c r="AG65" s="11"/>
    </row>
    <row r="66" s="4" customFormat="1" ht="35" customHeight="1" spans="1:33">
      <c r="A66" s="48">
        <v>63</v>
      </c>
      <c r="B66" s="48" t="s">
        <v>161</v>
      </c>
      <c r="C66" s="51" t="s">
        <v>162</v>
      </c>
      <c r="D66" s="50">
        <v>2455.96</v>
      </c>
      <c r="E66" s="101">
        <v>283.938585</v>
      </c>
      <c r="F66" s="50"/>
      <c r="G66" s="50"/>
      <c r="H66" s="112"/>
      <c r="I66" s="101">
        <v>352.77</v>
      </c>
      <c r="J66" s="101">
        <v>1000</v>
      </c>
      <c r="K66" s="101">
        <v>230.75</v>
      </c>
      <c r="L66" s="101">
        <v>0</v>
      </c>
      <c r="M66" s="101">
        <v>202.98</v>
      </c>
      <c r="N66" s="112"/>
      <c r="O66" s="101">
        <v>333.228604</v>
      </c>
      <c r="P66" s="112"/>
      <c r="Q66" s="101">
        <v>338.24</v>
      </c>
      <c r="R66" s="112"/>
      <c r="S66" s="233">
        <v>406.99</v>
      </c>
      <c r="T66" s="101">
        <v>330.98</v>
      </c>
      <c r="U66" s="233"/>
      <c r="V66" s="101">
        <v>253.97</v>
      </c>
      <c r="W66" s="233">
        <v>279.27</v>
      </c>
      <c r="X66" s="101">
        <v>188.91</v>
      </c>
      <c r="Y66" s="233">
        <v>253.97</v>
      </c>
      <c r="Z66" s="101">
        <v>142.56</v>
      </c>
      <c r="AA66" s="233">
        <v>188.91</v>
      </c>
      <c r="AB66" s="176">
        <v>184.63</v>
      </c>
      <c r="AC66" s="233">
        <v>142.56</v>
      </c>
      <c r="AD66" s="185">
        <f t="shared" si="3"/>
        <v>3249.947189</v>
      </c>
      <c r="AE66" s="185">
        <f t="shared" si="4"/>
        <v>1864.71</v>
      </c>
      <c r="AF66" s="185">
        <f t="shared" si="5"/>
        <v>1070.722811</v>
      </c>
      <c r="AG66" s="11"/>
    </row>
    <row r="67" s="4" customFormat="1" ht="35" customHeight="1" spans="1:33">
      <c r="A67" s="48">
        <v>64</v>
      </c>
      <c r="B67" s="48" t="s">
        <v>163</v>
      </c>
      <c r="C67" s="51" t="s">
        <v>164</v>
      </c>
      <c r="D67" s="50">
        <v>736.43</v>
      </c>
      <c r="E67" s="50">
        <v>81.12531</v>
      </c>
      <c r="F67" s="50"/>
      <c r="G67" s="50"/>
      <c r="H67" s="112">
        <v>1000</v>
      </c>
      <c r="I67" s="101">
        <v>81.88</v>
      </c>
      <c r="J67" s="112"/>
      <c r="K67" s="101">
        <v>84.85</v>
      </c>
      <c r="L67" s="101"/>
      <c r="M67" s="101">
        <v>82.42</v>
      </c>
      <c r="N67" s="112"/>
      <c r="O67" s="101">
        <v>132.999804</v>
      </c>
      <c r="P67" s="112"/>
      <c r="Q67" s="101">
        <v>118.76</v>
      </c>
      <c r="R67" s="112"/>
      <c r="S67" s="233">
        <v>77.26</v>
      </c>
      <c r="T67" s="101">
        <v>111.7</v>
      </c>
      <c r="U67" s="233"/>
      <c r="V67" s="101">
        <v>116.75</v>
      </c>
      <c r="W67" s="233"/>
      <c r="X67" s="101">
        <v>80.64</v>
      </c>
      <c r="Y67" s="233"/>
      <c r="Z67" s="101">
        <v>97.18</v>
      </c>
      <c r="AA67" s="233"/>
      <c r="AB67" s="176">
        <v>143.28</v>
      </c>
      <c r="AC67" s="233">
        <v>0.08</v>
      </c>
      <c r="AD67" s="185">
        <f t="shared" si="3"/>
        <v>1208.845114</v>
      </c>
      <c r="AE67" s="185">
        <f t="shared" si="4"/>
        <v>1000.08</v>
      </c>
      <c r="AF67" s="185">
        <f t="shared" si="5"/>
        <v>527.664886</v>
      </c>
      <c r="AG67" s="11"/>
    </row>
    <row r="68" s="4" customFormat="1" ht="35" customHeight="1" spans="1:33">
      <c r="A68" s="48">
        <v>65</v>
      </c>
      <c r="B68" s="108"/>
      <c r="C68" s="108" t="s">
        <v>165</v>
      </c>
      <c r="D68" s="50">
        <v>207.09</v>
      </c>
      <c r="E68" s="50">
        <v>35.84</v>
      </c>
      <c r="F68" s="50"/>
      <c r="G68" s="50"/>
      <c r="H68" s="112"/>
      <c r="I68" s="101">
        <v>48.78</v>
      </c>
      <c r="J68" s="112"/>
      <c r="K68" s="101">
        <v>29.65</v>
      </c>
      <c r="L68" s="101">
        <v>74.73</v>
      </c>
      <c r="M68" s="101">
        <v>39.8</v>
      </c>
      <c r="N68" s="112"/>
      <c r="O68" s="101">
        <v>65.84</v>
      </c>
      <c r="P68" s="112"/>
      <c r="Q68" s="101">
        <v>89.66</v>
      </c>
      <c r="R68" s="112"/>
      <c r="S68" s="233">
        <v>40.81</v>
      </c>
      <c r="T68" s="101">
        <v>46.25</v>
      </c>
      <c r="U68" s="233">
        <v>224.95</v>
      </c>
      <c r="V68" s="101">
        <v>91.66</v>
      </c>
      <c r="W68" s="233">
        <v>87.06</v>
      </c>
      <c r="X68" s="101">
        <v>51.69</v>
      </c>
      <c r="Y68" s="233">
        <v>91.66</v>
      </c>
      <c r="Z68" s="101">
        <v>35.97</v>
      </c>
      <c r="AA68" s="233">
        <v>51.69</v>
      </c>
      <c r="AB68" s="108">
        <v>70.73</v>
      </c>
      <c r="AC68" s="233">
        <v>35.97</v>
      </c>
      <c r="AD68" s="185">
        <f t="shared" si="3"/>
        <v>646.68</v>
      </c>
      <c r="AE68" s="185">
        <f t="shared" si="4"/>
        <v>566.06</v>
      </c>
      <c r="AF68" s="185">
        <f t="shared" si="5"/>
        <v>126.47</v>
      </c>
      <c r="AG68" s="11"/>
    </row>
    <row r="69" s="4" customFormat="1" ht="35" customHeight="1" spans="1:33">
      <c r="A69" s="48">
        <v>66</v>
      </c>
      <c r="B69" s="108"/>
      <c r="C69" s="108" t="s">
        <v>315</v>
      </c>
      <c r="D69" s="50">
        <v>-544</v>
      </c>
      <c r="E69" s="101">
        <v>51.77</v>
      </c>
      <c r="F69" s="50"/>
      <c r="G69" s="50"/>
      <c r="H69" s="112"/>
      <c r="I69" s="101">
        <v>35.86</v>
      </c>
      <c r="J69" s="112"/>
      <c r="K69" s="101">
        <v>47.6</v>
      </c>
      <c r="L69" s="101">
        <v>0</v>
      </c>
      <c r="M69" s="101">
        <v>50.46</v>
      </c>
      <c r="N69" s="112"/>
      <c r="O69" s="101">
        <v>51</v>
      </c>
      <c r="P69" s="112"/>
      <c r="Q69" s="101">
        <v>46.75</v>
      </c>
      <c r="R69" s="112"/>
      <c r="S69" s="233">
        <v>63.75</v>
      </c>
      <c r="T69" s="101">
        <v>51</v>
      </c>
      <c r="U69" s="112"/>
      <c r="V69" s="101">
        <v>49.3</v>
      </c>
      <c r="W69" s="112"/>
      <c r="X69" s="112"/>
      <c r="Y69" s="112"/>
      <c r="Z69" s="101">
        <v>49.3</v>
      </c>
      <c r="AA69" s="112"/>
      <c r="AB69" s="108">
        <v>51</v>
      </c>
      <c r="AC69" s="112"/>
      <c r="AD69" s="185">
        <f t="shared" ref="AD69:AD100" si="6">E69+G69+I69+K69+M69+O69+Q69+S69+T69+V69+X69+Z69+AB69</f>
        <v>547.79</v>
      </c>
      <c r="AE69" s="185">
        <f t="shared" ref="AE69:AE100" si="7">F69+H69+J69+L69+N69+P69+R69+U69+W69+Y69+AA69+AC69</f>
        <v>0</v>
      </c>
      <c r="AF69" s="185">
        <f t="shared" ref="AF69:AF100" si="8">D69+AE69-AD69</f>
        <v>-1091.79</v>
      </c>
      <c r="AG69" s="11"/>
    </row>
    <row r="70" s="4" customFormat="1" ht="35" customHeight="1" spans="1:33">
      <c r="A70" s="48">
        <v>67</v>
      </c>
      <c r="B70" s="48" t="s">
        <v>167</v>
      </c>
      <c r="C70" s="51" t="s">
        <v>168</v>
      </c>
      <c r="D70" s="15">
        <v>845.09</v>
      </c>
      <c r="E70" s="101">
        <v>105.691425</v>
      </c>
      <c r="F70" s="101"/>
      <c r="G70" s="101"/>
      <c r="H70" s="112"/>
      <c r="I70" s="101">
        <v>108.25</v>
      </c>
      <c r="J70" s="101"/>
      <c r="K70" s="101">
        <v>99.23</v>
      </c>
      <c r="L70" s="101">
        <v>0</v>
      </c>
      <c r="M70" s="101">
        <v>91.97</v>
      </c>
      <c r="N70" s="101"/>
      <c r="O70" s="101">
        <v>75.515639</v>
      </c>
      <c r="P70" s="101"/>
      <c r="Q70" s="101">
        <v>70.01</v>
      </c>
      <c r="R70" s="236">
        <v>6.15706399999995</v>
      </c>
      <c r="S70" s="101">
        <v>119.16</v>
      </c>
      <c r="T70" s="101">
        <v>86.51</v>
      </c>
      <c r="U70" s="236">
        <v>70.01</v>
      </c>
      <c r="V70" s="101">
        <v>82.64</v>
      </c>
      <c r="W70" s="236">
        <v>205.67</v>
      </c>
      <c r="X70" s="101">
        <v>82.87</v>
      </c>
      <c r="Y70" s="236">
        <v>82.64</v>
      </c>
      <c r="Z70" s="101">
        <v>116.22</v>
      </c>
      <c r="AA70" s="236">
        <v>82.87</v>
      </c>
      <c r="AB70" s="81">
        <v>118.63</v>
      </c>
      <c r="AC70" s="236">
        <v>14.52</v>
      </c>
      <c r="AD70" s="185">
        <f t="shared" si="6"/>
        <v>1156.697064</v>
      </c>
      <c r="AE70" s="185">
        <f t="shared" si="7"/>
        <v>461.867064</v>
      </c>
      <c r="AF70" s="185">
        <f t="shared" si="8"/>
        <v>150.26</v>
      </c>
      <c r="AG70" s="11"/>
    </row>
    <row r="71" s="4" customFormat="1" ht="35" customHeight="1" spans="1:33">
      <c r="A71" s="48">
        <v>68</v>
      </c>
      <c r="B71" s="48" t="s">
        <v>169</v>
      </c>
      <c r="C71" s="51" t="s">
        <v>170</v>
      </c>
      <c r="D71" s="50">
        <v>295.73</v>
      </c>
      <c r="E71" s="101">
        <v>43.41918</v>
      </c>
      <c r="F71" s="101"/>
      <c r="G71" s="101"/>
      <c r="H71" s="112"/>
      <c r="I71" s="101">
        <v>23.89</v>
      </c>
      <c r="J71" s="101"/>
      <c r="K71" s="101">
        <v>32.81</v>
      </c>
      <c r="L71" s="101">
        <v>200</v>
      </c>
      <c r="M71" s="101">
        <v>31.41</v>
      </c>
      <c r="N71" s="101"/>
      <c r="O71" s="101">
        <v>52.663439</v>
      </c>
      <c r="P71" s="101"/>
      <c r="Q71" s="101">
        <v>51.38</v>
      </c>
      <c r="R71" s="101"/>
      <c r="S71" s="101">
        <v>30.47</v>
      </c>
      <c r="T71" s="101">
        <v>46.25</v>
      </c>
      <c r="U71" s="236"/>
      <c r="V71" s="101">
        <v>45.42</v>
      </c>
      <c r="W71" s="236"/>
      <c r="X71" s="101">
        <v>39.88</v>
      </c>
      <c r="Y71" s="236"/>
      <c r="Z71" s="101">
        <v>39.31</v>
      </c>
      <c r="AA71" s="236"/>
      <c r="AB71" s="81">
        <v>45.18</v>
      </c>
      <c r="AC71" s="236"/>
      <c r="AD71" s="185">
        <f t="shared" si="6"/>
        <v>482.082619</v>
      </c>
      <c r="AE71" s="185">
        <f t="shared" si="7"/>
        <v>200</v>
      </c>
      <c r="AF71" s="185">
        <f t="shared" si="8"/>
        <v>13.6473809999999</v>
      </c>
      <c r="AG71" s="11"/>
    </row>
    <row r="72" s="4" customFormat="1" ht="35" customHeight="1" spans="1:33">
      <c r="A72" s="48">
        <v>69</v>
      </c>
      <c r="B72" s="48" t="s">
        <v>171</v>
      </c>
      <c r="C72" s="51" t="s">
        <v>172</v>
      </c>
      <c r="D72" s="50">
        <v>223.680000000001</v>
      </c>
      <c r="E72" s="101">
        <v>321.644715</v>
      </c>
      <c r="F72" s="101">
        <v>500</v>
      </c>
      <c r="G72" s="101"/>
      <c r="H72" s="112"/>
      <c r="I72" s="101">
        <v>272.39</v>
      </c>
      <c r="J72" s="101">
        <v>500</v>
      </c>
      <c r="K72" s="101">
        <v>207.17</v>
      </c>
      <c r="L72" s="101">
        <v>0</v>
      </c>
      <c r="M72" s="101">
        <v>177.33</v>
      </c>
      <c r="N72" s="101">
        <v>100</v>
      </c>
      <c r="O72" s="101">
        <v>370.961939</v>
      </c>
      <c r="P72" s="101">
        <v>370.96</v>
      </c>
      <c r="Q72" s="101">
        <v>346.55</v>
      </c>
      <c r="R72" s="236">
        <v>17.55</v>
      </c>
      <c r="S72" s="101">
        <v>222.54</v>
      </c>
      <c r="T72" s="101">
        <v>403.72</v>
      </c>
      <c r="U72" s="236">
        <f>244.87+330</f>
        <v>574.87</v>
      </c>
      <c r="V72" s="101">
        <v>353.74</v>
      </c>
      <c r="W72" s="236">
        <v>626.25</v>
      </c>
      <c r="X72" s="101">
        <v>196.04</v>
      </c>
      <c r="Y72" s="236">
        <v>23.74</v>
      </c>
      <c r="Z72" s="101">
        <v>167.68</v>
      </c>
      <c r="AA72" s="236">
        <v>196.04</v>
      </c>
      <c r="AB72" s="81">
        <v>145.84</v>
      </c>
      <c r="AC72" s="236">
        <v>167.68</v>
      </c>
      <c r="AD72" s="185">
        <f t="shared" si="6"/>
        <v>3185.606654</v>
      </c>
      <c r="AE72" s="185">
        <f t="shared" si="7"/>
        <v>3077.09</v>
      </c>
      <c r="AF72" s="185">
        <f t="shared" si="8"/>
        <v>115.163346000001</v>
      </c>
      <c r="AG72" s="11"/>
    </row>
    <row r="73" s="4" customFormat="1" ht="35" customHeight="1" spans="1:33">
      <c r="A73" s="48">
        <v>70</v>
      </c>
      <c r="B73" s="48" t="s">
        <v>173</v>
      </c>
      <c r="C73" s="51" t="s">
        <v>174</v>
      </c>
      <c r="D73" s="50">
        <v>423.17</v>
      </c>
      <c r="E73" s="101">
        <v>262.8003</v>
      </c>
      <c r="F73" s="101">
        <v>300</v>
      </c>
      <c r="G73" s="101"/>
      <c r="H73" s="112"/>
      <c r="I73" s="101">
        <v>254.6</v>
      </c>
      <c r="J73" s="101">
        <v>200</v>
      </c>
      <c r="K73" s="101">
        <v>154.98</v>
      </c>
      <c r="L73" s="101">
        <v>200</v>
      </c>
      <c r="M73" s="101">
        <v>241.93</v>
      </c>
      <c r="N73" s="101">
        <v>200</v>
      </c>
      <c r="O73" s="101">
        <v>233.848739</v>
      </c>
      <c r="P73" s="101"/>
      <c r="Q73" s="101">
        <v>253.98</v>
      </c>
      <c r="R73" s="236">
        <v>94.8790389999999</v>
      </c>
      <c r="S73" s="101">
        <v>198.05</v>
      </c>
      <c r="T73" s="101">
        <v>329.18</v>
      </c>
      <c r="U73" s="236">
        <v>500</v>
      </c>
      <c r="V73" s="101">
        <v>348.74</v>
      </c>
      <c r="W73" s="236">
        <f>400+281.21</f>
        <v>681.21</v>
      </c>
      <c r="X73" s="101">
        <v>223.79</v>
      </c>
      <c r="Y73" s="236"/>
      <c r="Z73" s="101">
        <v>186.5</v>
      </c>
      <c r="AA73" s="236">
        <v>300</v>
      </c>
      <c r="AB73" s="81">
        <v>222.01</v>
      </c>
      <c r="AC73" s="236">
        <v>600</v>
      </c>
      <c r="AD73" s="185">
        <f t="shared" si="6"/>
        <v>2910.409039</v>
      </c>
      <c r="AE73" s="185">
        <f t="shared" si="7"/>
        <v>3076.089039</v>
      </c>
      <c r="AF73" s="185">
        <f t="shared" si="8"/>
        <v>588.849999999999</v>
      </c>
      <c r="AG73" s="11"/>
    </row>
    <row r="74" s="4" customFormat="1" ht="35" customHeight="1" spans="1:33">
      <c r="A74" s="48">
        <v>71</v>
      </c>
      <c r="B74" s="48" t="s">
        <v>175</v>
      </c>
      <c r="C74" s="51" t="s">
        <v>176</v>
      </c>
      <c r="D74" s="50">
        <v>699.65</v>
      </c>
      <c r="E74" s="101">
        <v>128.543625</v>
      </c>
      <c r="F74" s="101"/>
      <c r="G74" s="101"/>
      <c r="H74" s="112"/>
      <c r="I74" s="101">
        <v>236.24</v>
      </c>
      <c r="J74" s="101">
        <v>500</v>
      </c>
      <c r="K74" s="101">
        <v>203.02</v>
      </c>
      <c r="L74" s="101">
        <v>0</v>
      </c>
      <c r="M74" s="101">
        <v>187.13</v>
      </c>
      <c r="N74" s="101">
        <v>200</v>
      </c>
      <c r="O74" s="101">
        <v>140.807639</v>
      </c>
      <c r="P74" s="101"/>
      <c r="Q74" s="101">
        <v>124.15</v>
      </c>
      <c r="R74" s="236">
        <v>85.271264</v>
      </c>
      <c r="S74" s="101">
        <v>196.42</v>
      </c>
      <c r="T74" s="101">
        <v>130.04</v>
      </c>
      <c r="U74" s="236">
        <v>124.15</v>
      </c>
      <c r="V74" s="101">
        <v>134.31</v>
      </c>
      <c r="W74" s="236">
        <v>326.46</v>
      </c>
      <c r="X74" s="101">
        <v>139.45</v>
      </c>
      <c r="Y74" s="236">
        <v>134.31</v>
      </c>
      <c r="Z74" s="101">
        <v>153.3</v>
      </c>
      <c r="AA74" s="236">
        <v>139.45</v>
      </c>
      <c r="AB74" s="81">
        <v>125.7</v>
      </c>
      <c r="AC74" s="236">
        <v>153.3</v>
      </c>
      <c r="AD74" s="185">
        <f t="shared" si="6"/>
        <v>1899.111264</v>
      </c>
      <c r="AE74" s="185">
        <f t="shared" si="7"/>
        <v>1662.941264</v>
      </c>
      <c r="AF74" s="185">
        <f t="shared" si="8"/>
        <v>463.48</v>
      </c>
      <c r="AG74" s="11"/>
    </row>
    <row r="75" s="4" customFormat="1" ht="35" customHeight="1" spans="1:33">
      <c r="A75" s="48">
        <v>72</v>
      </c>
      <c r="B75" s="48" t="s">
        <v>177</v>
      </c>
      <c r="C75" s="51" t="s">
        <v>178</v>
      </c>
      <c r="D75" s="50">
        <v>933.03</v>
      </c>
      <c r="E75" s="101">
        <v>201.09936</v>
      </c>
      <c r="F75" s="101"/>
      <c r="G75" s="101"/>
      <c r="H75" s="112"/>
      <c r="I75" s="101">
        <v>277.56</v>
      </c>
      <c r="J75" s="101"/>
      <c r="K75" s="101">
        <v>220.22</v>
      </c>
      <c r="L75" s="101">
        <v>600</v>
      </c>
      <c r="M75" s="101">
        <v>175.6</v>
      </c>
      <c r="N75" s="101"/>
      <c r="O75" s="101">
        <v>256.700939</v>
      </c>
      <c r="P75" s="101"/>
      <c r="Q75" s="101">
        <v>227.2</v>
      </c>
      <c r="R75" s="101">
        <v>398.3</v>
      </c>
      <c r="S75" s="101">
        <v>184.99</v>
      </c>
      <c r="T75" s="101">
        <v>245.39</v>
      </c>
      <c r="U75" s="236"/>
      <c r="V75" s="101">
        <v>196.53</v>
      </c>
      <c r="W75" s="236">
        <v>898.93</v>
      </c>
      <c r="X75" s="101">
        <v>152.51</v>
      </c>
      <c r="Y75" s="236"/>
      <c r="Z75" s="101">
        <v>142.23</v>
      </c>
      <c r="AA75" s="236"/>
      <c r="AB75" s="81">
        <v>152.36</v>
      </c>
      <c r="AC75" s="236"/>
      <c r="AD75" s="185">
        <f t="shared" si="6"/>
        <v>2432.390299</v>
      </c>
      <c r="AE75" s="185">
        <f t="shared" si="7"/>
        <v>1897.23</v>
      </c>
      <c r="AF75" s="185">
        <f t="shared" si="8"/>
        <v>397.869701</v>
      </c>
      <c r="AG75" s="11"/>
    </row>
    <row r="76" s="4" customFormat="1" ht="35" customHeight="1" spans="1:33">
      <c r="A76" s="48">
        <v>73</v>
      </c>
      <c r="B76" s="48" t="s">
        <v>179</v>
      </c>
      <c r="C76" s="51" t="s">
        <v>180</v>
      </c>
      <c r="D76" s="50">
        <v>358.24</v>
      </c>
      <c r="E76" s="101">
        <v>226.23678</v>
      </c>
      <c r="F76" s="101"/>
      <c r="G76" s="101"/>
      <c r="H76" s="101">
        <v>1500</v>
      </c>
      <c r="I76" s="101">
        <v>276.99</v>
      </c>
      <c r="J76" s="101"/>
      <c r="K76" s="101">
        <v>226.74</v>
      </c>
      <c r="L76" s="101">
        <v>0</v>
      </c>
      <c r="M76" s="101">
        <v>221.16</v>
      </c>
      <c r="N76" s="101"/>
      <c r="O76" s="101">
        <v>203.923239</v>
      </c>
      <c r="P76" s="101"/>
      <c r="Q76" s="101">
        <v>230.69</v>
      </c>
      <c r="R76" s="101"/>
      <c r="S76" s="101">
        <v>295.99</v>
      </c>
      <c r="T76" s="101">
        <v>216.55</v>
      </c>
      <c r="U76" s="236">
        <v>1000</v>
      </c>
      <c r="V76" s="101">
        <v>263.74</v>
      </c>
      <c r="W76" s="236"/>
      <c r="X76" s="101">
        <v>155.23</v>
      </c>
      <c r="Y76" s="236"/>
      <c r="Z76" s="101">
        <v>162.7</v>
      </c>
      <c r="AA76" s="236"/>
      <c r="AB76" s="81">
        <v>183.92</v>
      </c>
      <c r="AC76" s="236"/>
      <c r="AD76" s="185">
        <f t="shared" si="6"/>
        <v>2663.870019</v>
      </c>
      <c r="AE76" s="185">
        <f t="shared" si="7"/>
        <v>2500</v>
      </c>
      <c r="AF76" s="185">
        <f t="shared" si="8"/>
        <v>194.369981</v>
      </c>
      <c r="AG76" s="11"/>
    </row>
    <row r="77" s="4" customFormat="1" ht="35" customHeight="1" spans="1:33">
      <c r="A77" s="48">
        <v>74</v>
      </c>
      <c r="B77" s="48" t="s">
        <v>181</v>
      </c>
      <c r="C77" s="51" t="s">
        <v>182</v>
      </c>
      <c r="D77" s="50">
        <v>298.88</v>
      </c>
      <c r="E77" s="101">
        <v>0</v>
      </c>
      <c r="F77" s="101"/>
      <c r="G77" s="101"/>
      <c r="H77" s="101"/>
      <c r="I77" s="101"/>
      <c r="J77" s="101"/>
      <c r="K77" s="101"/>
      <c r="L77" s="101">
        <v>0</v>
      </c>
      <c r="M77" s="101"/>
      <c r="N77" s="101"/>
      <c r="O77" s="101"/>
      <c r="P77" s="101"/>
      <c r="Q77" s="101"/>
      <c r="R77" s="101"/>
      <c r="S77" s="101"/>
      <c r="T77" s="101"/>
      <c r="U77" s="236"/>
      <c r="V77" s="101"/>
      <c r="W77" s="236"/>
      <c r="X77" s="101"/>
      <c r="Y77" s="236"/>
      <c r="Z77" s="101"/>
      <c r="AA77" s="236"/>
      <c r="AB77" s="81">
        <v>0</v>
      </c>
      <c r="AC77" s="236"/>
      <c r="AD77" s="185">
        <f t="shared" si="6"/>
        <v>0</v>
      </c>
      <c r="AE77" s="185">
        <f t="shared" si="7"/>
        <v>0</v>
      </c>
      <c r="AF77" s="185">
        <f t="shared" si="8"/>
        <v>298.88</v>
      </c>
      <c r="AG77" s="11"/>
    </row>
    <row r="78" s="4" customFormat="1" ht="35" customHeight="1" spans="1:33">
      <c r="A78" s="48">
        <v>75</v>
      </c>
      <c r="B78" s="48" t="s">
        <v>183</v>
      </c>
      <c r="C78" s="51" t="s">
        <v>184</v>
      </c>
      <c r="D78" s="50">
        <v>617.16</v>
      </c>
      <c r="E78" s="101">
        <v>339.35517</v>
      </c>
      <c r="F78" s="101"/>
      <c r="G78" s="101"/>
      <c r="H78" s="101"/>
      <c r="I78" s="101">
        <v>369.39</v>
      </c>
      <c r="J78" s="101">
        <v>1000</v>
      </c>
      <c r="K78" s="101">
        <v>316.3</v>
      </c>
      <c r="L78" s="101">
        <v>0</v>
      </c>
      <c r="M78" s="101">
        <v>251.15</v>
      </c>
      <c r="N78" s="101"/>
      <c r="O78" s="101">
        <v>292.067439</v>
      </c>
      <c r="P78" s="101"/>
      <c r="Q78" s="101">
        <v>256.31</v>
      </c>
      <c r="R78" s="236">
        <v>220.892609</v>
      </c>
      <c r="S78" s="101">
        <v>354.75</v>
      </c>
      <c r="T78" s="101">
        <v>350.4</v>
      </c>
      <c r="U78" s="236">
        <v>256.31</v>
      </c>
      <c r="V78" s="101">
        <v>301.52</v>
      </c>
      <c r="W78" s="236">
        <v>705.15</v>
      </c>
      <c r="X78" s="101">
        <v>221.61</v>
      </c>
      <c r="Y78" s="236">
        <v>301.52</v>
      </c>
      <c r="Z78" s="101">
        <v>227.44</v>
      </c>
      <c r="AA78" s="236">
        <v>221.61</v>
      </c>
      <c r="AB78" s="81">
        <v>255.74</v>
      </c>
      <c r="AC78" s="236">
        <v>227.44</v>
      </c>
      <c r="AD78" s="185">
        <f t="shared" si="6"/>
        <v>3536.032609</v>
      </c>
      <c r="AE78" s="185">
        <f t="shared" si="7"/>
        <v>2932.922609</v>
      </c>
      <c r="AF78" s="185">
        <f t="shared" si="8"/>
        <v>14.0500000000002</v>
      </c>
      <c r="AG78" s="11"/>
    </row>
    <row r="79" s="4" customFormat="1" ht="35" customHeight="1" spans="1:33">
      <c r="A79" s="48">
        <v>76</v>
      </c>
      <c r="B79" s="48" t="s">
        <v>185</v>
      </c>
      <c r="C79" s="51" t="s">
        <v>186</v>
      </c>
      <c r="D79" s="50">
        <v>371.44</v>
      </c>
      <c r="E79" s="101">
        <v>82.839225</v>
      </c>
      <c r="F79" s="101">
        <v>500</v>
      </c>
      <c r="G79" s="101"/>
      <c r="H79" s="101"/>
      <c r="I79" s="101">
        <v>92.76</v>
      </c>
      <c r="J79" s="101"/>
      <c r="K79" s="101">
        <v>98.64</v>
      </c>
      <c r="L79" s="101">
        <v>0</v>
      </c>
      <c r="M79" s="101">
        <v>69.48</v>
      </c>
      <c r="N79" s="101"/>
      <c r="O79" s="101">
        <v>86.397639</v>
      </c>
      <c r="P79" s="101"/>
      <c r="Q79" s="101">
        <v>58.95</v>
      </c>
      <c r="R79" s="101"/>
      <c r="S79" s="101">
        <v>76.17</v>
      </c>
      <c r="T79" s="101">
        <v>105.56</v>
      </c>
      <c r="U79" s="236"/>
      <c r="V79" s="101">
        <v>80.42</v>
      </c>
      <c r="W79" s="236">
        <f>64.96</f>
        <v>64.96</v>
      </c>
      <c r="X79" s="101">
        <v>41.51</v>
      </c>
      <c r="Y79" s="236"/>
      <c r="Z79" s="101">
        <v>42.63</v>
      </c>
      <c r="AA79" s="236"/>
      <c r="AB79" s="81">
        <v>39.74</v>
      </c>
      <c r="AC79" s="236"/>
      <c r="AD79" s="185">
        <f t="shared" si="6"/>
        <v>875.096864</v>
      </c>
      <c r="AE79" s="185">
        <f t="shared" si="7"/>
        <v>564.96</v>
      </c>
      <c r="AF79" s="185">
        <f t="shared" si="8"/>
        <v>61.303136</v>
      </c>
      <c r="AG79" s="11"/>
    </row>
    <row r="80" s="4" customFormat="1" ht="35" customHeight="1" spans="1:33">
      <c r="A80" s="48">
        <v>77</v>
      </c>
      <c r="B80" s="48" t="s">
        <v>187</v>
      </c>
      <c r="C80" s="213" t="s">
        <v>188</v>
      </c>
      <c r="D80" s="50">
        <v>823.300000000001</v>
      </c>
      <c r="E80" s="101">
        <v>241.09071</v>
      </c>
      <c r="F80" s="101"/>
      <c r="G80" s="101"/>
      <c r="H80" s="101"/>
      <c r="I80" s="101">
        <v>275.26</v>
      </c>
      <c r="J80" s="101"/>
      <c r="K80" s="101">
        <v>214.88</v>
      </c>
      <c r="L80" s="101">
        <v>350</v>
      </c>
      <c r="M80" s="101">
        <v>211.93</v>
      </c>
      <c r="N80" s="101"/>
      <c r="O80" s="101">
        <v>203.379139</v>
      </c>
      <c r="P80" s="101"/>
      <c r="Q80" s="101">
        <v>189.94</v>
      </c>
      <c r="R80" s="236">
        <v>940.929849</v>
      </c>
      <c r="S80" s="101">
        <v>292.73</v>
      </c>
      <c r="T80" s="101">
        <v>201.32</v>
      </c>
      <c r="U80" s="236"/>
      <c r="V80" s="101">
        <v>228.75</v>
      </c>
      <c r="W80" s="236">
        <v>683.99</v>
      </c>
      <c r="X80" s="101">
        <v>188.42</v>
      </c>
      <c r="Y80" s="236"/>
      <c r="Z80" s="101">
        <v>188.71</v>
      </c>
      <c r="AA80" s="236">
        <v>417.17</v>
      </c>
      <c r="AB80" s="81">
        <v>232.89</v>
      </c>
      <c r="AC80" s="236">
        <v>188.71</v>
      </c>
      <c r="AD80" s="185">
        <f t="shared" si="6"/>
        <v>2669.299849</v>
      </c>
      <c r="AE80" s="185">
        <f t="shared" si="7"/>
        <v>2580.799849</v>
      </c>
      <c r="AF80" s="185">
        <f t="shared" si="8"/>
        <v>734.800000000001</v>
      </c>
      <c r="AG80" s="11"/>
    </row>
    <row r="81" s="4" customFormat="1" ht="35" customHeight="1" spans="1:33">
      <c r="A81" s="48">
        <v>78</v>
      </c>
      <c r="B81" s="48" t="s">
        <v>189</v>
      </c>
      <c r="C81" s="51" t="s">
        <v>190</v>
      </c>
      <c r="D81" s="50">
        <v>113.5</v>
      </c>
      <c r="E81" s="101">
        <v>351.352575</v>
      </c>
      <c r="F81" s="101">
        <v>200</v>
      </c>
      <c r="G81" s="101"/>
      <c r="H81" s="101"/>
      <c r="I81" s="101">
        <v>360.78</v>
      </c>
      <c r="J81" s="101"/>
      <c r="K81" s="101">
        <v>307.4</v>
      </c>
      <c r="L81" s="101">
        <v>0</v>
      </c>
      <c r="M81" s="101">
        <v>280.57</v>
      </c>
      <c r="N81" s="101">
        <v>1400</v>
      </c>
      <c r="O81" s="101">
        <v>319.272439</v>
      </c>
      <c r="P81" s="101"/>
      <c r="Q81" s="101">
        <v>319.19</v>
      </c>
      <c r="R81" s="101"/>
      <c r="S81" s="101">
        <v>361.28</v>
      </c>
      <c r="T81" s="101">
        <v>438.54</v>
      </c>
      <c r="U81" s="236">
        <v>849.42</v>
      </c>
      <c r="V81" s="101">
        <v>395.4</v>
      </c>
      <c r="W81" s="236"/>
      <c r="X81" s="101">
        <v>275.48</v>
      </c>
      <c r="Y81" s="236">
        <v>1500</v>
      </c>
      <c r="Z81" s="101">
        <v>277.8</v>
      </c>
      <c r="AA81" s="236"/>
      <c r="AB81" s="81">
        <v>341.71</v>
      </c>
      <c r="AC81" s="236">
        <v>898.3</v>
      </c>
      <c r="AD81" s="185">
        <f t="shared" si="6"/>
        <v>4028.775014</v>
      </c>
      <c r="AE81" s="185">
        <f t="shared" si="7"/>
        <v>4847.72</v>
      </c>
      <c r="AF81" s="185">
        <f t="shared" si="8"/>
        <v>932.444986000001</v>
      </c>
      <c r="AG81" s="11"/>
    </row>
    <row r="82" s="4" customFormat="1" ht="35" customHeight="1" spans="1:33">
      <c r="A82" s="48">
        <v>79</v>
      </c>
      <c r="B82" s="48" t="s">
        <v>191</v>
      </c>
      <c r="C82" s="51" t="s">
        <v>192</v>
      </c>
      <c r="D82" s="50">
        <v>153.18</v>
      </c>
      <c r="E82" s="101">
        <v>210.24024</v>
      </c>
      <c r="F82" s="101"/>
      <c r="G82" s="101"/>
      <c r="H82" s="101">
        <v>322.04</v>
      </c>
      <c r="I82" s="101">
        <v>215</v>
      </c>
      <c r="J82" s="101"/>
      <c r="K82" s="101">
        <v>159.73</v>
      </c>
      <c r="L82" s="101">
        <v>500</v>
      </c>
      <c r="M82" s="101">
        <v>157.14</v>
      </c>
      <c r="N82" s="101"/>
      <c r="O82" s="101">
        <v>205.011439</v>
      </c>
      <c r="P82" s="101"/>
      <c r="Q82" s="101">
        <v>175.97</v>
      </c>
      <c r="R82" s="236">
        <v>531.381679</v>
      </c>
      <c r="S82" s="101">
        <v>252.46</v>
      </c>
      <c r="T82" s="101">
        <v>206.21</v>
      </c>
      <c r="U82" s="236">
        <v>175.97</v>
      </c>
      <c r="V82" s="101">
        <v>187.08</v>
      </c>
      <c r="W82" s="236">
        <v>458.67</v>
      </c>
      <c r="X82" s="101">
        <v>82.32</v>
      </c>
      <c r="Y82" s="236">
        <v>187.08</v>
      </c>
      <c r="Z82" s="101">
        <v>122.86</v>
      </c>
      <c r="AA82" s="236">
        <v>82.32</v>
      </c>
      <c r="AB82" s="81">
        <v>119.72</v>
      </c>
      <c r="AC82" s="236">
        <v>122.86</v>
      </c>
      <c r="AD82" s="185">
        <f t="shared" si="6"/>
        <v>2093.741679</v>
      </c>
      <c r="AE82" s="185">
        <f t="shared" si="7"/>
        <v>2380.321679</v>
      </c>
      <c r="AF82" s="185">
        <f t="shared" si="8"/>
        <v>439.760000000001</v>
      </c>
      <c r="AG82" s="11"/>
    </row>
    <row r="83" s="4" customFormat="1" ht="35" customHeight="1" spans="1:33">
      <c r="A83" s="48">
        <v>80</v>
      </c>
      <c r="B83" s="48" t="s">
        <v>193</v>
      </c>
      <c r="C83" s="51" t="s">
        <v>194</v>
      </c>
      <c r="D83" s="50">
        <v>290.75</v>
      </c>
      <c r="E83" s="101">
        <v>0</v>
      </c>
      <c r="F83" s="101"/>
      <c r="G83" s="101"/>
      <c r="H83" s="101"/>
      <c r="I83" s="101"/>
      <c r="J83" s="101"/>
      <c r="K83" s="101"/>
      <c r="L83" s="101">
        <v>0</v>
      </c>
      <c r="M83" s="101"/>
      <c r="N83" s="101"/>
      <c r="O83" s="101"/>
      <c r="P83" s="101"/>
      <c r="Q83" s="101"/>
      <c r="R83" s="101"/>
      <c r="S83" s="101"/>
      <c r="T83" s="101"/>
      <c r="U83" s="236"/>
      <c r="V83" s="101"/>
      <c r="W83" s="236"/>
      <c r="X83" s="101"/>
      <c r="Y83" s="236"/>
      <c r="Z83" s="101"/>
      <c r="AA83" s="236"/>
      <c r="AB83" s="81">
        <v>0</v>
      </c>
      <c r="AC83" s="236"/>
      <c r="AD83" s="185">
        <f t="shared" si="6"/>
        <v>0</v>
      </c>
      <c r="AE83" s="185">
        <f t="shared" si="7"/>
        <v>0</v>
      </c>
      <c r="AF83" s="185">
        <f t="shared" si="8"/>
        <v>290.75</v>
      </c>
      <c r="AG83" s="11"/>
    </row>
    <row r="84" s="4" customFormat="1" ht="35" customHeight="1" spans="1:33">
      <c r="A84" s="48">
        <v>81</v>
      </c>
      <c r="B84" s="48" t="s">
        <v>195</v>
      </c>
      <c r="C84" s="51" t="s">
        <v>196</v>
      </c>
      <c r="D84" s="50">
        <v>2956.58</v>
      </c>
      <c r="E84" s="101">
        <v>236.52027</v>
      </c>
      <c r="F84" s="101"/>
      <c r="G84" s="101"/>
      <c r="H84" s="101"/>
      <c r="I84" s="101">
        <v>352.17</v>
      </c>
      <c r="J84" s="101"/>
      <c r="K84" s="101">
        <v>250.47</v>
      </c>
      <c r="L84" s="101">
        <v>0</v>
      </c>
      <c r="M84" s="101">
        <v>156.57</v>
      </c>
      <c r="N84" s="101"/>
      <c r="O84" s="101">
        <v>159.307039</v>
      </c>
      <c r="P84" s="101"/>
      <c r="Q84" s="101">
        <v>128.81</v>
      </c>
      <c r="R84" s="101"/>
      <c r="S84" s="101">
        <v>288.92</v>
      </c>
      <c r="T84" s="101">
        <v>118.61</v>
      </c>
      <c r="U84" s="236"/>
      <c r="V84" s="101">
        <v>154.31</v>
      </c>
      <c r="W84" s="236"/>
      <c r="X84" s="101">
        <v>100.82</v>
      </c>
      <c r="Y84" s="236"/>
      <c r="Z84" s="101">
        <v>142.23</v>
      </c>
      <c r="AA84" s="236"/>
      <c r="AB84" s="81">
        <v>175.22</v>
      </c>
      <c r="AC84" s="236"/>
      <c r="AD84" s="185">
        <f t="shared" si="6"/>
        <v>2263.957309</v>
      </c>
      <c r="AE84" s="185">
        <f t="shared" si="7"/>
        <v>0</v>
      </c>
      <c r="AF84" s="185">
        <f t="shared" si="8"/>
        <v>692.622691</v>
      </c>
      <c r="AG84" s="11"/>
    </row>
    <row r="85" s="4" customFormat="1" ht="35" customHeight="1" spans="1:33">
      <c r="A85" s="48">
        <v>82</v>
      </c>
      <c r="B85" s="48" t="s">
        <v>197</v>
      </c>
      <c r="C85" s="51" t="s">
        <v>198</v>
      </c>
      <c r="D85" s="50">
        <v>387.53</v>
      </c>
      <c r="E85" s="101">
        <v>307.933395</v>
      </c>
      <c r="F85" s="101"/>
      <c r="G85" s="101"/>
      <c r="H85" s="101">
        <v>500</v>
      </c>
      <c r="I85" s="101">
        <v>178.27</v>
      </c>
      <c r="J85" s="101"/>
      <c r="K85" s="101">
        <v>161.51</v>
      </c>
      <c r="L85" s="101">
        <v>0</v>
      </c>
      <c r="M85" s="101">
        <v>192.32</v>
      </c>
      <c r="N85" s="101">
        <v>500</v>
      </c>
      <c r="O85" s="101">
        <v>123.940539</v>
      </c>
      <c r="P85" s="101"/>
      <c r="Q85" s="101">
        <v>136.38</v>
      </c>
      <c r="R85" s="101"/>
      <c r="S85" s="101">
        <v>294.36</v>
      </c>
      <c r="T85" s="101">
        <v>58.76</v>
      </c>
      <c r="U85" s="236"/>
      <c r="V85" s="101">
        <v>34.87</v>
      </c>
      <c r="W85" s="236">
        <v>70.92</v>
      </c>
      <c r="X85" s="101">
        <v>37.71</v>
      </c>
      <c r="Y85" s="236"/>
      <c r="Z85" s="101">
        <v>29.9</v>
      </c>
      <c r="AA85" s="236"/>
      <c r="AB85" s="81">
        <v>75.65</v>
      </c>
      <c r="AC85" s="236">
        <v>175.06</v>
      </c>
      <c r="AD85" s="185">
        <f t="shared" si="6"/>
        <v>1631.603934</v>
      </c>
      <c r="AE85" s="185">
        <f t="shared" si="7"/>
        <v>1245.98</v>
      </c>
      <c r="AF85" s="185">
        <f t="shared" si="8"/>
        <v>1.90606600000024</v>
      </c>
      <c r="AG85" s="11"/>
    </row>
    <row r="86" s="4" customFormat="1" ht="35" customHeight="1" spans="1:33">
      <c r="A86" s="48">
        <v>83</v>
      </c>
      <c r="B86" s="48" t="s">
        <v>199</v>
      </c>
      <c r="C86" s="51" t="s">
        <v>200</v>
      </c>
      <c r="D86" s="50">
        <v>350.31</v>
      </c>
      <c r="E86" s="101">
        <v>107.40534</v>
      </c>
      <c r="F86" s="101">
        <v>300</v>
      </c>
      <c r="G86" s="101"/>
      <c r="H86" s="101"/>
      <c r="I86" s="101">
        <v>38.81</v>
      </c>
      <c r="J86" s="101"/>
      <c r="K86" s="101">
        <v>55.35</v>
      </c>
      <c r="L86" s="101">
        <v>0</v>
      </c>
      <c r="M86" s="101">
        <v>66.02</v>
      </c>
      <c r="N86" s="101">
        <v>300</v>
      </c>
      <c r="O86" s="101">
        <v>94.015039</v>
      </c>
      <c r="P86" s="101"/>
      <c r="Q86" s="101">
        <v>127.06</v>
      </c>
      <c r="R86" s="101"/>
      <c r="S86" s="101">
        <v>54.95</v>
      </c>
      <c r="T86" s="101">
        <v>132.22</v>
      </c>
      <c r="U86" s="236">
        <v>500</v>
      </c>
      <c r="V86" s="101">
        <v>117.64</v>
      </c>
      <c r="W86" s="236"/>
      <c r="X86" s="101">
        <v>86.13</v>
      </c>
      <c r="Y86" s="236"/>
      <c r="Z86" s="101">
        <v>89.11</v>
      </c>
      <c r="AA86" s="236">
        <v>100</v>
      </c>
      <c r="AB86" s="81">
        <v>126.79</v>
      </c>
      <c r="AC86" s="236">
        <v>100</v>
      </c>
      <c r="AD86" s="185">
        <f t="shared" si="6"/>
        <v>1095.500379</v>
      </c>
      <c r="AE86" s="185">
        <f t="shared" si="7"/>
        <v>1300</v>
      </c>
      <c r="AF86" s="185">
        <f t="shared" si="8"/>
        <v>554.809621</v>
      </c>
      <c r="AG86" s="11"/>
    </row>
    <row r="87" s="4" customFormat="1" ht="35" customHeight="1" spans="1:33">
      <c r="A87" s="48">
        <v>84</v>
      </c>
      <c r="B87" s="48" t="s">
        <v>201</v>
      </c>
      <c r="C87" s="51" t="s">
        <v>202</v>
      </c>
      <c r="D87" s="50">
        <v>880.44</v>
      </c>
      <c r="E87" s="101">
        <v>322.21602</v>
      </c>
      <c r="F87" s="101"/>
      <c r="G87" s="101"/>
      <c r="H87" s="101"/>
      <c r="I87" s="101">
        <v>321.75</v>
      </c>
      <c r="J87" s="101">
        <v>1000</v>
      </c>
      <c r="K87" s="101">
        <v>277.75</v>
      </c>
      <c r="L87" s="101">
        <v>0</v>
      </c>
      <c r="M87" s="101">
        <v>230.97</v>
      </c>
      <c r="N87" s="101"/>
      <c r="O87" s="101">
        <v>248.539439</v>
      </c>
      <c r="P87" s="101"/>
      <c r="Q87" s="101">
        <v>218.47</v>
      </c>
      <c r="R87" s="236">
        <v>85.0719590000002</v>
      </c>
      <c r="S87" s="101">
        <v>355.3</v>
      </c>
      <c r="T87" s="101">
        <v>233.42</v>
      </c>
      <c r="U87" s="236">
        <v>218.47</v>
      </c>
      <c r="V87" s="101">
        <v>193.19</v>
      </c>
      <c r="W87" s="236">
        <v>588.72</v>
      </c>
      <c r="X87" s="101">
        <v>194.41</v>
      </c>
      <c r="Y87" s="236">
        <v>193.19</v>
      </c>
      <c r="Z87" s="101">
        <v>233.53</v>
      </c>
      <c r="AA87" s="236">
        <v>194.41</v>
      </c>
      <c r="AB87" s="81">
        <v>276.42</v>
      </c>
      <c r="AC87" s="236">
        <v>233.53</v>
      </c>
      <c r="AD87" s="185">
        <f t="shared" si="6"/>
        <v>3105.965459</v>
      </c>
      <c r="AE87" s="185">
        <f t="shared" si="7"/>
        <v>2513.391959</v>
      </c>
      <c r="AF87" s="185">
        <f t="shared" si="8"/>
        <v>287.8665</v>
      </c>
      <c r="AG87" s="11"/>
    </row>
    <row r="88" s="4" customFormat="1" ht="35" customHeight="1" spans="1:33">
      <c r="A88" s="48">
        <v>85</v>
      </c>
      <c r="B88" s="48" t="s">
        <v>203</v>
      </c>
      <c r="C88" s="51" t="s">
        <v>204</v>
      </c>
      <c r="D88" s="50">
        <v>1699.75</v>
      </c>
      <c r="E88" s="101">
        <v>75.983565</v>
      </c>
      <c r="F88" s="101"/>
      <c r="G88" s="101"/>
      <c r="H88" s="101"/>
      <c r="I88" s="101">
        <v>123.18</v>
      </c>
      <c r="J88" s="101"/>
      <c r="K88" s="101">
        <v>58.9</v>
      </c>
      <c r="L88" s="101">
        <v>0</v>
      </c>
      <c r="M88" s="101">
        <v>72.36</v>
      </c>
      <c r="N88" s="101"/>
      <c r="O88" s="101">
        <v>95.103239</v>
      </c>
      <c r="P88" s="101"/>
      <c r="Q88" s="101">
        <v>74.67</v>
      </c>
      <c r="R88" s="101"/>
      <c r="S88" s="101">
        <v>114.26</v>
      </c>
      <c r="T88" s="101">
        <v>79.98</v>
      </c>
      <c r="U88" s="236"/>
      <c r="V88" s="101">
        <v>76.53</v>
      </c>
      <c r="W88" s="236"/>
      <c r="X88" s="101">
        <v>69.26</v>
      </c>
      <c r="Y88" s="236"/>
      <c r="Z88" s="101">
        <v>79.7</v>
      </c>
      <c r="AA88" s="236"/>
      <c r="AB88" s="81">
        <v>93.6</v>
      </c>
      <c r="AC88" s="236"/>
      <c r="AD88" s="185">
        <f t="shared" si="6"/>
        <v>1013.526804</v>
      </c>
      <c r="AE88" s="185">
        <f t="shared" si="7"/>
        <v>0</v>
      </c>
      <c r="AF88" s="185">
        <f t="shared" si="8"/>
        <v>686.223196</v>
      </c>
      <c r="AG88" s="11"/>
    </row>
    <row r="89" s="4" customFormat="1" ht="35" customHeight="1" spans="1:33">
      <c r="A89" s="48">
        <v>86</v>
      </c>
      <c r="B89" s="48" t="s">
        <v>205</v>
      </c>
      <c r="C89" s="51" t="s">
        <v>206</v>
      </c>
      <c r="D89" s="50">
        <v>610.51</v>
      </c>
      <c r="E89" s="101">
        <v>277.082925</v>
      </c>
      <c r="F89" s="101"/>
      <c r="G89" s="101"/>
      <c r="H89" s="101"/>
      <c r="I89" s="101">
        <v>72.67</v>
      </c>
      <c r="J89" s="101"/>
      <c r="K89" s="101">
        <v>152.02</v>
      </c>
      <c r="L89" s="101">
        <v>0</v>
      </c>
      <c r="M89" s="101">
        <v>168.68</v>
      </c>
      <c r="N89" s="101">
        <v>1000</v>
      </c>
      <c r="O89" s="101">
        <v>171.277239</v>
      </c>
      <c r="P89" s="101"/>
      <c r="Q89" s="101">
        <v>163.16</v>
      </c>
      <c r="R89" s="101"/>
      <c r="S89" s="101">
        <v>189.89</v>
      </c>
      <c r="T89" s="101">
        <v>170.3</v>
      </c>
      <c r="U89" s="236"/>
      <c r="V89" s="101">
        <v>155.42</v>
      </c>
      <c r="W89" s="236">
        <v>99.99</v>
      </c>
      <c r="X89" s="101">
        <v>129.66</v>
      </c>
      <c r="Y89" s="236">
        <v>155.42</v>
      </c>
      <c r="Z89" s="101">
        <v>143.33</v>
      </c>
      <c r="AA89" s="236">
        <v>27.96</v>
      </c>
      <c r="AB89" s="81">
        <v>169.23</v>
      </c>
      <c r="AC89" s="236">
        <v>143.33</v>
      </c>
      <c r="AD89" s="185">
        <f t="shared" si="6"/>
        <v>1962.720164</v>
      </c>
      <c r="AE89" s="185">
        <f t="shared" si="7"/>
        <v>1426.7</v>
      </c>
      <c r="AF89" s="185">
        <f t="shared" si="8"/>
        <v>74.489836</v>
      </c>
      <c r="AG89" s="11"/>
    </row>
    <row r="90" s="4" customFormat="1" ht="35" customHeight="1" spans="1:33">
      <c r="A90" s="48">
        <v>87</v>
      </c>
      <c r="B90" s="48" t="s">
        <v>207</v>
      </c>
      <c r="C90" s="51" t="s">
        <v>208</v>
      </c>
      <c r="D90" s="50">
        <v>1200.95</v>
      </c>
      <c r="E90" s="101">
        <v>248.517675</v>
      </c>
      <c r="F90" s="101"/>
      <c r="G90" s="101"/>
      <c r="H90" s="101"/>
      <c r="I90" s="101">
        <v>49.14</v>
      </c>
      <c r="J90" s="101"/>
      <c r="K90" s="101">
        <v>139.56</v>
      </c>
      <c r="L90" s="101">
        <v>0</v>
      </c>
      <c r="M90" s="101">
        <v>112.73</v>
      </c>
      <c r="N90" s="101"/>
      <c r="O90" s="101">
        <v>184.879739</v>
      </c>
      <c r="P90" s="101"/>
      <c r="Q90" s="101">
        <v>193.43</v>
      </c>
      <c r="R90" s="236">
        <v>170.187714</v>
      </c>
      <c r="S90" s="101">
        <v>177.92</v>
      </c>
      <c r="T90" s="101">
        <v>251.92</v>
      </c>
      <c r="U90" s="236">
        <v>193.43</v>
      </c>
      <c r="V90" s="101">
        <v>217.08</v>
      </c>
      <c r="W90" s="236">
        <v>429.84</v>
      </c>
      <c r="X90" s="101">
        <v>135.1</v>
      </c>
      <c r="Y90" s="236">
        <v>217.08</v>
      </c>
      <c r="Z90" s="101">
        <v>91.87</v>
      </c>
      <c r="AA90" s="236">
        <v>135.1</v>
      </c>
      <c r="AB90" s="81">
        <v>125.7</v>
      </c>
      <c r="AC90" s="236">
        <v>91.87</v>
      </c>
      <c r="AD90" s="185">
        <f t="shared" si="6"/>
        <v>1927.847414</v>
      </c>
      <c r="AE90" s="185">
        <f t="shared" si="7"/>
        <v>1237.507714</v>
      </c>
      <c r="AF90" s="185">
        <f t="shared" si="8"/>
        <v>510.6103</v>
      </c>
      <c r="AG90" s="11"/>
    </row>
    <row r="91" s="4" customFormat="1" ht="35" customHeight="1" spans="1:33">
      <c r="A91" s="48">
        <v>88</v>
      </c>
      <c r="B91" s="48" t="s">
        <v>209</v>
      </c>
      <c r="C91" s="51" t="s">
        <v>210</v>
      </c>
      <c r="D91" s="50">
        <v>1187.54</v>
      </c>
      <c r="E91" s="101">
        <v>314.21775</v>
      </c>
      <c r="F91" s="101"/>
      <c r="G91" s="101"/>
      <c r="H91" s="101"/>
      <c r="I91" s="101">
        <v>285.59</v>
      </c>
      <c r="J91" s="101">
        <v>455.5</v>
      </c>
      <c r="K91" s="101">
        <v>273</v>
      </c>
      <c r="L91" s="101">
        <v>320</v>
      </c>
      <c r="M91" s="101">
        <v>248.85</v>
      </c>
      <c r="N91" s="101"/>
      <c r="O91" s="101">
        <v>307.302239</v>
      </c>
      <c r="P91" s="101"/>
      <c r="Q91" s="101">
        <v>295.9</v>
      </c>
      <c r="R91" s="101"/>
      <c r="S91" s="101">
        <v>242.12</v>
      </c>
      <c r="T91" s="101">
        <v>409.16</v>
      </c>
      <c r="U91" s="236">
        <v>498.3</v>
      </c>
      <c r="V91" s="101">
        <v>307.08</v>
      </c>
      <c r="W91" s="236">
        <v>175.4</v>
      </c>
      <c r="X91" s="101">
        <v>259.7</v>
      </c>
      <c r="Y91" s="236">
        <v>307.08</v>
      </c>
      <c r="Z91" s="101">
        <v>246.26</v>
      </c>
      <c r="AA91" s="236">
        <v>259.7</v>
      </c>
      <c r="AB91" s="81">
        <v>337.9</v>
      </c>
      <c r="AC91" s="236">
        <v>246.26</v>
      </c>
      <c r="AD91" s="185">
        <f t="shared" si="6"/>
        <v>3527.079989</v>
      </c>
      <c r="AE91" s="185">
        <f t="shared" si="7"/>
        <v>2262.24</v>
      </c>
      <c r="AF91" s="185">
        <f t="shared" si="8"/>
        <v>-77.2999889999996</v>
      </c>
      <c r="AG91" s="11"/>
    </row>
    <row r="92" s="4" customFormat="1" ht="35" customHeight="1" spans="1:33">
      <c r="A92" s="48">
        <v>89</v>
      </c>
      <c r="B92" s="48" t="s">
        <v>211</v>
      </c>
      <c r="C92" s="51" t="s">
        <v>212</v>
      </c>
      <c r="D92" s="50">
        <v>283.779999999999</v>
      </c>
      <c r="E92" s="101">
        <v>263.371605</v>
      </c>
      <c r="F92" s="101">
        <v>300</v>
      </c>
      <c r="G92" s="101"/>
      <c r="H92" s="101"/>
      <c r="I92" s="101">
        <v>221.32</v>
      </c>
      <c r="J92" s="101"/>
      <c r="K92" s="101">
        <v>200.65</v>
      </c>
      <c r="L92" s="101">
        <v>500</v>
      </c>
      <c r="M92" s="101">
        <v>188.86</v>
      </c>
      <c r="N92" s="101"/>
      <c r="O92" s="101">
        <v>213.717039</v>
      </c>
      <c r="P92" s="101">
        <v>300</v>
      </c>
      <c r="Q92" s="101">
        <v>204.49</v>
      </c>
      <c r="R92" s="101"/>
      <c r="S92" s="101">
        <v>262.8</v>
      </c>
      <c r="T92" s="101">
        <v>206.76</v>
      </c>
      <c r="U92" s="236">
        <v>398.3</v>
      </c>
      <c r="V92" s="101">
        <v>182.08</v>
      </c>
      <c r="W92" s="236">
        <v>1000</v>
      </c>
      <c r="X92" s="101">
        <v>156.86</v>
      </c>
      <c r="Y92" s="236"/>
      <c r="Z92" s="101">
        <v>145.55</v>
      </c>
      <c r="AA92" s="236"/>
      <c r="AB92" s="81">
        <v>167.6</v>
      </c>
      <c r="AC92" s="236"/>
      <c r="AD92" s="185">
        <f t="shared" si="6"/>
        <v>2414.058644</v>
      </c>
      <c r="AE92" s="185">
        <f t="shared" si="7"/>
        <v>2498.3</v>
      </c>
      <c r="AF92" s="185">
        <f t="shared" si="8"/>
        <v>368.021356</v>
      </c>
      <c r="AG92" s="11"/>
    </row>
    <row r="93" s="4" customFormat="1" ht="35" customHeight="1" spans="1:33">
      <c r="A93" s="48">
        <v>90</v>
      </c>
      <c r="B93" s="48" t="s">
        <v>213</v>
      </c>
      <c r="C93" s="51" t="s">
        <v>214</v>
      </c>
      <c r="D93" s="50">
        <v>48.1200000000003</v>
      </c>
      <c r="E93" s="101">
        <v>264.514215</v>
      </c>
      <c r="F93" s="101">
        <v>1000</v>
      </c>
      <c r="G93" s="101"/>
      <c r="H93" s="101"/>
      <c r="I93" s="101">
        <v>268.95</v>
      </c>
      <c r="J93" s="101"/>
      <c r="K93" s="101">
        <v>198.87</v>
      </c>
      <c r="L93" s="101">
        <v>0</v>
      </c>
      <c r="M93" s="101">
        <v>165.79</v>
      </c>
      <c r="N93" s="101"/>
      <c r="O93" s="101">
        <v>201.202739</v>
      </c>
      <c r="P93" s="101"/>
      <c r="Q93" s="101">
        <v>186.45</v>
      </c>
      <c r="R93" s="236">
        <v>690.810754</v>
      </c>
      <c r="S93" s="101">
        <v>189.89</v>
      </c>
      <c r="T93" s="101">
        <v>223.08</v>
      </c>
      <c r="U93" s="236">
        <v>186.45</v>
      </c>
      <c r="V93" s="101">
        <v>207.08</v>
      </c>
      <c r="W93" s="236">
        <v>412.97</v>
      </c>
      <c r="X93" s="101">
        <v>148.16</v>
      </c>
      <c r="Y93" s="236">
        <v>207.08</v>
      </c>
      <c r="Z93" s="101">
        <v>157.72</v>
      </c>
      <c r="AA93" s="236">
        <v>148.16</v>
      </c>
      <c r="AB93" s="81">
        <v>183.38</v>
      </c>
      <c r="AC93" s="236">
        <v>157.72</v>
      </c>
      <c r="AD93" s="185">
        <f t="shared" si="6"/>
        <v>2395.086954</v>
      </c>
      <c r="AE93" s="185">
        <f t="shared" si="7"/>
        <v>2803.190754</v>
      </c>
      <c r="AF93" s="185">
        <f t="shared" si="8"/>
        <v>456.223800000001</v>
      </c>
      <c r="AG93" s="11"/>
    </row>
    <row r="94" s="4" customFormat="1" ht="35" customHeight="1" spans="1:33">
      <c r="A94" s="48">
        <v>91</v>
      </c>
      <c r="B94" s="48" t="s">
        <v>215</v>
      </c>
      <c r="C94" s="51" t="s">
        <v>216</v>
      </c>
      <c r="D94" s="50">
        <v>335.91</v>
      </c>
      <c r="E94" s="101">
        <v>238.234185</v>
      </c>
      <c r="F94" s="101">
        <v>500</v>
      </c>
      <c r="G94" s="101"/>
      <c r="H94" s="101"/>
      <c r="I94" s="101">
        <v>248.86</v>
      </c>
      <c r="J94" s="101"/>
      <c r="K94" s="101">
        <v>230.3</v>
      </c>
      <c r="L94" s="101">
        <v>500</v>
      </c>
      <c r="M94" s="101">
        <v>162.33</v>
      </c>
      <c r="N94" s="101"/>
      <c r="O94" s="101">
        <v>149.513239</v>
      </c>
      <c r="P94" s="101"/>
      <c r="Q94" s="101">
        <v>149.19</v>
      </c>
      <c r="R94" s="101"/>
      <c r="S94" s="101">
        <v>187.17</v>
      </c>
      <c r="T94" s="101">
        <v>224.71</v>
      </c>
      <c r="U94" s="236">
        <v>228.2</v>
      </c>
      <c r="V94" s="101">
        <v>249.3</v>
      </c>
      <c r="W94" s="236">
        <v>411.88</v>
      </c>
      <c r="X94" s="101">
        <v>129.11</v>
      </c>
      <c r="Y94" s="236">
        <v>249.3</v>
      </c>
      <c r="Z94" s="101">
        <v>115.67</v>
      </c>
      <c r="AA94" s="236">
        <v>129.11</v>
      </c>
      <c r="AB94" s="81">
        <v>131.14</v>
      </c>
      <c r="AC94" s="236">
        <v>115.67</v>
      </c>
      <c r="AD94" s="185">
        <f t="shared" si="6"/>
        <v>2215.527424</v>
      </c>
      <c r="AE94" s="185">
        <f t="shared" si="7"/>
        <v>2134.16</v>
      </c>
      <c r="AF94" s="185">
        <f t="shared" si="8"/>
        <v>254.542575999999</v>
      </c>
      <c r="AG94" s="11"/>
    </row>
    <row r="95" s="4" customFormat="1" ht="35" customHeight="1" spans="1:33">
      <c r="A95" s="48">
        <v>92</v>
      </c>
      <c r="B95" s="48" t="s">
        <v>217</v>
      </c>
      <c r="C95" s="51" t="s">
        <v>218</v>
      </c>
      <c r="D95" s="50">
        <v>1018.69</v>
      </c>
      <c r="E95" s="101">
        <v>125.6871</v>
      </c>
      <c r="F95" s="101"/>
      <c r="G95" s="101"/>
      <c r="H95" s="101"/>
      <c r="I95" s="101">
        <v>181.14</v>
      </c>
      <c r="J95" s="101"/>
      <c r="K95" s="101">
        <v>133.63</v>
      </c>
      <c r="L95" s="101">
        <v>0</v>
      </c>
      <c r="M95" s="101">
        <v>120.23</v>
      </c>
      <c r="N95" s="101"/>
      <c r="O95" s="101">
        <v>146.792739</v>
      </c>
      <c r="P95" s="101"/>
      <c r="Q95" s="101">
        <v>103.19</v>
      </c>
      <c r="R95" s="236">
        <v>62.7380389999997</v>
      </c>
      <c r="S95" s="101">
        <v>153.44</v>
      </c>
      <c r="T95" s="101">
        <v>145.82</v>
      </c>
      <c r="U95" s="236">
        <v>1.49</v>
      </c>
      <c r="V95" s="101">
        <v>190.42</v>
      </c>
      <c r="W95" s="236">
        <v>299.26</v>
      </c>
      <c r="X95" s="101">
        <v>109.53</v>
      </c>
      <c r="Y95" s="236">
        <v>190.42</v>
      </c>
      <c r="Z95" s="101">
        <v>88</v>
      </c>
      <c r="AA95" s="236">
        <v>109.53</v>
      </c>
      <c r="AB95" s="81">
        <v>106.12</v>
      </c>
      <c r="AC95" s="236">
        <v>88</v>
      </c>
      <c r="AD95" s="185">
        <f t="shared" si="6"/>
        <v>1603.999839</v>
      </c>
      <c r="AE95" s="185">
        <f t="shared" si="7"/>
        <v>751.438039</v>
      </c>
      <c r="AF95" s="185">
        <f t="shared" si="8"/>
        <v>166.128199999999</v>
      </c>
      <c r="AG95" s="11"/>
    </row>
    <row r="96" s="4" customFormat="1" ht="35" customHeight="1" spans="1:33">
      <c r="A96" s="48">
        <v>93</v>
      </c>
      <c r="B96" s="48" t="s">
        <v>219</v>
      </c>
      <c r="C96" s="51" t="s">
        <v>220</v>
      </c>
      <c r="D96" s="50">
        <v>914.73</v>
      </c>
      <c r="E96" s="101">
        <v>24.566115</v>
      </c>
      <c r="F96" s="101"/>
      <c r="G96" s="101"/>
      <c r="H96" s="101"/>
      <c r="I96" s="101">
        <v>7.24</v>
      </c>
      <c r="J96" s="101"/>
      <c r="K96" s="101">
        <v>21.54</v>
      </c>
      <c r="L96" s="101">
        <v>0</v>
      </c>
      <c r="M96" s="101">
        <v>16.99</v>
      </c>
      <c r="N96" s="101"/>
      <c r="O96" s="101">
        <v>19.473339</v>
      </c>
      <c r="P96" s="101"/>
      <c r="Q96" s="101">
        <v>45.56</v>
      </c>
      <c r="R96" s="101"/>
      <c r="S96" s="101">
        <v>13.06</v>
      </c>
      <c r="T96" s="101">
        <v>23.4</v>
      </c>
      <c r="U96" s="236"/>
      <c r="V96" s="101">
        <v>35.42</v>
      </c>
      <c r="W96" s="236"/>
      <c r="X96" s="101">
        <v>10.5</v>
      </c>
      <c r="Y96" s="236"/>
      <c r="Z96" s="101">
        <v>14.96</v>
      </c>
      <c r="AA96" s="236"/>
      <c r="AB96" s="81">
        <v>292.74</v>
      </c>
      <c r="AC96" s="236"/>
      <c r="AD96" s="185">
        <f t="shared" si="6"/>
        <v>525.449454</v>
      </c>
      <c r="AE96" s="185">
        <f t="shared" si="7"/>
        <v>0</v>
      </c>
      <c r="AF96" s="185">
        <f t="shared" si="8"/>
        <v>389.280546</v>
      </c>
      <c r="AG96" s="11"/>
    </row>
    <row r="97" s="4" customFormat="1" ht="35" customHeight="1" spans="1:33">
      <c r="A97" s="48">
        <v>94</v>
      </c>
      <c r="B97" s="48" t="s">
        <v>221</v>
      </c>
      <c r="C97" s="51" t="s">
        <v>222</v>
      </c>
      <c r="D97" s="50">
        <v>492.38</v>
      </c>
      <c r="E97" s="101">
        <v>305.07687</v>
      </c>
      <c r="F97" s="101"/>
      <c r="G97" s="101"/>
      <c r="H97" s="101"/>
      <c r="I97" s="101">
        <v>35.37</v>
      </c>
      <c r="J97" s="101"/>
      <c r="K97" s="101">
        <v>126.51</v>
      </c>
      <c r="L97" s="101">
        <v>300</v>
      </c>
      <c r="M97" s="101">
        <v>188.29</v>
      </c>
      <c r="N97" s="101">
        <v>400</v>
      </c>
      <c r="O97" s="101">
        <v>194.673539</v>
      </c>
      <c r="P97" s="101"/>
      <c r="Q97" s="101">
        <v>173.06</v>
      </c>
      <c r="R97" s="101"/>
      <c r="S97" s="101">
        <v>150.17</v>
      </c>
      <c r="T97" s="101">
        <v>161.6</v>
      </c>
      <c r="U97" s="236">
        <v>198.3</v>
      </c>
      <c r="V97" s="101">
        <v>174.86</v>
      </c>
      <c r="W97" s="236"/>
      <c r="X97" s="101">
        <v>166.66</v>
      </c>
      <c r="Y97" s="236">
        <v>500</v>
      </c>
      <c r="Z97" s="101">
        <v>208.08</v>
      </c>
      <c r="AA97" s="236"/>
      <c r="AB97" s="81">
        <v>236.16</v>
      </c>
      <c r="AC97" s="236"/>
      <c r="AD97" s="185">
        <f t="shared" si="6"/>
        <v>2120.510409</v>
      </c>
      <c r="AE97" s="185">
        <f t="shared" si="7"/>
        <v>1398.3</v>
      </c>
      <c r="AF97" s="185">
        <f t="shared" si="8"/>
        <v>-229.830409</v>
      </c>
      <c r="AG97" s="11"/>
    </row>
    <row r="98" s="4" customFormat="1" ht="35" customHeight="1" spans="1:33">
      <c r="A98" s="48">
        <v>95</v>
      </c>
      <c r="B98" s="48" t="s">
        <v>223</v>
      </c>
      <c r="C98" s="51" t="s">
        <v>224</v>
      </c>
      <c r="D98" s="50">
        <v>709.2</v>
      </c>
      <c r="E98" s="101">
        <v>58.27311</v>
      </c>
      <c r="F98" s="101"/>
      <c r="G98" s="101"/>
      <c r="H98" s="101"/>
      <c r="I98" s="101">
        <v>71.52</v>
      </c>
      <c r="J98" s="101"/>
      <c r="K98" s="101">
        <v>64.24</v>
      </c>
      <c r="L98" s="101">
        <v>0</v>
      </c>
      <c r="M98" s="101">
        <v>64.29</v>
      </c>
      <c r="N98" s="101"/>
      <c r="O98" s="101">
        <v>92.926839</v>
      </c>
      <c r="P98" s="101"/>
      <c r="Q98" s="101">
        <v>126.48</v>
      </c>
      <c r="R98" s="101"/>
      <c r="S98" s="101">
        <v>64.2</v>
      </c>
      <c r="T98" s="101">
        <v>137.11</v>
      </c>
      <c r="U98" s="236"/>
      <c r="V98" s="101">
        <v>101.53</v>
      </c>
      <c r="W98" s="236">
        <v>200</v>
      </c>
      <c r="X98" s="101">
        <v>69.26</v>
      </c>
      <c r="Y98" s="236">
        <v>500</v>
      </c>
      <c r="Z98" s="101">
        <v>59.23</v>
      </c>
      <c r="AA98" s="236"/>
      <c r="AB98" s="81">
        <v>71.84</v>
      </c>
      <c r="AC98" s="236"/>
      <c r="AD98" s="185">
        <f t="shared" si="6"/>
        <v>980.899949</v>
      </c>
      <c r="AE98" s="185">
        <f t="shared" si="7"/>
        <v>700</v>
      </c>
      <c r="AF98" s="185">
        <f t="shared" si="8"/>
        <v>428.300051</v>
      </c>
      <c r="AG98" s="11"/>
    </row>
    <row r="99" s="4" customFormat="1" ht="35" customHeight="1" spans="1:33">
      <c r="A99" s="48">
        <v>96</v>
      </c>
      <c r="B99" s="48" t="s">
        <v>225</v>
      </c>
      <c r="C99" s="51" t="s">
        <v>226</v>
      </c>
      <c r="D99" s="50">
        <v>83.9700000000012</v>
      </c>
      <c r="E99" s="101">
        <v>445.046595</v>
      </c>
      <c r="F99" s="101">
        <v>500</v>
      </c>
      <c r="G99" s="101"/>
      <c r="H99" s="101"/>
      <c r="I99" s="101">
        <v>433.09</v>
      </c>
      <c r="J99" s="101">
        <v>500</v>
      </c>
      <c r="K99" s="101">
        <v>391.02</v>
      </c>
      <c r="L99" s="101">
        <v>500</v>
      </c>
      <c r="M99" s="101">
        <v>343.43</v>
      </c>
      <c r="N99" s="101">
        <v>600</v>
      </c>
      <c r="O99" s="101">
        <v>462.370739</v>
      </c>
      <c r="P99" s="101"/>
      <c r="Q99" s="101">
        <v>404.18</v>
      </c>
      <c r="R99" s="236">
        <v>454.259634</v>
      </c>
      <c r="S99" s="101">
        <v>460.85</v>
      </c>
      <c r="T99" s="101">
        <v>448.34</v>
      </c>
      <c r="U99" s="236">
        <v>404.18</v>
      </c>
      <c r="V99" s="101">
        <v>417.07</v>
      </c>
      <c r="W99" s="236">
        <v>909.19</v>
      </c>
      <c r="X99" s="101">
        <v>316.83</v>
      </c>
      <c r="Y99" s="236">
        <v>417.07</v>
      </c>
      <c r="Z99" s="101">
        <v>221.36</v>
      </c>
      <c r="AA99" s="236">
        <v>316.83</v>
      </c>
      <c r="AB99" s="81">
        <v>245.95</v>
      </c>
      <c r="AC99" s="236"/>
      <c r="AD99" s="185">
        <f t="shared" si="6"/>
        <v>4589.537334</v>
      </c>
      <c r="AE99" s="185">
        <f t="shared" si="7"/>
        <v>4601.529634</v>
      </c>
      <c r="AF99" s="185">
        <f t="shared" si="8"/>
        <v>95.9623000000011</v>
      </c>
      <c r="AG99" s="11"/>
    </row>
    <row r="100" s="4" customFormat="1" ht="35" customHeight="1" spans="1:33">
      <c r="A100" s="48">
        <v>97</v>
      </c>
      <c r="B100" s="48" t="s">
        <v>227</v>
      </c>
      <c r="C100" s="51" t="s">
        <v>228</v>
      </c>
      <c r="D100" s="50">
        <v>134.5</v>
      </c>
      <c r="E100" s="101">
        <v>233.663745</v>
      </c>
      <c r="F100" s="101">
        <v>400</v>
      </c>
      <c r="G100" s="101"/>
      <c r="H100" s="101"/>
      <c r="I100" s="101">
        <v>279.86</v>
      </c>
      <c r="J100" s="101">
        <v>300</v>
      </c>
      <c r="K100" s="101">
        <v>194.12</v>
      </c>
      <c r="L100" s="101">
        <v>500</v>
      </c>
      <c r="M100" s="101">
        <v>178.48</v>
      </c>
      <c r="N100" s="101"/>
      <c r="O100" s="101">
        <v>129.381539</v>
      </c>
      <c r="P100" s="101">
        <v>400</v>
      </c>
      <c r="Q100" s="101">
        <v>122.99</v>
      </c>
      <c r="R100" s="101">
        <v>400</v>
      </c>
      <c r="S100" s="101">
        <v>303.06</v>
      </c>
      <c r="T100" s="101">
        <v>116.44</v>
      </c>
      <c r="U100" s="236"/>
      <c r="V100" s="101">
        <v>120.97</v>
      </c>
      <c r="W100" s="236"/>
      <c r="X100" s="101">
        <v>79.06</v>
      </c>
      <c r="Y100" s="237">
        <v>898.3</v>
      </c>
      <c r="Z100" s="101">
        <v>92.43</v>
      </c>
      <c r="AA100" s="237"/>
      <c r="AB100" s="81">
        <v>122.44</v>
      </c>
      <c r="AC100" s="237"/>
      <c r="AD100" s="185">
        <f t="shared" si="6"/>
        <v>1972.895284</v>
      </c>
      <c r="AE100" s="185">
        <f t="shared" si="7"/>
        <v>2898.3</v>
      </c>
      <c r="AF100" s="185">
        <f t="shared" si="8"/>
        <v>1059.904716</v>
      </c>
      <c r="AG100" s="11"/>
    </row>
    <row r="101" s="4" customFormat="1" ht="35" customHeight="1" spans="1:33">
      <c r="A101" s="48">
        <v>98</v>
      </c>
      <c r="B101" s="48" t="s">
        <v>229</v>
      </c>
      <c r="C101" s="51" t="s">
        <v>230</v>
      </c>
      <c r="D101" s="50">
        <v>650.48</v>
      </c>
      <c r="E101" s="101">
        <v>225.665475</v>
      </c>
      <c r="F101" s="101"/>
      <c r="G101" s="101"/>
      <c r="H101" s="101"/>
      <c r="I101" s="101">
        <v>234.52</v>
      </c>
      <c r="J101" s="101"/>
      <c r="K101" s="101">
        <v>114.65</v>
      </c>
      <c r="L101" s="101">
        <v>0</v>
      </c>
      <c r="M101" s="101">
        <v>108.12</v>
      </c>
      <c r="N101" s="101"/>
      <c r="O101" s="101">
        <v>146.248639</v>
      </c>
      <c r="P101" s="101"/>
      <c r="Q101" s="101">
        <v>174.8</v>
      </c>
      <c r="R101" s="236">
        <v>452.343414</v>
      </c>
      <c r="S101" s="101">
        <v>236.68</v>
      </c>
      <c r="T101" s="101">
        <v>183.91</v>
      </c>
      <c r="U101" s="236">
        <v>174.8</v>
      </c>
      <c r="V101" s="101">
        <v>184.86</v>
      </c>
      <c r="W101" s="236">
        <v>420.59</v>
      </c>
      <c r="X101" s="101">
        <v>125.85</v>
      </c>
      <c r="Y101" s="236">
        <v>184.86</v>
      </c>
      <c r="Z101" s="101">
        <v>101.83</v>
      </c>
      <c r="AA101" s="236">
        <v>125.85</v>
      </c>
      <c r="AB101" s="81">
        <v>113.73</v>
      </c>
      <c r="AC101" s="236">
        <v>101.83</v>
      </c>
      <c r="AD101" s="185">
        <f t="shared" ref="AD101:AD135" si="9">E101+G101+I101+K101+M101+O101+Q101+S101+T101+V101+X101+Z101+AB101</f>
        <v>1950.864114</v>
      </c>
      <c r="AE101" s="185">
        <f t="shared" ref="AE101:AE135" si="10">F101+H101+J101+L101+N101+P101+R101+U101+W101+Y101+AA101+AC101</f>
        <v>1460.273414</v>
      </c>
      <c r="AF101" s="185">
        <f t="shared" ref="AF101:AF135" si="11">D101+AE101-AD101</f>
        <v>159.8893</v>
      </c>
      <c r="AG101" s="11"/>
    </row>
    <row r="102" s="4" customFormat="1" ht="35" customHeight="1" spans="1:33">
      <c r="A102" s="48">
        <v>99</v>
      </c>
      <c r="B102" s="48" t="s">
        <v>231</v>
      </c>
      <c r="C102" s="51" t="s">
        <v>232</v>
      </c>
      <c r="D102" s="50">
        <v>182.5</v>
      </c>
      <c r="E102" s="101">
        <v>245.089845</v>
      </c>
      <c r="F102" s="101">
        <v>200</v>
      </c>
      <c r="G102" s="101"/>
      <c r="H102" s="101"/>
      <c r="I102" s="101">
        <v>236.24</v>
      </c>
      <c r="J102" s="101"/>
      <c r="K102" s="101">
        <v>189.38</v>
      </c>
      <c r="L102" s="101">
        <v>500</v>
      </c>
      <c r="M102" s="101">
        <v>177.33</v>
      </c>
      <c r="N102" s="101"/>
      <c r="O102" s="101">
        <v>116.323139</v>
      </c>
      <c r="P102" s="101"/>
      <c r="Q102" s="101">
        <v>130.56</v>
      </c>
      <c r="R102" s="236">
        <v>812.462484</v>
      </c>
      <c r="S102" s="101">
        <v>229.61</v>
      </c>
      <c r="T102" s="101">
        <v>122.42</v>
      </c>
      <c r="U102" s="236">
        <v>130.56</v>
      </c>
      <c r="V102" s="101">
        <v>102.64</v>
      </c>
      <c r="W102" s="236">
        <v>352.03</v>
      </c>
      <c r="X102" s="101">
        <v>116.6</v>
      </c>
      <c r="Y102" s="236">
        <v>102.64</v>
      </c>
      <c r="Z102" s="101">
        <v>147.76</v>
      </c>
      <c r="AA102" s="236"/>
      <c r="AB102" s="81">
        <v>161.61</v>
      </c>
      <c r="AC102" s="236">
        <v>264.36</v>
      </c>
      <c r="AD102" s="185">
        <f t="shared" si="9"/>
        <v>1975.562984</v>
      </c>
      <c r="AE102" s="185">
        <f t="shared" si="10"/>
        <v>2362.052484</v>
      </c>
      <c r="AF102" s="185">
        <f t="shared" si="11"/>
        <v>568.9895</v>
      </c>
      <c r="AG102" s="11"/>
    </row>
    <row r="103" s="4" customFormat="1" ht="35" customHeight="1" spans="1:33">
      <c r="A103" s="48">
        <v>100</v>
      </c>
      <c r="B103" s="48" t="s">
        <v>233</v>
      </c>
      <c r="C103" s="210" t="s">
        <v>234</v>
      </c>
      <c r="D103" s="50">
        <v>363.16</v>
      </c>
      <c r="E103" s="101">
        <v>83.981835</v>
      </c>
      <c r="F103" s="101">
        <v>500</v>
      </c>
      <c r="G103" s="101"/>
      <c r="H103" s="101"/>
      <c r="I103" s="101">
        <v>95.05</v>
      </c>
      <c r="J103" s="101"/>
      <c r="K103" s="101">
        <v>76.7</v>
      </c>
      <c r="L103" s="101">
        <v>0</v>
      </c>
      <c r="M103" s="101">
        <v>72.36</v>
      </c>
      <c r="N103" s="101"/>
      <c r="O103" s="101">
        <v>82.044839</v>
      </c>
      <c r="P103" s="101"/>
      <c r="Q103" s="101">
        <v>82.24</v>
      </c>
      <c r="R103" s="101"/>
      <c r="S103" s="101">
        <v>94.13</v>
      </c>
      <c r="T103" s="101">
        <v>91.41</v>
      </c>
      <c r="U103" s="236"/>
      <c r="V103" s="101">
        <v>78.75</v>
      </c>
      <c r="W103" s="236">
        <v>66.02</v>
      </c>
      <c r="X103" s="101">
        <v>72.53</v>
      </c>
      <c r="Y103" s="236">
        <v>78.75</v>
      </c>
      <c r="Z103" s="101">
        <v>87.45</v>
      </c>
      <c r="AA103" s="236">
        <v>72.53</v>
      </c>
      <c r="AB103" s="81">
        <v>66.94</v>
      </c>
      <c r="AC103" s="236">
        <v>87.45</v>
      </c>
      <c r="AD103" s="185">
        <f t="shared" si="9"/>
        <v>983.586674</v>
      </c>
      <c r="AE103" s="185">
        <f t="shared" si="10"/>
        <v>804.75</v>
      </c>
      <c r="AF103" s="185">
        <f t="shared" si="11"/>
        <v>184.323326</v>
      </c>
      <c r="AG103" s="11"/>
    </row>
    <row r="104" s="4" customFormat="1" ht="35" customHeight="1" spans="1:33">
      <c r="A104" s="48">
        <v>101</v>
      </c>
      <c r="B104" s="48" t="s">
        <v>235</v>
      </c>
      <c r="C104" s="51" t="s">
        <v>236</v>
      </c>
      <c r="D104" s="50">
        <v>-1339.54</v>
      </c>
      <c r="E104" s="101">
        <v>154.823655</v>
      </c>
      <c r="F104" s="101"/>
      <c r="G104" s="101"/>
      <c r="H104" s="101"/>
      <c r="I104" s="101">
        <v>605.27</v>
      </c>
      <c r="J104" s="101"/>
      <c r="K104" s="101">
        <v>270.04</v>
      </c>
      <c r="L104" s="101">
        <v>1000</v>
      </c>
      <c r="M104" s="101">
        <v>247.69</v>
      </c>
      <c r="N104" s="101"/>
      <c r="O104" s="101">
        <v>119.043639</v>
      </c>
      <c r="P104" s="101">
        <v>1000</v>
      </c>
      <c r="Q104" s="101">
        <v>102.61</v>
      </c>
      <c r="R104" s="101"/>
      <c r="S104" s="101">
        <v>10.88</v>
      </c>
      <c r="T104" s="101">
        <v>143.64</v>
      </c>
      <c r="U104" s="236"/>
      <c r="V104" s="101">
        <v>142.64</v>
      </c>
      <c r="W104" s="236"/>
      <c r="X104" s="101">
        <v>95.38</v>
      </c>
      <c r="Y104" s="236"/>
      <c r="Z104" s="101">
        <v>171.56</v>
      </c>
      <c r="AA104" s="236">
        <v>898.3</v>
      </c>
      <c r="AB104" s="81">
        <v>201.88</v>
      </c>
      <c r="AC104" s="236"/>
      <c r="AD104" s="185">
        <f t="shared" si="9"/>
        <v>2265.457294</v>
      </c>
      <c r="AE104" s="185">
        <f t="shared" si="10"/>
        <v>2898.3</v>
      </c>
      <c r="AF104" s="185">
        <f t="shared" si="11"/>
        <v>-706.697294</v>
      </c>
      <c r="AG104" s="11"/>
    </row>
    <row r="105" s="4" customFormat="1" ht="35" customHeight="1" spans="1:33">
      <c r="A105" s="48">
        <v>102</v>
      </c>
      <c r="B105" s="48" t="s">
        <v>237</v>
      </c>
      <c r="C105" s="51" t="s">
        <v>238</v>
      </c>
      <c r="D105" s="50">
        <v>300</v>
      </c>
      <c r="E105" s="101">
        <v>0</v>
      </c>
      <c r="F105" s="101"/>
      <c r="G105" s="101"/>
      <c r="H105" s="101"/>
      <c r="I105" s="101"/>
      <c r="J105" s="101"/>
      <c r="K105" s="101"/>
      <c r="L105" s="101">
        <v>0</v>
      </c>
      <c r="M105" s="101"/>
      <c r="N105" s="101"/>
      <c r="O105" s="101"/>
      <c r="P105" s="101"/>
      <c r="Q105" s="101"/>
      <c r="R105" s="101"/>
      <c r="S105" s="101"/>
      <c r="T105" s="101"/>
      <c r="U105" s="236"/>
      <c r="V105" s="101"/>
      <c r="W105" s="236"/>
      <c r="X105" s="101"/>
      <c r="Y105" s="236"/>
      <c r="Z105" s="101"/>
      <c r="AA105" s="236"/>
      <c r="AB105" s="81">
        <v>0</v>
      </c>
      <c r="AC105" s="236"/>
      <c r="AD105" s="185">
        <f t="shared" si="9"/>
        <v>0</v>
      </c>
      <c r="AE105" s="185">
        <f t="shared" si="10"/>
        <v>0</v>
      </c>
      <c r="AF105" s="185">
        <f t="shared" si="11"/>
        <v>300</v>
      </c>
      <c r="AG105" s="11"/>
    </row>
    <row r="106" s="4" customFormat="1" ht="35" customHeight="1" spans="1:33">
      <c r="A106" s="48">
        <v>103</v>
      </c>
      <c r="B106" s="48" t="s">
        <v>239</v>
      </c>
      <c r="C106" s="51" t="s">
        <v>240</v>
      </c>
      <c r="D106" s="50">
        <v>1162.52</v>
      </c>
      <c r="E106" s="101">
        <v>75.41226</v>
      </c>
      <c r="F106" s="101"/>
      <c r="G106" s="101"/>
      <c r="H106" s="101"/>
      <c r="I106" s="101">
        <v>97.35</v>
      </c>
      <c r="J106" s="101"/>
      <c r="K106" s="101">
        <v>44.08</v>
      </c>
      <c r="L106" s="101">
        <v>0</v>
      </c>
      <c r="M106" s="101">
        <v>33.72</v>
      </c>
      <c r="N106" s="101"/>
      <c r="O106" s="101">
        <v>50.487039</v>
      </c>
      <c r="P106" s="101"/>
      <c r="Q106" s="101">
        <v>100.87</v>
      </c>
      <c r="R106" s="101"/>
      <c r="S106" s="101">
        <v>120.25</v>
      </c>
      <c r="T106" s="101">
        <v>46.25</v>
      </c>
      <c r="U106" s="236"/>
      <c r="V106" s="101">
        <v>95.98</v>
      </c>
      <c r="W106" s="236">
        <v>16.72</v>
      </c>
      <c r="X106" s="101">
        <v>93.2</v>
      </c>
      <c r="Y106" s="236">
        <v>95.98</v>
      </c>
      <c r="Z106" s="101">
        <v>106.26</v>
      </c>
      <c r="AA106" s="236">
        <v>93.2</v>
      </c>
      <c r="AB106" s="81">
        <v>143.66</v>
      </c>
      <c r="AC106" s="236">
        <v>106.26</v>
      </c>
      <c r="AD106" s="185">
        <f t="shared" si="9"/>
        <v>1007.519299</v>
      </c>
      <c r="AE106" s="185">
        <f t="shared" si="10"/>
        <v>312.16</v>
      </c>
      <c r="AF106" s="185">
        <f t="shared" si="11"/>
        <v>467.160701</v>
      </c>
      <c r="AG106" s="11"/>
    </row>
    <row r="107" s="4" customFormat="1" ht="35" customHeight="1" spans="1:33">
      <c r="A107" s="48">
        <v>104</v>
      </c>
      <c r="B107" s="48" t="s">
        <v>241</v>
      </c>
      <c r="C107" s="51" t="s">
        <v>242</v>
      </c>
      <c r="D107" s="50">
        <v>-345.68</v>
      </c>
      <c r="E107" s="101">
        <v>169.677585</v>
      </c>
      <c r="F107" s="101"/>
      <c r="G107" s="101"/>
      <c r="H107" s="101"/>
      <c r="I107" s="101">
        <v>23.31</v>
      </c>
      <c r="J107" s="101"/>
      <c r="K107" s="101">
        <v>80.85</v>
      </c>
      <c r="L107" s="101">
        <v>0</v>
      </c>
      <c r="M107" s="101">
        <v>142.15</v>
      </c>
      <c r="N107" s="101"/>
      <c r="O107" s="101">
        <v>187.600239</v>
      </c>
      <c r="P107" s="101"/>
      <c r="Q107" s="101">
        <v>198.67</v>
      </c>
      <c r="R107" s="236">
        <v>223.402824</v>
      </c>
      <c r="S107" s="101">
        <v>136.57</v>
      </c>
      <c r="T107" s="101">
        <v>257.9</v>
      </c>
      <c r="U107" s="236">
        <v>198.67</v>
      </c>
      <c r="V107" s="101">
        <v>212.64</v>
      </c>
      <c r="W107" s="236">
        <v>394.47</v>
      </c>
      <c r="X107" s="101">
        <v>159.58</v>
      </c>
      <c r="Y107" s="236">
        <v>212.64</v>
      </c>
      <c r="Z107" s="101">
        <v>130.61</v>
      </c>
      <c r="AA107" s="236">
        <v>159.58</v>
      </c>
      <c r="AB107" s="81">
        <v>131.69</v>
      </c>
      <c r="AC107" s="236">
        <v>130.61</v>
      </c>
      <c r="AD107" s="185">
        <f t="shared" si="9"/>
        <v>1831.247824</v>
      </c>
      <c r="AE107" s="185">
        <f t="shared" si="10"/>
        <v>1319.372824</v>
      </c>
      <c r="AF107" s="185">
        <f t="shared" si="11"/>
        <v>-857.555</v>
      </c>
      <c r="AG107" s="11"/>
    </row>
    <row r="108" s="4" customFormat="1" ht="35" customHeight="1" spans="1:33">
      <c r="A108" s="48">
        <v>105</v>
      </c>
      <c r="B108" s="48" t="s">
        <v>243</v>
      </c>
      <c r="C108" s="51" t="s">
        <v>244</v>
      </c>
      <c r="D108" s="50">
        <v>337.53</v>
      </c>
      <c r="E108" s="101">
        <v>33.13569</v>
      </c>
      <c r="F108" s="101"/>
      <c r="G108" s="101"/>
      <c r="H108" s="101"/>
      <c r="I108" s="101">
        <v>27.91</v>
      </c>
      <c r="J108" s="101">
        <v>600</v>
      </c>
      <c r="K108" s="101">
        <v>32.81</v>
      </c>
      <c r="L108" s="101">
        <v>0</v>
      </c>
      <c r="M108" s="101">
        <v>33.72</v>
      </c>
      <c r="N108" s="101"/>
      <c r="O108" s="101">
        <v>128.293339</v>
      </c>
      <c r="P108" s="101"/>
      <c r="Q108" s="101">
        <v>129.97</v>
      </c>
      <c r="R108" s="101"/>
      <c r="S108" s="101">
        <v>33.19</v>
      </c>
      <c r="T108" s="101">
        <v>187.17</v>
      </c>
      <c r="U108" s="236"/>
      <c r="V108" s="101">
        <v>117.64</v>
      </c>
      <c r="W108" s="236">
        <v>50.48</v>
      </c>
      <c r="X108" s="101">
        <v>61.1</v>
      </c>
      <c r="Y108" s="236">
        <v>15.94</v>
      </c>
      <c r="Z108" s="101">
        <v>39.31</v>
      </c>
      <c r="AA108" s="236">
        <v>61.1</v>
      </c>
      <c r="AB108" s="81">
        <v>38.65</v>
      </c>
      <c r="AC108" s="236">
        <v>39.31</v>
      </c>
      <c r="AD108" s="185">
        <f t="shared" si="9"/>
        <v>862.899029</v>
      </c>
      <c r="AE108" s="185">
        <f t="shared" si="10"/>
        <v>766.83</v>
      </c>
      <c r="AF108" s="185">
        <f t="shared" si="11"/>
        <v>241.460971</v>
      </c>
      <c r="AG108" s="11"/>
    </row>
    <row r="109" s="4" customFormat="1" ht="35" customHeight="1" spans="1:33">
      <c r="A109" s="48">
        <v>106</v>
      </c>
      <c r="B109" s="48" t="s">
        <v>245</v>
      </c>
      <c r="C109" s="51" t="s">
        <v>246</v>
      </c>
      <c r="D109" s="50">
        <v>345.39</v>
      </c>
      <c r="E109" s="101">
        <v>277.65423</v>
      </c>
      <c r="F109" s="101"/>
      <c r="G109" s="101"/>
      <c r="H109" s="101"/>
      <c r="I109" s="101">
        <v>355.04</v>
      </c>
      <c r="J109" s="101">
        <v>600</v>
      </c>
      <c r="K109" s="101">
        <v>249.87</v>
      </c>
      <c r="L109" s="101">
        <v>490</v>
      </c>
      <c r="M109" s="101">
        <v>217.13</v>
      </c>
      <c r="N109" s="101"/>
      <c r="O109" s="101">
        <v>314.375539</v>
      </c>
      <c r="P109" s="101"/>
      <c r="Q109" s="101">
        <v>37.41</v>
      </c>
      <c r="R109" s="236">
        <v>627.009769</v>
      </c>
      <c r="S109" s="101">
        <v>278.04</v>
      </c>
      <c r="T109" s="101">
        <v>729.09</v>
      </c>
      <c r="U109" s="236">
        <v>37.41</v>
      </c>
      <c r="V109" s="101">
        <v>302.63</v>
      </c>
      <c r="W109" s="236"/>
      <c r="X109" s="101">
        <v>219.44</v>
      </c>
      <c r="Y109" s="236"/>
      <c r="Z109" s="101">
        <v>229.66</v>
      </c>
      <c r="AA109" s="236"/>
      <c r="AB109" s="81">
        <v>248.13</v>
      </c>
      <c r="AC109" s="236">
        <v>1758.86</v>
      </c>
      <c r="AD109" s="185">
        <f t="shared" si="9"/>
        <v>3458.469769</v>
      </c>
      <c r="AE109" s="185">
        <f t="shared" si="10"/>
        <v>3513.279769</v>
      </c>
      <c r="AF109" s="185">
        <f t="shared" si="11"/>
        <v>400.199999999999</v>
      </c>
      <c r="AG109" s="11"/>
    </row>
    <row r="110" s="4" customFormat="1" ht="35" customHeight="1" spans="1:33">
      <c r="A110" s="48">
        <v>107</v>
      </c>
      <c r="B110" s="48" t="s">
        <v>247</v>
      </c>
      <c r="C110" s="51" t="s">
        <v>248</v>
      </c>
      <c r="D110" s="50">
        <v>349.31</v>
      </c>
      <c r="E110" s="101">
        <v>96.550545</v>
      </c>
      <c r="F110" s="101">
        <v>300</v>
      </c>
      <c r="G110" s="101"/>
      <c r="H110" s="101"/>
      <c r="I110" s="101">
        <v>253.46</v>
      </c>
      <c r="J110" s="101"/>
      <c r="K110" s="101">
        <v>146.09</v>
      </c>
      <c r="L110" s="101">
        <v>300</v>
      </c>
      <c r="M110" s="101">
        <v>114.46</v>
      </c>
      <c r="N110" s="101"/>
      <c r="O110" s="101">
        <v>85.309439</v>
      </c>
      <c r="P110" s="101"/>
      <c r="Q110" s="101">
        <v>67.1</v>
      </c>
      <c r="R110" s="236">
        <v>16.4311840000001</v>
      </c>
      <c r="S110" s="101">
        <v>168.67</v>
      </c>
      <c r="T110" s="101">
        <v>63.66</v>
      </c>
      <c r="U110" s="236">
        <v>67.1</v>
      </c>
      <c r="V110" s="101">
        <v>57.64</v>
      </c>
      <c r="W110" s="236">
        <v>232.33</v>
      </c>
      <c r="X110" s="101">
        <v>57.84</v>
      </c>
      <c r="Y110" s="236">
        <v>57.64</v>
      </c>
      <c r="Z110" s="101">
        <v>114.01</v>
      </c>
      <c r="AA110" s="236">
        <v>57.84</v>
      </c>
      <c r="AB110" s="81">
        <v>95.23</v>
      </c>
      <c r="AC110" s="236">
        <v>114.01</v>
      </c>
      <c r="AD110" s="185">
        <f t="shared" si="9"/>
        <v>1320.019984</v>
      </c>
      <c r="AE110" s="185">
        <f t="shared" si="10"/>
        <v>1145.351184</v>
      </c>
      <c r="AF110" s="185">
        <f t="shared" si="11"/>
        <v>174.6412</v>
      </c>
      <c r="AG110" s="11"/>
    </row>
    <row r="111" s="4" customFormat="1" ht="35" customHeight="1" spans="1:33">
      <c r="A111" s="48">
        <v>108</v>
      </c>
      <c r="B111" s="48" t="s">
        <v>249</v>
      </c>
      <c r="C111" s="51" t="s">
        <v>250</v>
      </c>
      <c r="D111" s="50">
        <v>903.96</v>
      </c>
      <c r="E111" s="101">
        <v>201.670665</v>
      </c>
      <c r="F111" s="101"/>
      <c r="G111" s="101"/>
      <c r="H111" s="101"/>
      <c r="I111" s="101">
        <v>311.42</v>
      </c>
      <c r="J111" s="101"/>
      <c r="K111" s="101">
        <v>233.27</v>
      </c>
      <c r="L111" s="101">
        <v>0</v>
      </c>
      <c r="M111" s="101">
        <v>195.21</v>
      </c>
      <c r="N111" s="101">
        <v>500</v>
      </c>
      <c r="O111" s="101">
        <v>198.482239</v>
      </c>
      <c r="P111" s="101"/>
      <c r="Q111" s="101">
        <v>171.31</v>
      </c>
      <c r="R111" s="101">
        <f>101.7+205.4</f>
        <v>307.1</v>
      </c>
      <c r="S111" s="101">
        <v>290.01</v>
      </c>
      <c r="T111" s="101">
        <v>223.63</v>
      </c>
      <c r="U111" s="236">
        <v>171.32</v>
      </c>
      <c r="V111" s="101">
        <v>216.53</v>
      </c>
      <c r="W111" s="236">
        <v>513.64</v>
      </c>
      <c r="X111" s="101">
        <v>142.17</v>
      </c>
      <c r="Y111" s="236">
        <v>216.53</v>
      </c>
      <c r="Z111" s="101">
        <v>126.73</v>
      </c>
      <c r="AA111" s="236">
        <v>142.17</v>
      </c>
      <c r="AB111" s="81">
        <v>185.55</v>
      </c>
      <c r="AC111" s="236">
        <v>126.73</v>
      </c>
      <c r="AD111" s="185">
        <f t="shared" si="9"/>
        <v>2495.982904</v>
      </c>
      <c r="AE111" s="185">
        <f t="shared" si="10"/>
        <v>1977.49</v>
      </c>
      <c r="AF111" s="185">
        <f t="shared" si="11"/>
        <v>385.467096</v>
      </c>
      <c r="AG111" s="11"/>
    </row>
    <row r="112" s="4" customFormat="1" ht="35" customHeight="1" spans="1:33">
      <c r="A112" s="48">
        <v>109</v>
      </c>
      <c r="B112" s="48" t="s">
        <v>251</v>
      </c>
      <c r="C112" s="51" t="s">
        <v>252</v>
      </c>
      <c r="D112" s="50">
        <v>27.4199999999998</v>
      </c>
      <c r="E112" s="101">
        <v>35.42091</v>
      </c>
      <c r="F112" s="101">
        <v>300</v>
      </c>
      <c r="G112" s="101"/>
      <c r="H112" s="101"/>
      <c r="I112" s="101">
        <v>244.27</v>
      </c>
      <c r="J112" s="101"/>
      <c r="K112" s="101">
        <v>133.63</v>
      </c>
      <c r="L112" s="101">
        <v>300</v>
      </c>
      <c r="M112" s="101">
        <v>25.65</v>
      </c>
      <c r="N112" s="101"/>
      <c r="O112" s="101">
        <v>31.443539</v>
      </c>
      <c r="P112" s="101"/>
      <c r="Q112" s="101">
        <v>25.76</v>
      </c>
      <c r="R112" s="101"/>
      <c r="S112" s="101">
        <v>103.38</v>
      </c>
      <c r="T112" s="101">
        <v>29.38</v>
      </c>
      <c r="U112" s="236"/>
      <c r="V112" s="101">
        <v>29.31</v>
      </c>
      <c r="W112" s="236">
        <v>1.02</v>
      </c>
      <c r="X112" s="101">
        <v>49.13</v>
      </c>
      <c r="Y112" s="236">
        <v>29.31</v>
      </c>
      <c r="Z112" s="101">
        <v>26.02</v>
      </c>
      <c r="AA112" s="236">
        <v>49.13</v>
      </c>
      <c r="AB112" s="81">
        <v>31.57</v>
      </c>
      <c r="AC112" s="236">
        <v>26.02</v>
      </c>
      <c r="AD112" s="185">
        <f t="shared" si="9"/>
        <v>764.964449</v>
      </c>
      <c r="AE112" s="185">
        <f t="shared" si="10"/>
        <v>705.48</v>
      </c>
      <c r="AF112" s="185">
        <f t="shared" si="11"/>
        <v>-32.0644490000002</v>
      </c>
      <c r="AG112" s="11"/>
    </row>
    <row r="113" s="4" customFormat="1" ht="35" customHeight="1" spans="1:33">
      <c r="A113" s="48">
        <v>110</v>
      </c>
      <c r="B113" s="48" t="s">
        <v>253</v>
      </c>
      <c r="C113" s="51" t="s">
        <v>254</v>
      </c>
      <c r="D113" s="50">
        <v>183.309999999999</v>
      </c>
      <c r="E113" s="101">
        <v>33.706995</v>
      </c>
      <c r="F113" s="101"/>
      <c r="G113" s="101"/>
      <c r="H113" s="101"/>
      <c r="I113" s="101">
        <v>22.74</v>
      </c>
      <c r="J113" s="101"/>
      <c r="K113" s="101">
        <v>42.3</v>
      </c>
      <c r="L113" s="101">
        <v>500</v>
      </c>
      <c r="M113" s="101">
        <v>40.06</v>
      </c>
      <c r="N113" s="101"/>
      <c r="O113" s="101">
        <v>44.501939</v>
      </c>
      <c r="P113" s="101"/>
      <c r="Q113" s="101">
        <v>88.64</v>
      </c>
      <c r="R113" s="236">
        <v>127.588934</v>
      </c>
      <c r="S113" s="101">
        <v>99.03</v>
      </c>
      <c r="T113" s="101">
        <v>68.56</v>
      </c>
      <c r="U113" s="236">
        <v>88.64</v>
      </c>
      <c r="V113" s="101">
        <v>49.31</v>
      </c>
      <c r="W113" s="236">
        <v>167.59</v>
      </c>
      <c r="X113" s="101">
        <v>33.9</v>
      </c>
      <c r="Y113" s="236">
        <v>49.31</v>
      </c>
      <c r="Z113" s="101">
        <v>49.82</v>
      </c>
      <c r="AA113" s="236">
        <v>33.9</v>
      </c>
      <c r="AB113" s="81">
        <v>68.03</v>
      </c>
      <c r="AC113" s="236">
        <v>49.82</v>
      </c>
      <c r="AD113" s="185">
        <f t="shared" si="9"/>
        <v>640.598934</v>
      </c>
      <c r="AE113" s="185">
        <f t="shared" si="10"/>
        <v>1016.848934</v>
      </c>
      <c r="AF113" s="185">
        <f t="shared" si="11"/>
        <v>559.559999999999</v>
      </c>
      <c r="AG113" s="11"/>
    </row>
    <row r="114" s="4" customFormat="1" ht="35" customHeight="1" spans="1:33">
      <c r="A114" s="48">
        <v>111</v>
      </c>
      <c r="B114" s="48" t="s">
        <v>255</v>
      </c>
      <c r="C114" s="51" t="s">
        <v>256</v>
      </c>
      <c r="D114" s="50">
        <v>1504.806</v>
      </c>
      <c r="E114" s="101">
        <v>252.51681</v>
      </c>
      <c r="F114" s="101"/>
      <c r="G114" s="101"/>
      <c r="H114" s="101"/>
      <c r="I114" s="101">
        <v>263.79</v>
      </c>
      <c r="J114" s="101"/>
      <c r="K114" s="101">
        <v>150.24</v>
      </c>
      <c r="L114" s="101">
        <v>0</v>
      </c>
      <c r="M114" s="101">
        <v>194.06</v>
      </c>
      <c r="N114" s="101"/>
      <c r="O114" s="101">
        <v>141.351739</v>
      </c>
      <c r="P114" s="101"/>
      <c r="Q114" s="101">
        <v>185.28</v>
      </c>
      <c r="R114" s="101"/>
      <c r="S114" s="101">
        <v>234.51</v>
      </c>
      <c r="T114" s="101">
        <v>207.85</v>
      </c>
      <c r="U114" s="236">
        <v>10.09</v>
      </c>
      <c r="V114" s="101">
        <v>205.41</v>
      </c>
      <c r="W114" s="236">
        <v>442.36</v>
      </c>
      <c r="X114" s="101">
        <v>223.24</v>
      </c>
      <c r="Y114" s="236">
        <v>205.41</v>
      </c>
      <c r="Z114" s="101">
        <v>239.62</v>
      </c>
      <c r="AA114" s="236">
        <v>223.24</v>
      </c>
      <c r="AB114" s="81">
        <v>255.2</v>
      </c>
      <c r="AC114" s="236">
        <v>239.62</v>
      </c>
      <c r="AD114" s="185">
        <f t="shared" si="9"/>
        <v>2553.068549</v>
      </c>
      <c r="AE114" s="185">
        <f t="shared" si="10"/>
        <v>1120.72</v>
      </c>
      <c r="AF114" s="185">
        <f t="shared" si="11"/>
        <v>72.4574510000002</v>
      </c>
      <c r="AG114" s="11"/>
    </row>
    <row r="115" s="4" customFormat="1" ht="35" customHeight="1" spans="1:33">
      <c r="A115" s="48">
        <v>112</v>
      </c>
      <c r="B115" s="48" t="s">
        <v>257</v>
      </c>
      <c r="C115" s="51" t="s">
        <v>258</v>
      </c>
      <c r="D115" s="50">
        <v>132.760000000001</v>
      </c>
      <c r="E115" s="101">
        <v>383.345655</v>
      </c>
      <c r="F115" s="101">
        <v>200</v>
      </c>
      <c r="G115" s="101"/>
      <c r="H115" s="101">
        <v>500</v>
      </c>
      <c r="I115" s="101">
        <v>197.79</v>
      </c>
      <c r="J115" s="101"/>
      <c r="K115" s="101">
        <v>261.73</v>
      </c>
      <c r="L115" s="101">
        <v>600</v>
      </c>
      <c r="M115" s="101">
        <v>301.33</v>
      </c>
      <c r="N115" s="101"/>
      <c r="O115" s="101">
        <v>306.214039</v>
      </c>
      <c r="P115" s="101"/>
      <c r="Q115" s="101">
        <v>281.34</v>
      </c>
      <c r="R115" s="236">
        <v>309.82</v>
      </c>
      <c r="S115" s="101">
        <v>241.58</v>
      </c>
      <c r="T115" s="101">
        <v>324.28</v>
      </c>
      <c r="U115" s="236">
        <v>281.34</v>
      </c>
      <c r="V115" s="101">
        <v>219.86</v>
      </c>
      <c r="W115" s="236">
        <v>565.86</v>
      </c>
      <c r="X115" s="101">
        <v>154.69</v>
      </c>
      <c r="Y115" s="236">
        <v>219.86</v>
      </c>
      <c r="Z115" s="101">
        <v>205.31</v>
      </c>
      <c r="AA115" s="236">
        <v>154.69</v>
      </c>
      <c r="AB115" s="81">
        <v>288.39</v>
      </c>
      <c r="AC115" s="236">
        <v>205.31</v>
      </c>
      <c r="AD115" s="185">
        <f t="shared" si="9"/>
        <v>3165.859694</v>
      </c>
      <c r="AE115" s="185">
        <f t="shared" si="10"/>
        <v>3036.88</v>
      </c>
      <c r="AF115" s="185">
        <f t="shared" si="11"/>
        <v>3.78030600000147</v>
      </c>
      <c r="AG115" s="11"/>
    </row>
    <row r="116" s="4" customFormat="1" ht="35" customHeight="1" spans="1:33">
      <c r="A116" s="48">
        <v>113</v>
      </c>
      <c r="B116" s="48" t="s">
        <v>259</v>
      </c>
      <c r="C116" s="51" t="s">
        <v>260</v>
      </c>
      <c r="D116" s="50">
        <v>168.35</v>
      </c>
      <c r="E116" s="101">
        <v>214.81068</v>
      </c>
      <c r="F116" s="101">
        <v>101.54</v>
      </c>
      <c r="G116" s="101"/>
      <c r="H116" s="101"/>
      <c r="I116" s="101">
        <v>311.42</v>
      </c>
      <c r="J116" s="101">
        <v>1000</v>
      </c>
      <c r="K116" s="101">
        <v>283.68</v>
      </c>
      <c r="L116" s="101">
        <v>0</v>
      </c>
      <c r="M116" s="101">
        <v>244.23</v>
      </c>
      <c r="N116" s="101">
        <v>1000</v>
      </c>
      <c r="O116" s="101">
        <v>229.495939</v>
      </c>
      <c r="P116" s="101"/>
      <c r="Q116" s="101">
        <v>198.67</v>
      </c>
      <c r="R116" s="101"/>
      <c r="S116" s="101">
        <v>311.77</v>
      </c>
      <c r="T116" s="101">
        <v>216.55</v>
      </c>
      <c r="U116" s="236"/>
      <c r="V116" s="101">
        <v>202.64</v>
      </c>
      <c r="W116" s="236">
        <v>11.26</v>
      </c>
      <c r="X116" s="101">
        <v>113.34</v>
      </c>
      <c r="Y116" s="236">
        <v>202.64</v>
      </c>
      <c r="Z116" s="101">
        <v>139.46</v>
      </c>
      <c r="AA116" s="236">
        <v>113.34</v>
      </c>
      <c r="AB116" s="81">
        <v>182.83</v>
      </c>
      <c r="AC116" s="236">
        <v>139.46</v>
      </c>
      <c r="AD116" s="185">
        <f t="shared" si="9"/>
        <v>2648.896619</v>
      </c>
      <c r="AE116" s="185">
        <f t="shared" si="10"/>
        <v>2568.24</v>
      </c>
      <c r="AF116" s="185">
        <f t="shared" si="11"/>
        <v>87.693381</v>
      </c>
      <c r="AG116" s="11"/>
    </row>
    <row r="117" s="4" customFormat="1" ht="35" customHeight="1" spans="1:33">
      <c r="A117" s="48">
        <v>114</v>
      </c>
      <c r="B117" s="48" t="s">
        <v>261</v>
      </c>
      <c r="C117" s="51" t="s">
        <v>262</v>
      </c>
      <c r="D117" s="50">
        <v>-1054.28</v>
      </c>
      <c r="E117" s="101">
        <v>273.08379</v>
      </c>
      <c r="F117" s="101">
        <v>1000</v>
      </c>
      <c r="G117" s="101"/>
      <c r="H117" s="101"/>
      <c r="I117" s="101">
        <v>316.01</v>
      </c>
      <c r="J117" s="101"/>
      <c r="K117" s="101">
        <v>257.58</v>
      </c>
      <c r="L117" s="101">
        <v>800</v>
      </c>
      <c r="M117" s="101">
        <v>311.71</v>
      </c>
      <c r="N117" s="101"/>
      <c r="O117" s="101">
        <v>367.153239</v>
      </c>
      <c r="P117" s="101"/>
      <c r="Q117" s="101">
        <v>332.58</v>
      </c>
      <c r="R117" s="236">
        <v>70.825029</v>
      </c>
      <c r="S117" s="101">
        <v>312.31</v>
      </c>
      <c r="T117" s="101">
        <v>227.43</v>
      </c>
      <c r="U117" s="236">
        <v>230.88</v>
      </c>
      <c r="V117" s="101">
        <v>491.51</v>
      </c>
      <c r="W117" s="236">
        <v>539.74</v>
      </c>
      <c r="X117" s="101">
        <v>199.85</v>
      </c>
      <c r="Y117" s="236">
        <v>491.51</v>
      </c>
      <c r="Z117" s="101">
        <v>126.73</v>
      </c>
      <c r="AA117" s="236"/>
      <c r="AB117" s="81">
        <v>193.72</v>
      </c>
      <c r="AC117" s="236"/>
      <c r="AD117" s="185">
        <f t="shared" si="9"/>
        <v>3409.667029</v>
      </c>
      <c r="AE117" s="185">
        <f t="shared" si="10"/>
        <v>3132.955029</v>
      </c>
      <c r="AF117" s="185">
        <f t="shared" si="11"/>
        <v>-1330.992</v>
      </c>
      <c r="AG117" s="11"/>
    </row>
    <row r="118" s="11" customFormat="1" ht="35" customHeight="1" spans="1:32">
      <c r="A118" s="48">
        <v>115</v>
      </c>
      <c r="B118" s="48" t="s">
        <v>263</v>
      </c>
      <c r="C118" s="51" t="s">
        <v>264</v>
      </c>
      <c r="D118" s="50">
        <v>12.0999999999999</v>
      </c>
      <c r="E118" s="101">
        <v>208.526325</v>
      </c>
      <c r="F118" s="101"/>
      <c r="G118" s="101"/>
      <c r="H118" s="101">
        <v>1000</v>
      </c>
      <c r="I118" s="101">
        <v>201.8</v>
      </c>
      <c r="J118" s="101"/>
      <c r="K118" s="101">
        <v>203.61</v>
      </c>
      <c r="L118" s="101">
        <v>0</v>
      </c>
      <c r="M118" s="101">
        <v>157.72</v>
      </c>
      <c r="N118" s="101"/>
      <c r="O118" s="101">
        <v>194.673539</v>
      </c>
      <c r="P118" s="101">
        <v>500</v>
      </c>
      <c r="Q118" s="101">
        <v>203.91</v>
      </c>
      <c r="R118" s="101"/>
      <c r="S118" s="101">
        <v>166.49</v>
      </c>
      <c r="T118" s="101">
        <v>214.38</v>
      </c>
      <c r="U118" s="236"/>
      <c r="V118" s="101">
        <v>170.42</v>
      </c>
      <c r="W118" s="236">
        <v>1000</v>
      </c>
      <c r="X118" s="101">
        <v>153.06</v>
      </c>
      <c r="Y118" s="236"/>
      <c r="Z118" s="101">
        <v>152.19</v>
      </c>
      <c r="AA118" s="236"/>
      <c r="AB118" s="81">
        <v>181.75</v>
      </c>
      <c r="AC118" s="236"/>
      <c r="AD118" s="185">
        <f t="shared" si="9"/>
        <v>2208.529864</v>
      </c>
      <c r="AE118" s="185">
        <f t="shared" si="10"/>
        <v>2500</v>
      </c>
      <c r="AF118" s="185">
        <f t="shared" si="11"/>
        <v>303.570136</v>
      </c>
    </row>
    <row r="119" s="4" customFormat="1" ht="35" customHeight="1" spans="1:33">
      <c r="A119" s="48">
        <v>116</v>
      </c>
      <c r="B119" s="48" t="s">
        <v>265</v>
      </c>
      <c r="C119" s="51" t="s">
        <v>266</v>
      </c>
      <c r="D119" s="50">
        <v>299.46</v>
      </c>
      <c r="E119" s="101">
        <v>0</v>
      </c>
      <c r="F119" s="101"/>
      <c r="G119" s="101"/>
      <c r="H119" s="101"/>
      <c r="I119" s="101"/>
      <c r="J119" s="101"/>
      <c r="K119" s="101"/>
      <c r="L119" s="101">
        <v>0</v>
      </c>
      <c r="M119" s="101"/>
      <c r="N119" s="101"/>
      <c r="O119" s="101"/>
      <c r="P119" s="112"/>
      <c r="Q119" s="101"/>
      <c r="R119" s="101"/>
      <c r="S119" s="101"/>
      <c r="T119" s="101"/>
      <c r="U119" s="236"/>
      <c r="V119" s="101"/>
      <c r="W119" s="236"/>
      <c r="X119" s="101"/>
      <c r="Y119" s="236"/>
      <c r="Z119" s="101"/>
      <c r="AA119" s="236"/>
      <c r="AB119" s="81">
        <v>0</v>
      </c>
      <c r="AC119" s="236"/>
      <c r="AD119" s="185">
        <f t="shared" si="9"/>
        <v>0</v>
      </c>
      <c r="AE119" s="185">
        <f t="shared" si="10"/>
        <v>0</v>
      </c>
      <c r="AF119" s="185">
        <f t="shared" si="11"/>
        <v>299.46</v>
      </c>
      <c r="AG119" s="11"/>
    </row>
    <row r="120" s="4" customFormat="1" ht="35" customHeight="1" spans="1:33">
      <c r="A120" s="48">
        <v>117</v>
      </c>
      <c r="B120" s="48" t="s">
        <v>267</v>
      </c>
      <c r="C120" s="51" t="s">
        <v>268</v>
      </c>
      <c r="D120" s="50">
        <v>492.17</v>
      </c>
      <c r="E120" s="101">
        <v>66.842685</v>
      </c>
      <c r="F120" s="101"/>
      <c r="G120" s="101"/>
      <c r="H120" s="101"/>
      <c r="I120" s="101">
        <v>59.47</v>
      </c>
      <c r="J120" s="101"/>
      <c r="K120" s="101">
        <v>71.95</v>
      </c>
      <c r="L120" s="101">
        <v>0</v>
      </c>
      <c r="M120" s="101">
        <v>82.17</v>
      </c>
      <c r="N120" s="101"/>
      <c r="O120" s="101">
        <v>237.657439</v>
      </c>
      <c r="P120" s="112"/>
      <c r="Q120" s="101">
        <v>209.73</v>
      </c>
      <c r="R120" s="236">
        <v>358.520124</v>
      </c>
      <c r="S120" s="101">
        <v>96.31</v>
      </c>
      <c r="T120" s="101">
        <v>236.14</v>
      </c>
      <c r="U120" s="236">
        <v>209.73</v>
      </c>
      <c r="V120" s="101">
        <v>223.75</v>
      </c>
      <c r="W120" s="236">
        <v>332.45</v>
      </c>
      <c r="X120" s="101">
        <v>144.35</v>
      </c>
      <c r="Y120" s="236"/>
      <c r="Z120" s="101">
        <v>78.59</v>
      </c>
      <c r="AA120" s="236">
        <v>368.1</v>
      </c>
      <c r="AB120" s="81">
        <v>231.26</v>
      </c>
      <c r="AC120" s="236">
        <v>78.59</v>
      </c>
      <c r="AD120" s="185">
        <f t="shared" si="9"/>
        <v>1738.220124</v>
      </c>
      <c r="AE120" s="185">
        <f t="shared" si="10"/>
        <v>1347.390124</v>
      </c>
      <c r="AF120" s="185">
        <f t="shared" si="11"/>
        <v>101.34</v>
      </c>
      <c r="AG120" s="11"/>
    </row>
    <row r="121" s="4" customFormat="1" ht="35" customHeight="1" spans="1:33">
      <c r="A121" s="48">
        <v>118</v>
      </c>
      <c r="B121" s="48" t="s">
        <v>269</v>
      </c>
      <c r="C121" s="51" t="s">
        <v>270</v>
      </c>
      <c r="D121" s="50">
        <v>522.87</v>
      </c>
      <c r="E121" s="101">
        <v>283.938585</v>
      </c>
      <c r="F121" s="101"/>
      <c r="G121" s="101"/>
      <c r="H121" s="101"/>
      <c r="I121" s="101">
        <v>148.43</v>
      </c>
      <c r="J121" s="101"/>
      <c r="K121" s="101">
        <v>224.96</v>
      </c>
      <c r="L121" s="101">
        <v>500</v>
      </c>
      <c r="M121" s="101">
        <v>218.28</v>
      </c>
      <c r="N121" s="101"/>
      <c r="O121" s="101">
        <v>177.262339</v>
      </c>
      <c r="P121" s="112"/>
      <c r="Q121" s="101">
        <v>176.55</v>
      </c>
      <c r="R121" s="236">
        <v>217.688724</v>
      </c>
      <c r="S121" s="101">
        <v>258.45</v>
      </c>
      <c r="T121" s="101">
        <v>358.56</v>
      </c>
      <c r="U121" s="236">
        <v>176.55</v>
      </c>
      <c r="V121" s="101">
        <v>320.41</v>
      </c>
      <c r="W121" s="236">
        <v>617.01</v>
      </c>
      <c r="X121" s="101">
        <v>218.35</v>
      </c>
      <c r="Y121" s="236"/>
      <c r="Z121" s="101">
        <v>247.36</v>
      </c>
      <c r="AA121" s="236">
        <v>538.76</v>
      </c>
      <c r="AB121" s="81">
        <v>335.18</v>
      </c>
      <c r="AC121" s="236">
        <v>247.36</v>
      </c>
      <c r="AD121" s="185">
        <f t="shared" si="9"/>
        <v>2967.730924</v>
      </c>
      <c r="AE121" s="185">
        <f t="shared" si="10"/>
        <v>2297.368724</v>
      </c>
      <c r="AF121" s="185">
        <f t="shared" si="11"/>
        <v>-147.492199999999</v>
      </c>
      <c r="AG121" s="11"/>
    </row>
    <row r="122" s="4" customFormat="1" ht="35" customHeight="1" spans="1:33">
      <c r="A122" s="48">
        <v>119</v>
      </c>
      <c r="B122" s="48" t="s">
        <v>271</v>
      </c>
      <c r="C122" s="51" t="s">
        <v>272</v>
      </c>
      <c r="D122" s="50">
        <v>563.69</v>
      </c>
      <c r="E122" s="101">
        <v>10.854795</v>
      </c>
      <c r="F122" s="101"/>
      <c r="G122" s="101"/>
      <c r="H122" s="101"/>
      <c r="I122" s="101">
        <v>4.2</v>
      </c>
      <c r="J122" s="101"/>
      <c r="K122" s="101">
        <v>35.18</v>
      </c>
      <c r="L122" s="101">
        <v>0</v>
      </c>
      <c r="M122" s="101">
        <v>7.29</v>
      </c>
      <c r="N122" s="101"/>
      <c r="O122" s="101">
        <v>7.682692</v>
      </c>
      <c r="P122" s="112"/>
      <c r="Q122" s="101">
        <v>7.62</v>
      </c>
      <c r="R122" s="236">
        <v>119.34</v>
      </c>
      <c r="S122" s="101">
        <v>8.71</v>
      </c>
      <c r="T122" s="101">
        <v>8</v>
      </c>
      <c r="U122" s="236">
        <v>7.62</v>
      </c>
      <c r="V122" s="101"/>
      <c r="W122" s="236">
        <v>16.71</v>
      </c>
      <c r="X122" s="101">
        <v>7.25</v>
      </c>
      <c r="Y122" s="236"/>
      <c r="Z122" s="101">
        <v>8.85</v>
      </c>
      <c r="AA122" s="236">
        <v>7.25</v>
      </c>
      <c r="AB122" s="81">
        <v>13.62</v>
      </c>
      <c r="AC122" s="236">
        <v>8.85</v>
      </c>
      <c r="AD122" s="185">
        <f t="shared" si="9"/>
        <v>119.257487</v>
      </c>
      <c r="AE122" s="185">
        <f t="shared" si="10"/>
        <v>159.77</v>
      </c>
      <c r="AF122" s="185">
        <f t="shared" si="11"/>
        <v>604.202513</v>
      </c>
      <c r="AG122" s="11"/>
    </row>
    <row r="123" s="4" customFormat="1" ht="35" customHeight="1" spans="1:33">
      <c r="A123" s="48">
        <v>120</v>
      </c>
      <c r="B123" s="48" t="s">
        <v>273</v>
      </c>
      <c r="C123" s="51" t="s">
        <v>274</v>
      </c>
      <c r="D123" s="50">
        <v>147.71</v>
      </c>
      <c r="E123" s="101">
        <v>281.08206</v>
      </c>
      <c r="F123" s="101">
        <v>1000</v>
      </c>
      <c r="G123" s="101"/>
      <c r="H123" s="101"/>
      <c r="I123" s="101">
        <v>210.81</v>
      </c>
      <c r="J123" s="101"/>
      <c r="K123" s="101">
        <v>193.88</v>
      </c>
      <c r="L123" s="101">
        <v>0</v>
      </c>
      <c r="M123" s="101">
        <v>171.08</v>
      </c>
      <c r="N123" s="101"/>
      <c r="O123" s="101">
        <v>207.367392</v>
      </c>
      <c r="P123" s="112"/>
      <c r="Q123" s="101">
        <v>179.36</v>
      </c>
      <c r="R123" s="236"/>
      <c r="S123" s="101">
        <v>275.31</v>
      </c>
      <c r="T123" s="101">
        <v>192.45</v>
      </c>
      <c r="U123" s="236">
        <v>405.05</v>
      </c>
      <c r="V123" s="101">
        <v>218.9</v>
      </c>
      <c r="W123" s="236">
        <v>467.76</v>
      </c>
      <c r="X123" s="101">
        <v>148.17</v>
      </c>
      <c r="Y123" s="236"/>
      <c r="Z123" s="101">
        <v>151.06</v>
      </c>
      <c r="AA123" s="236">
        <v>367.07</v>
      </c>
      <c r="AB123" s="81">
        <v>228.54</v>
      </c>
      <c r="AC123" s="236">
        <v>151.06</v>
      </c>
      <c r="AD123" s="185">
        <f t="shared" si="9"/>
        <v>2458.009452</v>
      </c>
      <c r="AE123" s="185">
        <f t="shared" si="10"/>
        <v>2390.94</v>
      </c>
      <c r="AF123" s="185">
        <f t="shared" si="11"/>
        <v>80.6405480000003</v>
      </c>
      <c r="AG123" s="11"/>
    </row>
    <row r="124" s="232" customFormat="1" ht="35" customHeight="1" spans="1:33">
      <c r="A124" s="48">
        <v>121</v>
      </c>
      <c r="B124" s="48" t="s">
        <v>275</v>
      </c>
      <c r="C124" s="210" t="s">
        <v>276</v>
      </c>
      <c r="D124" s="50">
        <v>141.61</v>
      </c>
      <c r="E124" s="101">
        <v>247.375065</v>
      </c>
      <c r="F124" s="101">
        <v>173.02</v>
      </c>
      <c r="G124" s="101"/>
      <c r="H124" s="101"/>
      <c r="I124" s="101">
        <v>238.93</v>
      </c>
      <c r="J124" s="101">
        <v>175.38</v>
      </c>
      <c r="K124" s="101">
        <v>193.29</v>
      </c>
      <c r="L124" s="101">
        <v>432.22</v>
      </c>
      <c r="M124" s="101">
        <v>184.35</v>
      </c>
      <c r="N124" s="101"/>
      <c r="O124" s="101">
        <v>148.060492</v>
      </c>
      <c r="P124" s="112"/>
      <c r="Q124" s="101">
        <v>157.24</v>
      </c>
      <c r="R124" s="236">
        <v>392.410357</v>
      </c>
      <c r="S124" s="101">
        <v>271.51</v>
      </c>
      <c r="T124" s="101">
        <v>161.43</v>
      </c>
      <c r="U124" s="236">
        <v>157.24</v>
      </c>
      <c r="V124" s="101">
        <v>146.13</v>
      </c>
      <c r="W124" s="236">
        <v>432.94</v>
      </c>
      <c r="X124" s="101">
        <v>123.68</v>
      </c>
      <c r="Y124" s="236">
        <v>146.13</v>
      </c>
      <c r="Z124" s="101">
        <v>133.91</v>
      </c>
      <c r="AA124" s="236">
        <v>123.68</v>
      </c>
      <c r="AB124" s="81">
        <v>165.97</v>
      </c>
      <c r="AC124" s="236">
        <v>133.91</v>
      </c>
      <c r="AD124" s="185">
        <f t="shared" si="9"/>
        <v>2171.875557</v>
      </c>
      <c r="AE124" s="185">
        <f t="shared" si="10"/>
        <v>2166.930357</v>
      </c>
      <c r="AF124" s="185">
        <f t="shared" si="11"/>
        <v>136.6648</v>
      </c>
      <c r="AG124" s="11"/>
    </row>
    <row r="125" s="4" customFormat="1" ht="35" customHeight="1" spans="1:33">
      <c r="A125" s="48">
        <v>122</v>
      </c>
      <c r="B125" s="48" t="s">
        <v>277</v>
      </c>
      <c r="C125" s="51" t="s">
        <v>278</v>
      </c>
      <c r="D125" s="50">
        <v>86.5900000000001</v>
      </c>
      <c r="E125" s="101">
        <v>189.101955</v>
      </c>
      <c r="F125" s="101"/>
      <c r="G125" s="101"/>
      <c r="H125" s="101"/>
      <c r="I125" s="101">
        <v>99.47</v>
      </c>
      <c r="J125" s="101">
        <v>430</v>
      </c>
      <c r="K125" s="101">
        <v>163.04</v>
      </c>
      <c r="L125" s="101">
        <v>162</v>
      </c>
      <c r="M125" s="101">
        <v>88.61</v>
      </c>
      <c r="N125" s="101">
        <v>383</v>
      </c>
      <c r="O125" s="101">
        <v>237.836992</v>
      </c>
      <c r="P125" s="112"/>
      <c r="Q125" s="101">
        <v>296.38</v>
      </c>
      <c r="R125" s="101"/>
      <c r="S125" s="101">
        <v>124.6</v>
      </c>
      <c r="T125" s="101">
        <v>296.37</v>
      </c>
      <c r="U125" s="236">
        <v>538.3</v>
      </c>
      <c r="V125" s="101">
        <v>77.24</v>
      </c>
      <c r="W125" s="236">
        <v>420</v>
      </c>
      <c r="X125" s="101">
        <v>138.38</v>
      </c>
      <c r="Y125" s="237">
        <v>80</v>
      </c>
      <c r="Z125" s="101">
        <v>122.29</v>
      </c>
      <c r="AA125" s="237">
        <v>132</v>
      </c>
      <c r="AB125" s="81">
        <v>188.27</v>
      </c>
      <c r="AC125" s="237">
        <v>130</v>
      </c>
      <c r="AD125" s="185">
        <f t="shared" si="9"/>
        <v>2021.588947</v>
      </c>
      <c r="AE125" s="185">
        <f t="shared" si="10"/>
        <v>2275.3</v>
      </c>
      <c r="AF125" s="185">
        <f t="shared" si="11"/>
        <v>340.301053000001</v>
      </c>
      <c r="AG125" s="11"/>
    </row>
    <row r="126" s="4" customFormat="1" ht="35" customHeight="1" spans="1:33">
      <c r="A126" s="48">
        <v>123</v>
      </c>
      <c r="B126" s="48" t="s">
        <v>279</v>
      </c>
      <c r="C126" s="51" t="s">
        <v>280</v>
      </c>
      <c r="D126" s="50">
        <v>2176.75</v>
      </c>
      <c r="E126" s="101">
        <v>167.392365</v>
      </c>
      <c r="F126" s="101"/>
      <c r="G126" s="101"/>
      <c r="H126" s="101">
        <v>500</v>
      </c>
      <c r="I126" s="101">
        <v>180.39</v>
      </c>
      <c r="J126" s="112"/>
      <c r="K126" s="101">
        <v>146.43</v>
      </c>
      <c r="L126" s="101">
        <v>0</v>
      </c>
      <c r="M126" s="101">
        <v>131.29</v>
      </c>
      <c r="N126" s="101">
        <v>300</v>
      </c>
      <c r="O126" s="101">
        <v>133.369792</v>
      </c>
      <c r="P126" s="112"/>
      <c r="Q126" s="101">
        <v>117.07</v>
      </c>
      <c r="R126" s="101">
        <v>198.3</v>
      </c>
      <c r="S126" s="101">
        <v>139.29</v>
      </c>
      <c r="T126" s="101">
        <v>116.82</v>
      </c>
      <c r="U126" s="236"/>
      <c r="V126" s="101">
        <v>123.35</v>
      </c>
      <c r="W126" s="236">
        <v>400</v>
      </c>
      <c r="X126" s="101">
        <v>94.3</v>
      </c>
      <c r="Y126" s="236"/>
      <c r="Z126" s="101">
        <v>122.29</v>
      </c>
      <c r="AA126" s="236">
        <v>398.3</v>
      </c>
      <c r="AB126" s="81">
        <v>131.14</v>
      </c>
      <c r="AC126" s="236"/>
      <c r="AD126" s="185">
        <f t="shared" si="9"/>
        <v>1603.132157</v>
      </c>
      <c r="AE126" s="185">
        <f t="shared" si="10"/>
        <v>1796.6</v>
      </c>
      <c r="AF126" s="185">
        <f t="shared" si="11"/>
        <v>2370.217843</v>
      </c>
      <c r="AG126" s="11"/>
    </row>
    <row r="127" s="4" customFormat="1" ht="35" customHeight="1" spans="1:33">
      <c r="A127" s="48">
        <v>124</v>
      </c>
      <c r="B127" s="48" t="s">
        <v>281</v>
      </c>
      <c r="C127" s="51" t="s">
        <v>282</v>
      </c>
      <c r="D127" s="50">
        <v>1122.13</v>
      </c>
      <c r="E127" s="101">
        <v>17.13915</v>
      </c>
      <c r="F127" s="101"/>
      <c r="G127" s="101"/>
      <c r="H127" s="101"/>
      <c r="I127" s="101">
        <v>7.64</v>
      </c>
      <c r="J127" s="112"/>
      <c r="K127" s="101">
        <v>8.25</v>
      </c>
      <c r="L127" s="101">
        <v>0</v>
      </c>
      <c r="M127" s="101">
        <v>16.52</v>
      </c>
      <c r="N127" s="101"/>
      <c r="O127" s="101">
        <v>9.314992</v>
      </c>
      <c r="P127" s="112"/>
      <c r="Q127" s="101">
        <v>15.77</v>
      </c>
      <c r="R127" s="101"/>
      <c r="S127" s="101">
        <v>59.85</v>
      </c>
      <c r="T127" s="101">
        <v>10.72</v>
      </c>
      <c r="U127" s="236"/>
      <c r="V127" s="101">
        <v>25.02</v>
      </c>
      <c r="W127" s="236"/>
      <c r="X127" s="101">
        <v>9.97</v>
      </c>
      <c r="Y127" s="236"/>
      <c r="Z127" s="101">
        <v>20.47</v>
      </c>
      <c r="AA127" s="236"/>
      <c r="AB127" s="81">
        <v>16.88</v>
      </c>
      <c r="AC127" s="236"/>
      <c r="AD127" s="185">
        <f t="shared" si="9"/>
        <v>217.544142</v>
      </c>
      <c r="AE127" s="185">
        <f t="shared" si="10"/>
        <v>0</v>
      </c>
      <c r="AF127" s="185">
        <f t="shared" si="11"/>
        <v>904.585858</v>
      </c>
      <c r="AG127" s="11"/>
    </row>
    <row r="128" s="4" customFormat="1" ht="35" customHeight="1" spans="1:33">
      <c r="A128" s="48">
        <v>125</v>
      </c>
      <c r="B128" s="48" t="s">
        <v>283</v>
      </c>
      <c r="C128" s="51" t="s">
        <v>284</v>
      </c>
      <c r="D128" s="50">
        <v>91.7599999999993</v>
      </c>
      <c r="E128" s="101">
        <v>215.381985</v>
      </c>
      <c r="F128" s="101">
        <v>250</v>
      </c>
      <c r="G128" s="101"/>
      <c r="H128" s="101">
        <v>500</v>
      </c>
      <c r="I128" s="101">
        <v>319.85</v>
      </c>
      <c r="J128" s="112"/>
      <c r="K128" s="101">
        <v>230.06</v>
      </c>
      <c r="L128" s="101">
        <v>200</v>
      </c>
      <c r="M128" s="101">
        <v>271.44</v>
      </c>
      <c r="N128" s="101">
        <v>250</v>
      </c>
      <c r="O128" s="101">
        <v>215.528892</v>
      </c>
      <c r="P128" s="112"/>
      <c r="Q128" s="101">
        <v>193.34</v>
      </c>
      <c r="R128" s="236">
        <v>208.960877</v>
      </c>
      <c r="S128" s="101">
        <v>350.4</v>
      </c>
      <c r="T128" s="101">
        <v>214.76</v>
      </c>
      <c r="U128" s="236">
        <v>193.34</v>
      </c>
      <c r="V128" s="101">
        <v>243.9</v>
      </c>
      <c r="W128" s="236">
        <v>565.16</v>
      </c>
      <c r="X128" s="101">
        <v>134.57</v>
      </c>
      <c r="Y128" s="101">
        <v>41.13</v>
      </c>
      <c r="Z128" s="101">
        <v>167.66</v>
      </c>
      <c r="AA128" s="101">
        <v>134.57</v>
      </c>
      <c r="AB128" s="81">
        <v>244.32</v>
      </c>
      <c r="AC128" s="101">
        <v>167.66</v>
      </c>
      <c r="AD128" s="185">
        <f t="shared" si="9"/>
        <v>2801.210877</v>
      </c>
      <c r="AE128" s="185">
        <f t="shared" si="10"/>
        <v>2510.820877</v>
      </c>
      <c r="AF128" s="185">
        <f t="shared" si="11"/>
        <v>-198.630000000001</v>
      </c>
      <c r="AG128" s="11"/>
    </row>
    <row r="129" s="4" customFormat="1" ht="35" customHeight="1" spans="1:33">
      <c r="A129" s="48">
        <v>126</v>
      </c>
      <c r="B129" s="48" t="s">
        <v>285</v>
      </c>
      <c r="C129" s="51" t="s">
        <v>286</v>
      </c>
      <c r="D129" s="50">
        <v>352.26</v>
      </c>
      <c r="E129" s="101">
        <v>159.9654</v>
      </c>
      <c r="F129" s="50"/>
      <c r="G129" s="101"/>
      <c r="H129" s="101">
        <v>300</v>
      </c>
      <c r="I129" s="101">
        <v>187.85</v>
      </c>
      <c r="J129" s="112"/>
      <c r="K129" s="101">
        <v>127.46</v>
      </c>
      <c r="L129" s="101">
        <v>0</v>
      </c>
      <c r="M129" s="101">
        <v>97.84</v>
      </c>
      <c r="N129" s="101">
        <v>300</v>
      </c>
      <c r="O129" s="101">
        <v>81.136192</v>
      </c>
      <c r="P129" s="112"/>
      <c r="Q129" s="101">
        <v>65.25</v>
      </c>
      <c r="R129" s="236">
        <v>42.545192</v>
      </c>
      <c r="S129" s="101">
        <v>181.19</v>
      </c>
      <c r="T129" s="101">
        <v>56.42</v>
      </c>
      <c r="U129" s="236">
        <v>65.25</v>
      </c>
      <c r="V129" s="101">
        <v>48.36</v>
      </c>
      <c r="W129" s="236">
        <v>135.91</v>
      </c>
      <c r="X129" s="101">
        <v>45.33</v>
      </c>
      <c r="Y129" s="236">
        <v>48.36</v>
      </c>
      <c r="Z129" s="101">
        <v>59.76</v>
      </c>
      <c r="AA129" s="236">
        <v>45.33</v>
      </c>
      <c r="AB129" s="81">
        <v>86.53</v>
      </c>
      <c r="AC129" s="236">
        <v>59.76</v>
      </c>
      <c r="AD129" s="185">
        <f t="shared" si="9"/>
        <v>1197.091592</v>
      </c>
      <c r="AE129" s="185">
        <f t="shared" si="10"/>
        <v>997.155192</v>
      </c>
      <c r="AF129" s="185">
        <f t="shared" si="11"/>
        <v>152.3236</v>
      </c>
      <c r="AG129" s="11"/>
    </row>
    <row r="130" s="4" customFormat="1" ht="35" customHeight="1" spans="1:33">
      <c r="A130" s="48">
        <v>127</v>
      </c>
      <c r="B130" s="48" t="s">
        <v>287</v>
      </c>
      <c r="C130" s="51" t="s">
        <v>288</v>
      </c>
      <c r="D130" s="50">
        <v>1596.99</v>
      </c>
      <c r="E130" s="101">
        <v>104.548815</v>
      </c>
      <c r="F130" s="50"/>
      <c r="G130" s="101"/>
      <c r="H130" s="112"/>
      <c r="I130" s="101">
        <v>105.21</v>
      </c>
      <c r="J130" s="112"/>
      <c r="K130" s="101">
        <v>109.07</v>
      </c>
      <c r="L130" s="101">
        <v>0</v>
      </c>
      <c r="M130" s="101">
        <v>105.93</v>
      </c>
      <c r="N130" s="101"/>
      <c r="O130" s="101">
        <v>120.855492</v>
      </c>
      <c r="P130" s="112"/>
      <c r="Q130" s="101">
        <v>110.66</v>
      </c>
      <c r="R130" s="112"/>
      <c r="S130" s="101">
        <v>99.57</v>
      </c>
      <c r="T130" s="101">
        <v>102.67</v>
      </c>
      <c r="U130" s="236"/>
      <c r="V130" s="101">
        <v>104.46</v>
      </c>
      <c r="W130" s="236"/>
      <c r="X130" s="101">
        <v>54.04</v>
      </c>
      <c r="Y130" s="112"/>
      <c r="Z130" s="101">
        <v>64.74</v>
      </c>
      <c r="AA130" s="236"/>
      <c r="AB130" s="81">
        <v>70.75</v>
      </c>
      <c r="AC130" s="112"/>
      <c r="AD130" s="185">
        <f t="shared" si="9"/>
        <v>1152.504307</v>
      </c>
      <c r="AE130" s="185">
        <f t="shared" si="10"/>
        <v>0</v>
      </c>
      <c r="AF130" s="185">
        <f t="shared" si="11"/>
        <v>444.485693</v>
      </c>
      <c r="AG130" s="11"/>
    </row>
    <row r="131" s="4" customFormat="1" ht="35" customHeight="1" spans="1:33">
      <c r="A131" s="48">
        <v>128</v>
      </c>
      <c r="B131" s="48" t="s">
        <v>289</v>
      </c>
      <c r="C131" s="51" t="s">
        <v>290</v>
      </c>
      <c r="D131" s="50">
        <v>265.59</v>
      </c>
      <c r="E131" s="101">
        <v>245.66115</v>
      </c>
      <c r="F131" s="50"/>
      <c r="G131" s="101"/>
      <c r="H131" s="112"/>
      <c r="I131" s="101">
        <v>19.12</v>
      </c>
      <c r="J131" s="112"/>
      <c r="K131" s="101">
        <v>33.75</v>
      </c>
      <c r="L131" s="101">
        <v>345.54</v>
      </c>
      <c r="M131" s="101">
        <v>26.32</v>
      </c>
      <c r="N131" s="101">
        <v>50</v>
      </c>
      <c r="O131" s="101">
        <v>94.194592</v>
      </c>
      <c r="P131" s="112"/>
      <c r="Q131" s="101">
        <v>85.05</v>
      </c>
      <c r="R131" s="112"/>
      <c r="S131" s="101">
        <v>126.78</v>
      </c>
      <c r="T131" s="101">
        <v>58.6</v>
      </c>
      <c r="U131" s="236">
        <v>198.3</v>
      </c>
      <c r="V131" s="101">
        <v>35.02</v>
      </c>
      <c r="W131" s="236">
        <v>200</v>
      </c>
      <c r="X131" s="101">
        <v>100.83</v>
      </c>
      <c r="Y131" s="112"/>
      <c r="Z131" s="101">
        <v>164.9</v>
      </c>
      <c r="AA131" s="236"/>
      <c r="AB131" s="81">
        <v>233.98</v>
      </c>
      <c r="AC131" s="112"/>
      <c r="AD131" s="185">
        <f t="shared" si="9"/>
        <v>1224.205742</v>
      </c>
      <c r="AE131" s="185">
        <f t="shared" si="10"/>
        <v>793.84</v>
      </c>
      <c r="AF131" s="185">
        <f t="shared" si="11"/>
        <v>-164.775742</v>
      </c>
      <c r="AG131" s="11"/>
    </row>
    <row r="132" s="4" customFormat="1" ht="35" customHeight="1" spans="1:33">
      <c r="A132" s="48">
        <v>129</v>
      </c>
      <c r="B132" s="48" t="s">
        <v>291</v>
      </c>
      <c r="C132" s="51" t="s">
        <v>292</v>
      </c>
      <c r="D132" s="50">
        <v>-1226.39</v>
      </c>
      <c r="E132" s="101">
        <v>245.089845</v>
      </c>
      <c r="F132" s="50"/>
      <c r="G132" s="101"/>
      <c r="H132" s="112"/>
      <c r="I132" s="101">
        <v>202.2</v>
      </c>
      <c r="J132" s="112"/>
      <c r="K132" s="101">
        <v>154.14</v>
      </c>
      <c r="L132" s="101">
        <v>0</v>
      </c>
      <c r="M132" s="101">
        <v>154.36</v>
      </c>
      <c r="N132" s="101">
        <v>1900</v>
      </c>
      <c r="O132" s="101">
        <v>216.072992</v>
      </c>
      <c r="P132" s="112"/>
      <c r="Q132" s="101">
        <v>228.27</v>
      </c>
      <c r="R132" s="112"/>
      <c r="S132" s="101">
        <v>254.64</v>
      </c>
      <c r="T132" s="101">
        <v>294.19</v>
      </c>
      <c r="U132" s="236">
        <v>598.3</v>
      </c>
      <c r="V132" s="101">
        <v>308.9</v>
      </c>
      <c r="W132" s="112"/>
      <c r="X132" s="101">
        <v>124.77</v>
      </c>
      <c r="Y132" s="112"/>
      <c r="Z132" s="101">
        <v>203.63</v>
      </c>
      <c r="AA132" s="236">
        <v>1000</v>
      </c>
      <c r="AB132" s="81">
        <v>200.26</v>
      </c>
      <c r="AC132" s="112"/>
      <c r="AD132" s="185">
        <f t="shared" si="9"/>
        <v>2586.522837</v>
      </c>
      <c r="AE132" s="185">
        <f t="shared" si="10"/>
        <v>3498.3</v>
      </c>
      <c r="AF132" s="185">
        <f t="shared" si="11"/>
        <v>-314.612837000001</v>
      </c>
      <c r="AG132" s="11"/>
    </row>
    <row r="133" s="4" customFormat="1" ht="35" customHeight="1" spans="1:33">
      <c r="A133" s="48">
        <v>130</v>
      </c>
      <c r="B133" s="108"/>
      <c r="C133" s="108" t="s">
        <v>3</v>
      </c>
      <c r="D133" s="112">
        <f>SUM(D4:D132)</f>
        <v>68045.036</v>
      </c>
      <c r="E133" s="112">
        <f>SUM(E4:E132)</f>
        <v>21669.22768</v>
      </c>
      <c r="F133" s="112">
        <f t="shared" ref="F133:AG133" si="12">SUM(F4:F132)</f>
        <v>14203.15</v>
      </c>
      <c r="G133" s="112">
        <f t="shared" si="12"/>
        <v>0</v>
      </c>
      <c r="H133" s="112">
        <f t="shared" si="12"/>
        <v>12522.04</v>
      </c>
      <c r="I133" s="112">
        <f t="shared" si="12"/>
        <v>23326.22</v>
      </c>
      <c r="J133" s="112">
        <f t="shared" si="12"/>
        <v>17981.77</v>
      </c>
      <c r="K133" s="112">
        <f t="shared" si="12"/>
        <v>18822.48</v>
      </c>
      <c r="L133" s="112">
        <f t="shared" si="12"/>
        <v>16764.01</v>
      </c>
      <c r="M133" s="112">
        <f t="shared" si="12"/>
        <v>17076.85</v>
      </c>
      <c r="N133" s="112">
        <f t="shared" si="12"/>
        <v>17151.76</v>
      </c>
      <c r="O133" s="112">
        <f t="shared" si="12"/>
        <v>19824.517429</v>
      </c>
      <c r="P133" s="112">
        <f t="shared" si="12"/>
        <v>3263.45</v>
      </c>
      <c r="Q133" s="112">
        <f t="shared" si="12"/>
        <v>19307.44</v>
      </c>
      <c r="R133" s="112">
        <f t="shared" si="12"/>
        <v>15688.015575</v>
      </c>
      <c r="S133" s="112">
        <f t="shared" si="12"/>
        <v>22710.81</v>
      </c>
      <c r="T133" s="112">
        <f t="shared" si="12"/>
        <v>23645.07</v>
      </c>
      <c r="U133" s="112">
        <f t="shared" si="12"/>
        <v>18889.07</v>
      </c>
      <c r="V133" s="112">
        <f t="shared" si="12"/>
        <v>21892.55</v>
      </c>
      <c r="W133" s="112">
        <f t="shared" si="12"/>
        <v>35480.18</v>
      </c>
      <c r="X133" s="112">
        <f t="shared" si="12"/>
        <v>14873.49</v>
      </c>
      <c r="Y133" s="112">
        <f t="shared" si="12"/>
        <v>22991.22</v>
      </c>
      <c r="Z133" s="112">
        <f t="shared" si="12"/>
        <v>14454.57</v>
      </c>
      <c r="AA133" s="112">
        <f t="shared" si="12"/>
        <v>14592.05</v>
      </c>
      <c r="AB133" s="112">
        <f t="shared" si="12"/>
        <v>17820.31</v>
      </c>
      <c r="AC133" s="112">
        <f t="shared" si="12"/>
        <v>14592.7</v>
      </c>
      <c r="AD133" s="112">
        <f t="shared" si="12"/>
        <v>235423.535109</v>
      </c>
      <c r="AE133" s="112">
        <f t="shared" si="12"/>
        <v>204119.415575</v>
      </c>
      <c r="AF133" s="112">
        <f t="shared" si="12"/>
        <v>36740.916466</v>
      </c>
      <c r="AG133" s="11"/>
    </row>
  </sheetData>
  <sheetProtection password="DE10" sheet="1" objects="1"/>
  <mergeCells count="4">
    <mergeCell ref="A1:AC1"/>
    <mergeCell ref="A2:D2"/>
    <mergeCell ref="AA2:AC2"/>
    <mergeCell ref="AD2:AE2"/>
  </mergeCells>
  <conditionalFormatting sqref="C4:C67">
    <cfRule type="cellIs" dxfId="0" priority="6" operator="equal">
      <formula>0</formula>
    </cfRule>
    <cfRule type="duplicateValues" dxfId="1" priority="5"/>
  </conditionalFormatting>
  <conditionalFormatting sqref="C70:C132">
    <cfRule type="cellIs" dxfId="0" priority="4" operator="equal">
      <formula>0</formula>
    </cfRule>
  </conditionalFormatting>
  <conditionalFormatting sqref="AB70:AB132">
    <cfRule type="cellIs" dxfId="0" priority="3" operator="equal">
      <formula>0</formula>
    </cfRule>
  </conditionalFormatting>
  <pageMargins left="0.393055555555556" right="0.393055555555556" top="0.393055555555556" bottom="0.393055555555556" header="0.5" footer="0.5"/>
  <pageSetup paperSize="9" scale="38" fitToHeight="0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133"/>
  <sheetViews>
    <sheetView workbookViewId="0">
      <selection activeCell="AA3" sqref="AA3"/>
    </sheetView>
  </sheetViews>
  <sheetFormatPr defaultColWidth="9" defaultRowHeight="13.5"/>
  <cols>
    <col min="1" max="1" width="5.875" style="11" customWidth="1"/>
    <col min="2" max="2" width="9" style="11"/>
    <col min="3" max="3" width="11" style="11" customWidth="1"/>
    <col min="4" max="4" width="13.5583333333333" style="14" customWidth="1"/>
    <col min="5" max="5" width="12.8833333333333" style="11" customWidth="1"/>
    <col min="6" max="28" width="9" style="11"/>
    <col min="29" max="29" width="14.3333333333333" style="14"/>
    <col min="30" max="30" width="11.8916666666667" style="14"/>
    <col min="31" max="31" width="15.4416666666667" style="14" customWidth="1"/>
    <col min="32" max="34" width="9" style="11"/>
  </cols>
  <sheetData>
    <row r="1" s="1" customFormat="1" ht="35" customHeight="1" spans="1:34">
      <c r="A1" s="43" t="s">
        <v>316</v>
      </c>
      <c r="B1" s="43"/>
      <c r="C1" s="43"/>
      <c r="D1" s="44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14"/>
      <c r="AD1" s="14"/>
      <c r="AE1" s="14"/>
      <c r="AF1" s="11"/>
      <c r="AG1" s="11"/>
      <c r="AH1" s="11"/>
    </row>
    <row r="2" s="2" customFormat="1" ht="35" customHeight="1" spans="1:34">
      <c r="A2" s="45" t="s">
        <v>1</v>
      </c>
      <c r="B2" s="45"/>
      <c r="C2" s="45"/>
      <c r="D2" s="46"/>
      <c r="E2" s="72"/>
      <c r="F2" s="72"/>
      <c r="G2" s="7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74" t="s">
        <v>2</v>
      </c>
      <c r="AA2" s="174"/>
      <c r="AB2" s="174"/>
      <c r="AC2" s="14"/>
      <c r="AD2" s="14"/>
      <c r="AE2" s="14"/>
      <c r="AF2" s="11"/>
      <c r="AG2" s="11"/>
      <c r="AH2" s="11"/>
    </row>
    <row r="3" s="6" customFormat="1" ht="48" customHeight="1" spans="1:34">
      <c r="A3" s="48" t="s">
        <v>6</v>
      </c>
      <c r="B3" s="48" t="s">
        <v>7</v>
      </c>
      <c r="C3" s="48" t="s">
        <v>8</v>
      </c>
      <c r="D3" s="49" t="s">
        <v>9</v>
      </c>
      <c r="E3" s="209" t="s">
        <v>317</v>
      </c>
      <c r="F3" s="64" t="s">
        <v>11</v>
      </c>
      <c r="G3" s="64" t="s">
        <v>12</v>
      </c>
      <c r="H3" s="64" t="s">
        <v>13</v>
      </c>
      <c r="I3" s="64" t="s">
        <v>14</v>
      </c>
      <c r="J3" s="64" t="s">
        <v>15</v>
      </c>
      <c r="K3" s="64" t="s">
        <v>16</v>
      </c>
      <c r="L3" s="64" t="s">
        <v>17</v>
      </c>
      <c r="M3" s="64" t="s">
        <v>18</v>
      </c>
      <c r="N3" s="64" t="s">
        <v>19</v>
      </c>
      <c r="O3" s="64" t="s">
        <v>20</v>
      </c>
      <c r="P3" s="64" t="s">
        <v>21</v>
      </c>
      <c r="Q3" s="64" t="s">
        <v>22</v>
      </c>
      <c r="R3" s="64" t="s">
        <v>23</v>
      </c>
      <c r="S3" s="64" t="s">
        <v>24</v>
      </c>
      <c r="T3" s="64" t="s">
        <v>25</v>
      </c>
      <c r="U3" s="64" t="s">
        <v>26</v>
      </c>
      <c r="V3" s="64" t="s">
        <v>27</v>
      </c>
      <c r="W3" s="64" t="s">
        <v>28</v>
      </c>
      <c r="X3" s="64" t="s">
        <v>29</v>
      </c>
      <c r="Y3" s="64" t="s">
        <v>30</v>
      </c>
      <c r="Z3" s="64" t="s">
        <v>31</v>
      </c>
      <c r="AA3" s="209" t="s">
        <v>318</v>
      </c>
      <c r="AB3" s="64" t="s">
        <v>33</v>
      </c>
      <c r="AC3" s="50" t="s">
        <v>32</v>
      </c>
      <c r="AD3" s="50" t="s">
        <v>314</v>
      </c>
      <c r="AE3" s="228" t="s">
        <v>36</v>
      </c>
      <c r="AF3" s="215"/>
      <c r="AG3" s="215"/>
      <c r="AH3" s="215"/>
    </row>
    <row r="4" s="7" customFormat="1" ht="35" customHeight="1" spans="1:34">
      <c r="A4" s="224">
        <v>1</v>
      </c>
      <c r="B4" s="224" t="s">
        <v>37</v>
      </c>
      <c r="C4" s="51" t="s">
        <v>38</v>
      </c>
      <c r="D4" s="112">
        <v>340.402069</v>
      </c>
      <c r="E4" s="225">
        <v>43.69123</v>
      </c>
      <c r="F4" s="226"/>
      <c r="G4" s="226">
        <v>63.4</v>
      </c>
      <c r="H4" s="227">
        <v>43.69</v>
      </c>
      <c r="I4" s="227">
        <v>65.26</v>
      </c>
      <c r="J4" s="227">
        <v>128.66</v>
      </c>
      <c r="K4" s="227">
        <v>48.34</v>
      </c>
      <c r="L4" s="227">
        <v>0</v>
      </c>
      <c r="M4" s="227">
        <v>35.35</v>
      </c>
      <c r="N4" s="227">
        <v>83.69</v>
      </c>
      <c r="O4" s="227">
        <v>66.76</v>
      </c>
      <c r="P4" s="227">
        <v>66.76</v>
      </c>
      <c r="Q4" s="227">
        <v>65.58</v>
      </c>
      <c r="R4" s="227">
        <v>0</v>
      </c>
      <c r="S4" s="227">
        <v>78.43</v>
      </c>
      <c r="T4" s="227">
        <v>144.01</v>
      </c>
      <c r="U4" s="227">
        <v>127.1</v>
      </c>
      <c r="V4" s="227">
        <v>0</v>
      </c>
      <c r="W4" s="227"/>
      <c r="X4" s="227">
        <v>127.1</v>
      </c>
      <c r="Y4" s="227">
        <v>100.84</v>
      </c>
      <c r="Z4" s="227">
        <v>0</v>
      </c>
      <c r="AA4" s="227">
        <v>54.57</v>
      </c>
      <c r="AB4" s="227">
        <v>245.14</v>
      </c>
      <c r="AC4" s="229">
        <f>E4+G4+I4+K4+M4+O4+Q4+S4+U4+W4+Y4+AA4</f>
        <v>749.32123</v>
      </c>
      <c r="AD4" s="229">
        <f>F4+H4+J4+L4+N4+P4+R4+T4+V4+X4+Z4+AB4</f>
        <v>839.05</v>
      </c>
      <c r="AE4" s="101">
        <f>D4+AD4-AC4</f>
        <v>430.130839</v>
      </c>
      <c r="AF4" s="222"/>
      <c r="AG4" s="222"/>
      <c r="AH4" s="222"/>
    </row>
    <row r="5" s="7" customFormat="1" ht="35" customHeight="1" spans="1:34">
      <c r="A5" s="224">
        <v>2</v>
      </c>
      <c r="B5" s="224" t="s">
        <v>39</v>
      </c>
      <c r="C5" s="51" t="s">
        <v>40</v>
      </c>
      <c r="D5" s="112">
        <v>225.391334</v>
      </c>
      <c r="E5" s="225">
        <v>137.27643</v>
      </c>
      <c r="F5" s="226">
        <v>137.28</v>
      </c>
      <c r="G5" s="226">
        <v>210.85</v>
      </c>
      <c r="H5" s="227"/>
      <c r="I5" s="227">
        <v>99.11</v>
      </c>
      <c r="J5" s="227">
        <v>310.7</v>
      </c>
      <c r="K5" s="227">
        <v>79.26</v>
      </c>
      <c r="L5" s="227">
        <v>79.26</v>
      </c>
      <c r="M5" s="227">
        <v>68.51</v>
      </c>
      <c r="N5" s="227">
        <v>68.51</v>
      </c>
      <c r="O5" s="227">
        <v>73.29</v>
      </c>
      <c r="P5" s="227">
        <v>73.29</v>
      </c>
      <c r="Q5" s="227">
        <v>64.48</v>
      </c>
      <c r="R5" s="227">
        <v>64.48</v>
      </c>
      <c r="S5" s="227">
        <v>151.7</v>
      </c>
      <c r="T5" s="227">
        <v>151.7</v>
      </c>
      <c r="U5" s="227">
        <v>125.99</v>
      </c>
      <c r="V5" s="227">
        <v>125.99</v>
      </c>
      <c r="W5" s="227"/>
      <c r="X5" s="227">
        <v>0</v>
      </c>
      <c r="Y5" s="227">
        <v>180.12</v>
      </c>
      <c r="Z5" s="227">
        <v>180.12</v>
      </c>
      <c r="AA5" s="227">
        <v>72.49</v>
      </c>
      <c r="AB5" s="227">
        <v>72.49</v>
      </c>
      <c r="AC5" s="229">
        <f t="shared" ref="AC5:AC36" si="0">E5+G5+I5+K5+M5+O5+Q5+S5+U5+W5+Y5+AA5</f>
        <v>1263.07643</v>
      </c>
      <c r="AD5" s="229">
        <f t="shared" ref="AD5:AD36" si="1">F5+H5+J5+L5+N5+P5+R5+T5+V5+X5+Z5+AB5</f>
        <v>1263.82</v>
      </c>
      <c r="AE5" s="101">
        <f t="shared" ref="AE5:AE36" si="2">D5+AD5-AC5</f>
        <v>226.134904</v>
      </c>
      <c r="AF5" s="222"/>
      <c r="AG5" s="222"/>
      <c r="AH5" s="222"/>
    </row>
    <row r="6" s="7" customFormat="1" ht="35" customHeight="1" spans="1:34">
      <c r="A6" s="224">
        <v>3</v>
      </c>
      <c r="B6" s="224" t="s">
        <v>41</v>
      </c>
      <c r="C6" s="51" t="s">
        <v>42</v>
      </c>
      <c r="D6" s="112">
        <v>236.2499</v>
      </c>
      <c r="E6" s="225">
        <v>142.71743</v>
      </c>
      <c r="F6" s="226">
        <v>352.82</v>
      </c>
      <c r="G6" s="226">
        <v>220.1</v>
      </c>
      <c r="H6" s="227"/>
      <c r="I6" s="227">
        <v>44.17</v>
      </c>
      <c r="J6" s="227">
        <v>-5.83</v>
      </c>
      <c r="K6" s="227">
        <v>11.89</v>
      </c>
      <c r="L6" s="227">
        <v>11.89</v>
      </c>
      <c r="M6" s="227">
        <v>10.19</v>
      </c>
      <c r="N6" s="227">
        <v>10.19</v>
      </c>
      <c r="O6" s="227">
        <v>11.81</v>
      </c>
      <c r="P6" s="227">
        <v>11.81</v>
      </c>
      <c r="Q6" s="227">
        <v>10.91</v>
      </c>
      <c r="R6" s="227">
        <v>10.91</v>
      </c>
      <c r="S6" s="227">
        <v>81.16</v>
      </c>
      <c r="T6" s="227">
        <v>0</v>
      </c>
      <c r="U6" s="227">
        <v>18.11</v>
      </c>
      <c r="V6" s="227">
        <v>99.27</v>
      </c>
      <c r="W6" s="227"/>
      <c r="X6" s="227">
        <v>0</v>
      </c>
      <c r="Y6" s="227">
        <v>20.45</v>
      </c>
      <c r="Z6" s="227">
        <v>20.45</v>
      </c>
      <c r="AA6" s="227">
        <v>9.78</v>
      </c>
      <c r="AB6" s="227">
        <v>9.77999999999999</v>
      </c>
      <c r="AC6" s="229">
        <f t="shared" si="0"/>
        <v>581.28743</v>
      </c>
      <c r="AD6" s="229">
        <f t="shared" si="1"/>
        <v>521.29</v>
      </c>
      <c r="AE6" s="101">
        <f t="shared" si="2"/>
        <v>176.25247</v>
      </c>
      <c r="AF6" s="222"/>
      <c r="AG6" s="222"/>
      <c r="AH6" s="222"/>
    </row>
    <row r="7" s="7" customFormat="1" ht="35" customHeight="1" spans="1:34">
      <c r="A7" s="224">
        <v>4</v>
      </c>
      <c r="B7" s="224" t="s">
        <v>43</v>
      </c>
      <c r="C7" s="51" t="s">
        <v>44</v>
      </c>
      <c r="D7" s="112">
        <v>212.9587</v>
      </c>
      <c r="E7" s="225">
        <v>171.01063</v>
      </c>
      <c r="F7" s="226">
        <v>171.01</v>
      </c>
      <c r="G7" s="226">
        <v>176.03</v>
      </c>
      <c r="H7" s="227"/>
      <c r="I7" s="227">
        <v>98.56</v>
      </c>
      <c r="J7" s="227">
        <v>274.59</v>
      </c>
      <c r="K7" s="227">
        <v>91.97</v>
      </c>
      <c r="L7" s="227">
        <v>91.97</v>
      </c>
      <c r="M7" s="227">
        <v>82.24</v>
      </c>
      <c r="N7" s="227">
        <v>82.24</v>
      </c>
      <c r="O7" s="227">
        <v>112.47</v>
      </c>
      <c r="P7" s="227">
        <v>112.47</v>
      </c>
      <c r="Q7" s="227">
        <v>120.26</v>
      </c>
      <c r="R7" s="227">
        <v>120.26</v>
      </c>
      <c r="S7" s="227">
        <v>133.11</v>
      </c>
      <c r="T7" s="227">
        <v>133.11</v>
      </c>
      <c r="U7" s="227">
        <v>156.02</v>
      </c>
      <c r="V7" s="227">
        <v>156.02</v>
      </c>
      <c r="W7" s="227"/>
      <c r="X7" s="227">
        <v>2400</v>
      </c>
      <c r="Y7" s="227">
        <v>268.28</v>
      </c>
      <c r="Z7" s="227">
        <v>268.28</v>
      </c>
      <c r="AA7" s="227">
        <v>129.04</v>
      </c>
      <c r="AB7" s="227">
        <v>0</v>
      </c>
      <c r="AC7" s="229">
        <f t="shared" si="0"/>
        <v>1538.99063</v>
      </c>
      <c r="AD7" s="229">
        <f t="shared" si="1"/>
        <v>3809.95</v>
      </c>
      <c r="AE7" s="101">
        <f t="shared" si="2"/>
        <v>2483.91807</v>
      </c>
      <c r="AF7" s="222"/>
      <c r="AG7" s="222"/>
      <c r="AH7" s="222"/>
    </row>
    <row r="8" s="7" customFormat="1" ht="35" customHeight="1" spans="1:34">
      <c r="A8" s="224">
        <v>5</v>
      </c>
      <c r="B8" s="224" t="s">
        <v>45</v>
      </c>
      <c r="C8" s="51" t="s">
        <v>46</v>
      </c>
      <c r="D8" s="112">
        <v>252.2438</v>
      </c>
      <c r="E8" s="225">
        <v>94.83663</v>
      </c>
      <c r="F8" s="226">
        <v>179.39</v>
      </c>
      <c r="G8" s="226">
        <v>227.72</v>
      </c>
      <c r="H8" s="227"/>
      <c r="I8" s="227">
        <v>149.62</v>
      </c>
      <c r="J8" s="227">
        <v>643.17</v>
      </c>
      <c r="K8" s="227">
        <v>127.86</v>
      </c>
      <c r="L8" s="227">
        <v>0</v>
      </c>
      <c r="M8" s="227">
        <v>125.13</v>
      </c>
      <c r="N8" s="227">
        <v>0</v>
      </c>
      <c r="O8" s="227">
        <v>146.74</v>
      </c>
      <c r="P8" s="227">
        <v>49.35</v>
      </c>
      <c r="Q8" s="227">
        <v>157.26</v>
      </c>
      <c r="R8" s="227">
        <v>0</v>
      </c>
      <c r="S8" s="227">
        <v>183.96</v>
      </c>
      <c r="T8" s="227">
        <v>341.22</v>
      </c>
      <c r="U8" s="227">
        <v>188.27</v>
      </c>
      <c r="V8" s="227">
        <v>0</v>
      </c>
      <c r="W8" s="227"/>
      <c r="X8" s="227">
        <v>0</v>
      </c>
      <c r="Y8" s="227">
        <v>292.67</v>
      </c>
      <c r="Z8" s="227">
        <v>480.94</v>
      </c>
      <c r="AA8" s="227">
        <v>113.92</v>
      </c>
      <c r="AB8" s="227">
        <v>0</v>
      </c>
      <c r="AC8" s="229">
        <f t="shared" si="0"/>
        <v>1807.98663</v>
      </c>
      <c r="AD8" s="229">
        <f t="shared" si="1"/>
        <v>1694.07</v>
      </c>
      <c r="AE8" s="101">
        <f t="shared" si="2"/>
        <v>138.32717</v>
      </c>
      <c r="AF8" s="222"/>
      <c r="AG8" s="222"/>
      <c r="AH8" s="222"/>
    </row>
    <row r="9" s="7" customFormat="1" ht="35" customHeight="1" spans="1:34">
      <c r="A9" s="224">
        <v>6</v>
      </c>
      <c r="B9" s="224" t="s">
        <v>47</v>
      </c>
      <c r="C9" s="51" t="s">
        <v>48</v>
      </c>
      <c r="D9" s="112">
        <v>356.6834</v>
      </c>
      <c r="E9" s="225">
        <v>93.74843</v>
      </c>
      <c r="F9" s="226">
        <v>93.75</v>
      </c>
      <c r="G9" s="226">
        <v>116.18</v>
      </c>
      <c r="H9" s="227"/>
      <c r="I9" s="227">
        <v>43.62</v>
      </c>
      <c r="J9" s="227">
        <v>159.8</v>
      </c>
      <c r="K9" s="227">
        <v>14.65</v>
      </c>
      <c r="L9" s="227">
        <v>14.65</v>
      </c>
      <c r="M9" s="227">
        <v>11.33</v>
      </c>
      <c r="N9" s="227">
        <v>11.33</v>
      </c>
      <c r="O9" s="227">
        <v>17.79</v>
      </c>
      <c r="P9" s="227">
        <v>17.79</v>
      </c>
      <c r="Q9" s="227">
        <v>74.97</v>
      </c>
      <c r="R9" s="227">
        <v>74.97</v>
      </c>
      <c r="S9" s="227">
        <v>88.82</v>
      </c>
      <c r="T9" s="227">
        <v>88.82</v>
      </c>
      <c r="U9" s="227">
        <v>101.52</v>
      </c>
      <c r="V9" s="227">
        <v>101.52</v>
      </c>
      <c r="W9" s="227"/>
      <c r="X9" s="227">
        <v>0</v>
      </c>
      <c r="Y9" s="227">
        <v>47.06</v>
      </c>
      <c r="Z9" s="227">
        <v>47.06</v>
      </c>
      <c r="AA9" s="227">
        <v>9.78</v>
      </c>
      <c r="AB9" s="227">
        <v>9.77999999999999</v>
      </c>
      <c r="AC9" s="229">
        <f t="shared" si="0"/>
        <v>619.46843</v>
      </c>
      <c r="AD9" s="229">
        <f t="shared" si="1"/>
        <v>619.47</v>
      </c>
      <c r="AE9" s="101">
        <f t="shared" si="2"/>
        <v>356.68497</v>
      </c>
      <c r="AF9" s="222"/>
      <c r="AG9" s="222"/>
      <c r="AH9" s="222"/>
    </row>
    <row r="10" s="7" customFormat="1" ht="35" customHeight="1" spans="1:34">
      <c r="A10" s="224">
        <v>7</v>
      </c>
      <c r="B10" s="224" t="s">
        <v>49</v>
      </c>
      <c r="C10" s="51" t="s">
        <v>50</v>
      </c>
      <c r="D10" s="112">
        <v>552.866754</v>
      </c>
      <c r="E10" s="225">
        <v>210.18583</v>
      </c>
      <c r="F10" s="226">
        <v>210.19</v>
      </c>
      <c r="G10" s="226">
        <v>215.75</v>
      </c>
      <c r="H10" s="227"/>
      <c r="I10" s="227">
        <v>135.74</v>
      </c>
      <c r="J10" s="227">
        <v>166.97</v>
      </c>
      <c r="K10" s="227">
        <v>128.97</v>
      </c>
      <c r="L10" s="227">
        <v>0</v>
      </c>
      <c r="M10" s="227">
        <v>121.12</v>
      </c>
      <c r="N10" s="227">
        <v>114.35</v>
      </c>
      <c r="O10" s="227">
        <v>156.54</v>
      </c>
      <c r="P10" s="227">
        <v>156.54</v>
      </c>
      <c r="Q10" s="227">
        <v>166.09</v>
      </c>
      <c r="R10" s="227">
        <v>166.1</v>
      </c>
      <c r="S10" s="227">
        <v>234.82</v>
      </c>
      <c r="T10" s="227">
        <v>234.81</v>
      </c>
      <c r="U10" s="227">
        <v>357.31</v>
      </c>
      <c r="V10" s="227">
        <v>357.31</v>
      </c>
      <c r="W10" s="227"/>
      <c r="X10" s="227">
        <v>0</v>
      </c>
      <c r="Y10" s="227">
        <v>385.82</v>
      </c>
      <c r="Z10" s="227">
        <v>385.82</v>
      </c>
      <c r="AA10" s="227">
        <v>105.52</v>
      </c>
      <c r="AB10" s="227">
        <v>105.52</v>
      </c>
      <c r="AC10" s="229">
        <f t="shared" si="0"/>
        <v>2217.86583</v>
      </c>
      <c r="AD10" s="229">
        <f t="shared" si="1"/>
        <v>1897.61</v>
      </c>
      <c r="AE10" s="101">
        <f t="shared" si="2"/>
        <v>232.610924000001</v>
      </c>
      <c r="AF10" s="222"/>
      <c r="AG10" s="222"/>
      <c r="AH10" s="222"/>
    </row>
    <row r="11" s="7" customFormat="1" ht="35" customHeight="1" spans="1:34">
      <c r="A11" s="224">
        <v>8</v>
      </c>
      <c r="B11" s="224" t="s">
        <v>51</v>
      </c>
      <c r="C11" s="51" t="s">
        <v>52</v>
      </c>
      <c r="D11" s="112">
        <v>236.2942</v>
      </c>
      <c r="E11" s="225">
        <v>232.49393</v>
      </c>
      <c r="F11" s="226">
        <v>232.49</v>
      </c>
      <c r="G11" s="226">
        <v>215.2</v>
      </c>
      <c r="H11" s="227"/>
      <c r="I11" s="227">
        <v>205.67</v>
      </c>
      <c r="J11" s="227">
        <v>420.87</v>
      </c>
      <c r="K11" s="227">
        <v>233.9</v>
      </c>
      <c r="L11" s="227">
        <v>233.9</v>
      </c>
      <c r="M11" s="227">
        <v>146.29</v>
      </c>
      <c r="N11" s="227">
        <v>146.29</v>
      </c>
      <c r="O11" s="227">
        <v>146.2</v>
      </c>
      <c r="P11" s="227">
        <v>146.2</v>
      </c>
      <c r="Q11" s="227">
        <v>193.71</v>
      </c>
      <c r="R11" s="227">
        <v>193.71</v>
      </c>
      <c r="S11" s="227">
        <v>252.86</v>
      </c>
      <c r="T11" s="227">
        <v>252.86</v>
      </c>
      <c r="U11" s="227">
        <v>162.13</v>
      </c>
      <c r="V11" s="227">
        <v>162.13</v>
      </c>
      <c r="W11" s="227"/>
      <c r="X11" s="227">
        <v>0</v>
      </c>
      <c r="Y11" s="227">
        <v>454.02</v>
      </c>
      <c r="Z11" s="227">
        <v>454.02</v>
      </c>
      <c r="AA11" s="227">
        <v>245.49</v>
      </c>
      <c r="AB11" s="227">
        <v>245.49</v>
      </c>
      <c r="AC11" s="229">
        <f t="shared" si="0"/>
        <v>2487.96393</v>
      </c>
      <c r="AD11" s="229">
        <f t="shared" si="1"/>
        <v>2487.96</v>
      </c>
      <c r="AE11" s="101">
        <f t="shared" si="2"/>
        <v>236.29027</v>
      </c>
      <c r="AF11" s="222"/>
      <c r="AG11" s="222"/>
      <c r="AH11" s="222"/>
    </row>
    <row r="12" s="7" customFormat="1" ht="35" customHeight="1" spans="1:34">
      <c r="A12" s="224">
        <v>9</v>
      </c>
      <c r="B12" s="224" t="s">
        <v>53</v>
      </c>
      <c r="C12" s="51" t="s">
        <v>54</v>
      </c>
      <c r="D12" s="112">
        <v>139.818643999999</v>
      </c>
      <c r="E12" s="225">
        <v>273.30143</v>
      </c>
      <c r="F12" s="226"/>
      <c r="G12" s="226">
        <v>266.89</v>
      </c>
      <c r="H12" s="227"/>
      <c r="I12" s="227">
        <v>193.46</v>
      </c>
      <c r="J12" s="227">
        <v>183.69</v>
      </c>
      <c r="K12" s="227">
        <v>162.66</v>
      </c>
      <c r="L12" s="227">
        <v>1000</v>
      </c>
      <c r="M12" s="227">
        <v>129.7</v>
      </c>
      <c r="N12" s="227">
        <v>0</v>
      </c>
      <c r="O12" s="227">
        <v>102.13</v>
      </c>
      <c r="P12" s="227">
        <v>0</v>
      </c>
      <c r="Q12" s="227">
        <v>61.72</v>
      </c>
      <c r="R12" s="227">
        <v>0</v>
      </c>
      <c r="S12" s="227">
        <v>200.91</v>
      </c>
      <c r="T12" s="227">
        <v>0</v>
      </c>
      <c r="U12" s="227">
        <v>283.91</v>
      </c>
      <c r="V12" s="227">
        <v>0</v>
      </c>
      <c r="W12" s="227"/>
      <c r="X12" s="227">
        <v>0</v>
      </c>
      <c r="Y12" s="227">
        <v>320.4</v>
      </c>
      <c r="Z12" s="227">
        <v>0</v>
      </c>
      <c r="AA12" s="227">
        <v>169.35</v>
      </c>
      <c r="AB12" s="227">
        <v>681.64</v>
      </c>
      <c r="AC12" s="229">
        <f t="shared" si="0"/>
        <v>2164.43143</v>
      </c>
      <c r="AD12" s="229">
        <f t="shared" si="1"/>
        <v>1865.33</v>
      </c>
      <c r="AE12" s="101">
        <f t="shared" si="2"/>
        <v>-159.282786000001</v>
      </c>
      <c r="AF12" s="222"/>
      <c r="AG12" s="222"/>
      <c r="AH12" s="222"/>
    </row>
    <row r="13" s="7" customFormat="1" ht="35" customHeight="1" spans="1:34">
      <c r="A13" s="224">
        <v>10</v>
      </c>
      <c r="B13" s="224" t="s">
        <v>55</v>
      </c>
      <c r="C13" s="51" t="s">
        <v>56</v>
      </c>
      <c r="D13" s="112">
        <v>222.4</v>
      </c>
      <c r="E13" s="225">
        <v>14.30983</v>
      </c>
      <c r="F13" s="226"/>
      <c r="G13" s="226">
        <v>14.97</v>
      </c>
      <c r="H13" s="227"/>
      <c r="I13" s="227">
        <v>10.87</v>
      </c>
      <c r="J13" s="227">
        <v>0</v>
      </c>
      <c r="K13" s="227">
        <v>11.89</v>
      </c>
      <c r="L13" s="227">
        <v>0</v>
      </c>
      <c r="M13" s="227">
        <v>10.76</v>
      </c>
      <c r="N13" s="227">
        <v>0</v>
      </c>
      <c r="O13" s="227">
        <v>11.81</v>
      </c>
      <c r="P13" s="227">
        <v>0</v>
      </c>
      <c r="Q13" s="227">
        <v>10.91</v>
      </c>
      <c r="R13" s="227">
        <v>0</v>
      </c>
      <c r="S13" s="227">
        <v>11.71</v>
      </c>
      <c r="T13" s="227">
        <v>0</v>
      </c>
      <c r="U13" s="227">
        <v>11.44</v>
      </c>
      <c r="V13" s="227">
        <v>0</v>
      </c>
      <c r="W13" s="227"/>
      <c r="X13" s="227">
        <v>0</v>
      </c>
      <c r="Y13" s="227">
        <v>20.45</v>
      </c>
      <c r="Z13" s="227">
        <v>0</v>
      </c>
      <c r="AA13" s="227">
        <v>9.78</v>
      </c>
      <c r="AB13" s="227">
        <v>31.4</v>
      </c>
      <c r="AC13" s="229">
        <f t="shared" si="0"/>
        <v>138.89983</v>
      </c>
      <c r="AD13" s="229">
        <f t="shared" si="1"/>
        <v>31.4</v>
      </c>
      <c r="AE13" s="101">
        <f t="shared" si="2"/>
        <v>114.90017</v>
      </c>
      <c r="AF13" s="222"/>
      <c r="AG13" s="222"/>
      <c r="AH13" s="222"/>
    </row>
    <row r="14" s="7" customFormat="1" ht="35" customHeight="1" spans="1:34">
      <c r="A14" s="224">
        <v>11</v>
      </c>
      <c r="B14" s="224" t="s">
        <v>57</v>
      </c>
      <c r="C14" s="51" t="s">
        <v>58</v>
      </c>
      <c r="D14" s="112">
        <v>300</v>
      </c>
      <c r="E14" s="225">
        <v>0</v>
      </c>
      <c r="F14" s="226"/>
      <c r="G14" s="226">
        <v>14.97</v>
      </c>
      <c r="H14" s="227"/>
      <c r="I14" s="227">
        <v>10.32</v>
      </c>
      <c r="J14" s="227">
        <v>0</v>
      </c>
      <c r="K14" s="227">
        <v>17.41</v>
      </c>
      <c r="L14" s="227">
        <v>0</v>
      </c>
      <c r="M14" s="227">
        <v>11.9</v>
      </c>
      <c r="N14" s="227">
        <v>0</v>
      </c>
      <c r="O14" s="227">
        <v>16.7</v>
      </c>
      <c r="P14" s="227">
        <v>0</v>
      </c>
      <c r="Q14" s="227">
        <v>13.67</v>
      </c>
      <c r="R14" s="227">
        <v>0</v>
      </c>
      <c r="S14" s="227">
        <v>11.71</v>
      </c>
      <c r="T14" s="227">
        <v>0</v>
      </c>
      <c r="U14" s="227">
        <v>27.01</v>
      </c>
      <c r="V14" s="227">
        <v>0</v>
      </c>
      <c r="W14" s="227"/>
      <c r="X14" s="227">
        <v>0</v>
      </c>
      <c r="Y14" s="227">
        <v>43.73</v>
      </c>
      <c r="Z14" s="227">
        <v>0</v>
      </c>
      <c r="AA14" s="227">
        <v>11.46</v>
      </c>
      <c r="AB14" s="227">
        <v>0</v>
      </c>
      <c r="AC14" s="229">
        <f t="shared" si="0"/>
        <v>178.88</v>
      </c>
      <c r="AD14" s="229">
        <f t="shared" si="1"/>
        <v>0</v>
      </c>
      <c r="AE14" s="101">
        <f t="shared" si="2"/>
        <v>121.12</v>
      </c>
      <c r="AF14" s="222"/>
      <c r="AG14" s="222"/>
      <c r="AH14" s="222"/>
    </row>
    <row r="15" s="7" customFormat="1" ht="35" customHeight="1" spans="1:34">
      <c r="A15" s="224">
        <v>12</v>
      </c>
      <c r="B15" s="224" t="s">
        <v>59</v>
      </c>
      <c r="C15" s="51" t="s">
        <v>60</v>
      </c>
      <c r="D15" s="112">
        <v>102.522169000001</v>
      </c>
      <c r="E15" s="225">
        <v>327.16733</v>
      </c>
      <c r="F15" s="226">
        <v>329.07</v>
      </c>
      <c r="G15" s="226">
        <v>354.49</v>
      </c>
      <c r="H15" s="227"/>
      <c r="I15" s="227">
        <v>273.38</v>
      </c>
      <c r="J15" s="227">
        <v>882.28</v>
      </c>
      <c r="K15" s="227">
        <v>301.27</v>
      </c>
      <c r="L15" s="227">
        <v>44.96</v>
      </c>
      <c r="M15" s="227">
        <v>262.94</v>
      </c>
      <c r="N15" s="227">
        <v>262.94</v>
      </c>
      <c r="O15" s="227">
        <v>348.6</v>
      </c>
      <c r="P15" s="227">
        <v>0</v>
      </c>
      <c r="Q15" s="227">
        <v>472.05</v>
      </c>
      <c r="R15" s="227">
        <v>820.65</v>
      </c>
      <c r="S15" s="227">
        <v>518.08</v>
      </c>
      <c r="T15" s="227">
        <v>518.08</v>
      </c>
      <c r="U15" s="227">
        <v>421.26</v>
      </c>
      <c r="V15" s="227">
        <v>421.26</v>
      </c>
      <c r="W15" s="227"/>
      <c r="X15" s="227">
        <v>0</v>
      </c>
      <c r="Y15" s="227">
        <v>700.19</v>
      </c>
      <c r="Z15" s="227">
        <v>700.19</v>
      </c>
      <c r="AA15" s="227">
        <v>300.36</v>
      </c>
      <c r="AB15" s="227">
        <v>300.24</v>
      </c>
      <c r="AC15" s="229">
        <f t="shared" si="0"/>
        <v>4279.78733</v>
      </c>
      <c r="AD15" s="229">
        <f t="shared" si="1"/>
        <v>4279.67</v>
      </c>
      <c r="AE15" s="101">
        <f t="shared" si="2"/>
        <v>102.404839000002</v>
      </c>
      <c r="AF15" s="222"/>
      <c r="AG15" s="222"/>
      <c r="AH15" s="222"/>
    </row>
    <row r="16" s="7" customFormat="1" ht="35" customHeight="1" spans="1:34">
      <c r="A16" s="224">
        <v>13</v>
      </c>
      <c r="B16" s="224" t="s">
        <v>61</v>
      </c>
      <c r="C16" s="51" t="s">
        <v>62</v>
      </c>
      <c r="D16" s="112">
        <v>176.669699999999</v>
      </c>
      <c r="E16" s="225">
        <v>215.62683</v>
      </c>
      <c r="F16" s="226">
        <v>105.71</v>
      </c>
      <c r="G16" s="226">
        <v>307.7</v>
      </c>
      <c r="H16" s="227"/>
      <c r="I16" s="227">
        <v>311.12</v>
      </c>
      <c r="J16" s="227">
        <v>728.68</v>
      </c>
      <c r="K16" s="227">
        <v>211.25</v>
      </c>
      <c r="L16" s="227">
        <v>211.25</v>
      </c>
      <c r="M16" s="227">
        <v>152.58</v>
      </c>
      <c r="N16" s="227">
        <v>152.58</v>
      </c>
      <c r="O16" s="227">
        <v>178.3</v>
      </c>
      <c r="P16" s="227">
        <v>178.3</v>
      </c>
      <c r="Q16" s="227">
        <v>181.01</v>
      </c>
      <c r="R16" s="227">
        <v>181.01</v>
      </c>
      <c r="S16" s="227">
        <v>190.52</v>
      </c>
      <c r="T16" s="227">
        <v>190.52</v>
      </c>
      <c r="U16" s="227">
        <v>212.74</v>
      </c>
      <c r="V16" s="227">
        <v>212.74</v>
      </c>
      <c r="W16" s="227"/>
      <c r="X16" s="227">
        <v>0</v>
      </c>
      <c r="Y16" s="227">
        <v>349.23</v>
      </c>
      <c r="Z16" s="227">
        <v>349.23</v>
      </c>
      <c r="AA16" s="227">
        <v>145.83</v>
      </c>
      <c r="AB16" s="227">
        <v>145.83</v>
      </c>
      <c r="AC16" s="229">
        <f t="shared" si="0"/>
        <v>2455.90683</v>
      </c>
      <c r="AD16" s="229">
        <f t="shared" si="1"/>
        <v>2455.85</v>
      </c>
      <c r="AE16" s="101">
        <f t="shared" si="2"/>
        <v>176.612869999999</v>
      </c>
      <c r="AF16" s="222"/>
      <c r="AG16" s="222"/>
      <c r="AH16" s="222"/>
    </row>
    <row r="17" s="7" customFormat="1" ht="35" customHeight="1" spans="1:34">
      <c r="A17" s="224">
        <v>14</v>
      </c>
      <c r="B17" s="224" t="s">
        <v>63</v>
      </c>
      <c r="C17" s="51" t="s">
        <v>64</v>
      </c>
      <c r="D17" s="112">
        <v>300</v>
      </c>
      <c r="E17" s="225">
        <v>0</v>
      </c>
      <c r="F17" s="226"/>
      <c r="G17" s="226"/>
      <c r="H17" s="227"/>
      <c r="I17" s="227"/>
      <c r="J17" s="227">
        <v>0</v>
      </c>
      <c r="K17" s="227">
        <v>0</v>
      </c>
      <c r="L17" s="227">
        <v>0</v>
      </c>
      <c r="M17" s="227"/>
      <c r="N17" s="227">
        <v>0</v>
      </c>
      <c r="O17" s="227"/>
      <c r="P17" s="227">
        <v>0</v>
      </c>
      <c r="Q17" s="227"/>
      <c r="R17" s="227">
        <v>0</v>
      </c>
      <c r="S17" s="227"/>
      <c r="T17" s="227">
        <v>0</v>
      </c>
      <c r="U17" s="227"/>
      <c r="V17" s="227">
        <v>0</v>
      </c>
      <c r="W17" s="227"/>
      <c r="X17" s="227">
        <v>0</v>
      </c>
      <c r="Y17" s="227"/>
      <c r="Z17" s="227">
        <v>0</v>
      </c>
      <c r="AA17" s="227"/>
      <c r="AB17" s="227">
        <v>0</v>
      </c>
      <c r="AC17" s="229">
        <f t="shared" si="0"/>
        <v>0</v>
      </c>
      <c r="AD17" s="229">
        <f t="shared" si="1"/>
        <v>0</v>
      </c>
      <c r="AE17" s="101">
        <f t="shared" si="2"/>
        <v>300</v>
      </c>
      <c r="AF17" s="222"/>
      <c r="AG17" s="222"/>
      <c r="AH17" s="222"/>
    </row>
    <row r="18" s="7" customFormat="1" ht="35" customHeight="1" spans="1:34">
      <c r="A18" s="224">
        <v>15</v>
      </c>
      <c r="B18" s="224" t="s">
        <v>65</v>
      </c>
      <c r="C18" s="51" t="s">
        <v>66</v>
      </c>
      <c r="D18" s="112">
        <v>300</v>
      </c>
      <c r="E18" s="225">
        <v>0</v>
      </c>
      <c r="F18" s="226"/>
      <c r="G18" s="226"/>
      <c r="H18" s="227"/>
      <c r="I18" s="227"/>
      <c r="J18" s="227">
        <v>0</v>
      </c>
      <c r="K18" s="227">
        <v>0</v>
      </c>
      <c r="L18" s="227">
        <v>0</v>
      </c>
      <c r="M18" s="227"/>
      <c r="N18" s="227">
        <v>0</v>
      </c>
      <c r="O18" s="227"/>
      <c r="P18" s="227">
        <v>0</v>
      </c>
      <c r="Q18" s="227"/>
      <c r="R18" s="227">
        <v>0</v>
      </c>
      <c r="S18" s="227"/>
      <c r="T18" s="227">
        <v>0</v>
      </c>
      <c r="U18" s="227"/>
      <c r="V18" s="227">
        <v>0</v>
      </c>
      <c r="W18" s="227"/>
      <c r="X18" s="227">
        <v>0</v>
      </c>
      <c r="Y18" s="227"/>
      <c r="Z18" s="227">
        <v>0</v>
      </c>
      <c r="AA18" s="227"/>
      <c r="AB18" s="227">
        <v>0</v>
      </c>
      <c r="AC18" s="229">
        <f t="shared" si="0"/>
        <v>0</v>
      </c>
      <c r="AD18" s="229">
        <f t="shared" si="1"/>
        <v>0</v>
      </c>
      <c r="AE18" s="101">
        <f t="shared" si="2"/>
        <v>300</v>
      </c>
      <c r="AF18" s="222"/>
      <c r="AG18" s="222"/>
      <c r="AH18" s="222"/>
    </row>
    <row r="19" s="7" customFormat="1" ht="35" customHeight="1" spans="1:34">
      <c r="A19" s="224">
        <v>16</v>
      </c>
      <c r="B19" s="224" t="s">
        <v>67</v>
      </c>
      <c r="C19" s="51" t="s">
        <v>68</v>
      </c>
      <c r="D19" s="112">
        <v>231.593</v>
      </c>
      <c r="E19" s="225">
        <v>94.83663</v>
      </c>
      <c r="F19" s="226">
        <v>247.95</v>
      </c>
      <c r="G19" s="226">
        <v>188.54</v>
      </c>
      <c r="H19" s="227"/>
      <c r="I19" s="227">
        <v>263.94</v>
      </c>
      <c r="J19" s="227">
        <v>299.31</v>
      </c>
      <c r="K19" s="227">
        <v>217.33</v>
      </c>
      <c r="L19" s="227">
        <v>217.33</v>
      </c>
      <c r="M19" s="227">
        <v>125.13</v>
      </c>
      <c r="N19" s="227">
        <v>125.13</v>
      </c>
      <c r="O19" s="227">
        <v>144.02</v>
      </c>
      <c r="P19" s="227">
        <v>144.02</v>
      </c>
      <c r="Q19" s="227">
        <v>141.8</v>
      </c>
      <c r="R19" s="227">
        <v>141.8</v>
      </c>
      <c r="S19" s="227">
        <v>151.15</v>
      </c>
      <c r="T19" s="227">
        <v>151.15</v>
      </c>
      <c r="U19" s="227">
        <v>151.01</v>
      </c>
      <c r="V19" s="227">
        <v>151.01</v>
      </c>
      <c r="W19" s="227"/>
      <c r="X19" s="227">
        <v>0</v>
      </c>
      <c r="Y19" s="227">
        <v>280.48</v>
      </c>
      <c r="Z19" s="227">
        <v>280.48</v>
      </c>
      <c r="AA19" s="227">
        <v>172.15</v>
      </c>
      <c r="AB19" s="227">
        <v>172.15</v>
      </c>
      <c r="AC19" s="229">
        <f t="shared" si="0"/>
        <v>1930.38663</v>
      </c>
      <c r="AD19" s="229">
        <f t="shared" si="1"/>
        <v>1930.33</v>
      </c>
      <c r="AE19" s="101">
        <f t="shared" si="2"/>
        <v>231.53637</v>
      </c>
      <c r="AF19" s="222"/>
      <c r="AG19" s="222"/>
      <c r="AH19" s="222"/>
    </row>
    <row r="20" s="7" customFormat="1" ht="35" customHeight="1" spans="1:34">
      <c r="A20" s="224">
        <v>17</v>
      </c>
      <c r="B20" s="224" t="s">
        <v>69</v>
      </c>
      <c r="C20" s="51" t="s">
        <v>70</v>
      </c>
      <c r="D20" s="112">
        <v>153.564904000001</v>
      </c>
      <c r="E20" s="225">
        <v>517.05823</v>
      </c>
      <c r="F20" s="226">
        <v>520</v>
      </c>
      <c r="G20" s="226">
        <v>532.41</v>
      </c>
      <c r="H20" s="227"/>
      <c r="I20" s="227">
        <v>243.96</v>
      </c>
      <c r="J20" s="227">
        <v>0</v>
      </c>
      <c r="K20" s="227">
        <v>190.27</v>
      </c>
      <c r="L20" s="227">
        <v>965.76</v>
      </c>
      <c r="M20" s="227">
        <v>193.18</v>
      </c>
      <c r="N20" s="227">
        <v>200</v>
      </c>
      <c r="O20" s="227">
        <v>229.45</v>
      </c>
      <c r="P20" s="227">
        <v>0</v>
      </c>
      <c r="Q20" s="227">
        <v>353.31</v>
      </c>
      <c r="R20" s="227">
        <v>131.4</v>
      </c>
      <c r="S20" s="227">
        <v>533.38</v>
      </c>
      <c r="T20" s="227">
        <v>975.86</v>
      </c>
      <c r="U20" s="227">
        <v>583.63</v>
      </c>
      <c r="V20" s="227">
        <v>0</v>
      </c>
      <c r="W20" s="227"/>
      <c r="X20" s="227">
        <v>600</v>
      </c>
      <c r="Y20" s="227">
        <v>947.47</v>
      </c>
      <c r="Z20" s="227">
        <v>0</v>
      </c>
      <c r="AA20" s="227">
        <v>414.01</v>
      </c>
      <c r="AB20" s="227">
        <v>850.24</v>
      </c>
      <c r="AC20" s="229">
        <f t="shared" si="0"/>
        <v>4738.12823</v>
      </c>
      <c r="AD20" s="229">
        <f t="shared" si="1"/>
        <v>4243.26</v>
      </c>
      <c r="AE20" s="101">
        <f t="shared" si="2"/>
        <v>-341.303325999999</v>
      </c>
      <c r="AF20" s="222"/>
      <c r="AG20" s="222"/>
      <c r="AH20" s="222"/>
    </row>
    <row r="21" s="7" customFormat="1" ht="35" customHeight="1" spans="1:34">
      <c r="A21" s="224">
        <v>18</v>
      </c>
      <c r="B21" s="224" t="s">
        <v>71</v>
      </c>
      <c r="C21" s="51" t="s">
        <v>72</v>
      </c>
      <c r="D21" s="112">
        <v>247.926019</v>
      </c>
      <c r="E21" s="225">
        <v>229.77343</v>
      </c>
      <c r="F21" s="226">
        <v>70</v>
      </c>
      <c r="G21" s="226">
        <v>12.8</v>
      </c>
      <c r="H21" s="227"/>
      <c r="I21" s="227">
        <v>10.32</v>
      </c>
      <c r="J21" s="227">
        <v>343.61</v>
      </c>
      <c r="K21" s="227">
        <v>11.89</v>
      </c>
      <c r="L21" s="227">
        <v>0</v>
      </c>
      <c r="M21" s="227">
        <v>10.19</v>
      </c>
      <c r="N21" s="227">
        <v>0</v>
      </c>
      <c r="O21" s="227">
        <v>11.81</v>
      </c>
      <c r="P21" s="227">
        <v>0</v>
      </c>
      <c r="Q21" s="227">
        <v>42.94</v>
      </c>
      <c r="R21" s="227">
        <v>0</v>
      </c>
      <c r="S21" s="227">
        <v>80.61</v>
      </c>
      <c r="T21" s="227">
        <v>0</v>
      </c>
      <c r="U21" s="227">
        <v>79.28</v>
      </c>
      <c r="V21" s="227">
        <v>0</v>
      </c>
      <c r="W21" s="227"/>
      <c r="X21" s="227">
        <v>0</v>
      </c>
      <c r="Y21" s="227">
        <v>163.49</v>
      </c>
      <c r="Z21" s="227">
        <v>0</v>
      </c>
      <c r="AA21" s="227">
        <v>41.14</v>
      </c>
      <c r="AB21" s="227">
        <v>481.64</v>
      </c>
      <c r="AC21" s="229">
        <f t="shared" si="0"/>
        <v>694.24343</v>
      </c>
      <c r="AD21" s="229">
        <f t="shared" si="1"/>
        <v>895.25</v>
      </c>
      <c r="AE21" s="101">
        <f t="shared" si="2"/>
        <v>448.932589</v>
      </c>
      <c r="AF21" s="222"/>
      <c r="AG21" s="222"/>
      <c r="AH21" s="222"/>
    </row>
    <row r="22" s="7" customFormat="1" ht="35" customHeight="1" spans="1:34">
      <c r="A22" s="224">
        <v>19</v>
      </c>
      <c r="B22" s="224" t="s">
        <v>73</v>
      </c>
      <c r="C22" s="51" t="s">
        <v>74</v>
      </c>
      <c r="D22" s="112">
        <v>10.9845</v>
      </c>
      <c r="E22" s="225">
        <v>259.69893</v>
      </c>
      <c r="F22" s="226">
        <v>259.7</v>
      </c>
      <c r="G22" s="226">
        <v>293.55</v>
      </c>
      <c r="H22" s="227"/>
      <c r="I22" s="227">
        <v>174.04</v>
      </c>
      <c r="J22" s="227">
        <v>467.59</v>
      </c>
      <c r="K22" s="227">
        <v>205.18</v>
      </c>
      <c r="L22" s="227">
        <v>205.18</v>
      </c>
      <c r="M22" s="227">
        <v>158.29</v>
      </c>
      <c r="N22" s="227">
        <v>158.29</v>
      </c>
      <c r="O22" s="227">
        <v>184.29</v>
      </c>
      <c r="P22" s="227">
        <v>184.29</v>
      </c>
      <c r="Q22" s="227">
        <v>199.78</v>
      </c>
      <c r="R22" s="227">
        <v>199.78</v>
      </c>
      <c r="S22" s="227">
        <v>235.91</v>
      </c>
      <c r="T22" s="227">
        <v>0</v>
      </c>
      <c r="U22" s="227">
        <v>244.99</v>
      </c>
      <c r="V22" s="227">
        <v>0</v>
      </c>
      <c r="W22" s="227"/>
      <c r="X22" s="227">
        <v>0</v>
      </c>
      <c r="Y22" s="227">
        <v>380.83</v>
      </c>
      <c r="Z22" s="227">
        <v>861.73</v>
      </c>
      <c r="AA22" s="227">
        <v>178.87</v>
      </c>
      <c r="AB22" s="227">
        <v>0</v>
      </c>
      <c r="AC22" s="229">
        <f t="shared" si="0"/>
        <v>2515.42893</v>
      </c>
      <c r="AD22" s="229">
        <f t="shared" si="1"/>
        <v>2336.56</v>
      </c>
      <c r="AE22" s="101">
        <f t="shared" si="2"/>
        <v>-167.88443</v>
      </c>
      <c r="AF22" s="222"/>
      <c r="AG22" s="222"/>
      <c r="AH22" s="222"/>
    </row>
    <row r="23" s="7" customFormat="1" ht="35" customHeight="1" spans="1:34">
      <c r="A23" s="224">
        <v>20</v>
      </c>
      <c r="B23" s="224" t="s">
        <v>75</v>
      </c>
      <c r="C23" s="51" t="s">
        <v>76</v>
      </c>
      <c r="D23" s="112">
        <v>119.747599999999</v>
      </c>
      <c r="E23" s="225">
        <v>171.01063</v>
      </c>
      <c r="F23" s="226">
        <v>171.01</v>
      </c>
      <c r="G23" s="226">
        <v>175.48</v>
      </c>
      <c r="H23" s="227"/>
      <c r="I23" s="227">
        <v>132.41</v>
      </c>
      <c r="J23" s="227">
        <v>307.89</v>
      </c>
      <c r="K23" s="227">
        <v>152.72</v>
      </c>
      <c r="L23" s="227">
        <v>152.72</v>
      </c>
      <c r="M23" s="227">
        <v>131.42</v>
      </c>
      <c r="N23" s="227">
        <v>0</v>
      </c>
      <c r="O23" s="227">
        <v>173.95</v>
      </c>
      <c r="P23" s="227">
        <v>305.37</v>
      </c>
      <c r="Q23" s="227">
        <v>245.07</v>
      </c>
      <c r="R23" s="227">
        <v>245.07</v>
      </c>
      <c r="S23" s="227">
        <v>238.64</v>
      </c>
      <c r="T23" s="227">
        <v>238.64</v>
      </c>
      <c r="U23" s="227">
        <v>289.47</v>
      </c>
      <c r="V23" s="227">
        <v>0</v>
      </c>
      <c r="W23" s="227"/>
      <c r="X23" s="227">
        <v>0</v>
      </c>
      <c r="Y23" s="227">
        <v>350.34</v>
      </c>
      <c r="Z23" s="227">
        <v>639.81</v>
      </c>
      <c r="AA23" s="227">
        <v>98.8</v>
      </c>
      <c r="AB23" s="227">
        <v>0</v>
      </c>
      <c r="AC23" s="229">
        <f t="shared" si="0"/>
        <v>2159.31063</v>
      </c>
      <c r="AD23" s="229">
        <f t="shared" si="1"/>
        <v>2060.51</v>
      </c>
      <c r="AE23" s="101">
        <f t="shared" si="2"/>
        <v>20.9469699999991</v>
      </c>
      <c r="AF23" s="222"/>
      <c r="AG23" s="222"/>
      <c r="AH23" s="222"/>
    </row>
    <row r="24" s="7" customFormat="1" ht="35" customHeight="1" spans="1:34">
      <c r="A24" s="224">
        <v>21</v>
      </c>
      <c r="B24" s="224" t="s">
        <v>77</v>
      </c>
      <c r="C24" s="51" t="s">
        <v>78</v>
      </c>
      <c r="D24" s="112">
        <v>170.18</v>
      </c>
      <c r="E24" s="225">
        <v>11.58933</v>
      </c>
      <c r="F24" s="226">
        <v>12.57</v>
      </c>
      <c r="G24" s="226">
        <v>12.8</v>
      </c>
      <c r="H24" s="227"/>
      <c r="I24" s="227">
        <v>10.32</v>
      </c>
      <c r="J24" s="227">
        <v>22.14</v>
      </c>
      <c r="K24" s="227">
        <v>11.89</v>
      </c>
      <c r="L24" s="227">
        <v>11.89</v>
      </c>
      <c r="M24" s="227">
        <v>10.19</v>
      </c>
      <c r="N24" s="227">
        <v>10.19</v>
      </c>
      <c r="O24" s="227">
        <v>11.81</v>
      </c>
      <c r="P24" s="227">
        <v>11.81</v>
      </c>
      <c r="Q24" s="227">
        <v>10.91</v>
      </c>
      <c r="R24" s="227">
        <v>10.91</v>
      </c>
      <c r="S24" s="227">
        <v>11.71</v>
      </c>
      <c r="T24" s="227">
        <v>11.71</v>
      </c>
      <c r="U24" s="227">
        <v>10.88</v>
      </c>
      <c r="V24" s="227">
        <v>10.88</v>
      </c>
      <c r="W24" s="227"/>
      <c r="X24" s="227">
        <v>0</v>
      </c>
      <c r="Y24" s="227">
        <v>20.45</v>
      </c>
      <c r="Z24" s="227">
        <v>20.45</v>
      </c>
      <c r="AA24" s="227">
        <v>9.78</v>
      </c>
      <c r="AB24" s="227">
        <v>9.77999999999999</v>
      </c>
      <c r="AC24" s="229">
        <f t="shared" si="0"/>
        <v>132.32933</v>
      </c>
      <c r="AD24" s="229">
        <f t="shared" si="1"/>
        <v>132.33</v>
      </c>
      <c r="AE24" s="101">
        <f t="shared" si="2"/>
        <v>170.18067</v>
      </c>
      <c r="AF24" s="222"/>
      <c r="AG24" s="222"/>
      <c r="AH24" s="222"/>
    </row>
    <row r="25" s="7" customFormat="1" ht="35" customHeight="1" spans="1:34">
      <c r="A25" s="224">
        <v>22</v>
      </c>
      <c r="B25" s="224" t="s">
        <v>79</v>
      </c>
      <c r="C25" s="51" t="s">
        <v>80</v>
      </c>
      <c r="D25" s="112">
        <v>299.564703999999</v>
      </c>
      <c r="E25" s="225">
        <v>69.26393</v>
      </c>
      <c r="F25" s="226">
        <v>73.7</v>
      </c>
      <c r="G25" s="226">
        <v>220.1</v>
      </c>
      <c r="H25" s="227"/>
      <c r="I25" s="227">
        <v>159.05</v>
      </c>
      <c r="J25" s="227">
        <v>374.71</v>
      </c>
      <c r="K25" s="227">
        <v>163.76</v>
      </c>
      <c r="L25" s="227">
        <v>163.76</v>
      </c>
      <c r="M25" s="227">
        <v>83.95</v>
      </c>
      <c r="N25" s="227">
        <v>83.95</v>
      </c>
      <c r="O25" s="227">
        <v>68.45</v>
      </c>
      <c r="P25" s="227">
        <v>68.45</v>
      </c>
      <c r="Q25" s="227">
        <v>67.79</v>
      </c>
      <c r="R25" s="227">
        <v>67.79</v>
      </c>
      <c r="S25" s="227">
        <v>62.02</v>
      </c>
      <c r="T25" s="227">
        <v>62.02</v>
      </c>
      <c r="U25" s="227">
        <v>84.28</v>
      </c>
      <c r="V25" s="227">
        <v>84.28</v>
      </c>
      <c r="W25" s="227"/>
      <c r="X25" s="227">
        <v>0</v>
      </c>
      <c r="Y25" s="227">
        <v>206.18</v>
      </c>
      <c r="Z25" s="227">
        <v>206.18</v>
      </c>
      <c r="AA25" s="227">
        <v>59.05</v>
      </c>
      <c r="AB25" s="227">
        <v>59.05</v>
      </c>
      <c r="AC25" s="229">
        <f t="shared" si="0"/>
        <v>1243.89393</v>
      </c>
      <c r="AD25" s="229">
        <f t="shared" si="1"/>
        <v>1243.89</v>
      </c>
      <c r="AE25" s="101">
        <f t="shared" si="2"/>
        <v>299.560773999999</v>
      </c>
      <c r="AF25" s="222"/>
      <c r="AG25" s="222"/>
      <c r="AH25" s="222"/>
    </row>
    <row r="26" s="7" customFormat="1" ht="35" customHeight="1" spans="1:34">
      <c r="A26" s="224">
        <v>23</v>
      </c>
      <c r="B26" s="224" t="s">
        <v>81</v>
      </c>
      <c r="C26" s="51" t="s">
        <v>82</v>
      </c>
      <c r="D26" s="112">
        <v>1478.750574</v>
      </c>
      <c r="E26" s="225">
        <v>127.48263</v>
      </c>
      <c r="F26" s="226"/>
      <c r="G26" s="226">
        <v>134.68</v>
      </c>
      <c r="H26" s="227"/>
      <c r="I26" s="227">
        <v>94.12</v>
      </c>
      <c r="J26" s="227">
        <v>0</v>
      </c>
      <c r="K26" s="227">
        <v>83.68</v>
      </c>
      <c r="L26" s="227">
        <v>0</v>
      </c>
      <c r="M26" s="227">
        <v>76.52</v>
      </c>
      <c r="N26" s="227">
        <v>0</v>
      </c>
      <c r="O26" s="227">
        <v>80.42</v>
      </c>
      <c r="P26" s="227">
        <v>0</v>
      </c>
      <c r="Q26" s="227">
        <v>88.23</v>
      </c>
      <c r="R26" s="227">
        <v>3.69</v>
      </c>
      <c r="S26" s="227">
        <v>81.71</v>
      </c>
      <c r="T26" s="227">
        <v>0</v>
      </c>
      <c r="U26" s="227">
        <v>105.41</v>
      </c>
      <c r="V26" s="227">
        <v>0</v>
      </c>
      <c r="W26" s="227"/>
      <c r="X26" s="227">
        <v>0</v>
      </c>
      <c r="Y26" s="227">
        <v>181.79</v>
      </c>
      <c r="Z26" s="227">
        <v>0</v>
      </c>
      <c r="AA26" s="227">
        <v>85.37</v>
      </c>
      <c r="AB26" s="227">
        <v>31.64</v>
      </c>
      <c r="AC26" s="229">
        <f t="shared" si="0"/>
        <v>1139.41263</v>
      </c>
      <c r="AD26" s="229">
        <f t="shared" si="1"/>
        <v>35.33</v>
      </c>
      <c r="AE26" s="101">
        <f t="shared" si="2"/>
        <v>374.667944</v>
      </c>
      <c r="AF26" s="222"/>
      <c r="AG26" s="222"/>
      <c r="AH26" s="222"/>
    </row>
    <row r="27" s="7" customFormat="1" ht="35" customHeight="1" spans="1:34">
      <c r="A27" s="224">
        <v>24</v>
      </c>
      <c r="B27" s="224" t="s">
        <v>83</v>
      </c>
      <c r="C27" s="51" t="s">
        <v>84</v>
      </c>
      <c r="D27" s="112">
        <v>1993.863989</v>
      </c>
      <c r="E27" s="225">
        <v>205.28893</v>
      </c>
      <c r="F27" s="226"/>
      <c r="G27" s="226">
        <v>220.1</v>
      </c>
      <c r="H27" s="227"/>
      <c r="I27" s="227">
        <v>181.25</v>
      </c>
      <c r="J27" s="227">
        <v>0</v>
      </c>
      <c r="K27" s="227">
        <v>157.69</v>
      </c>
      <c r="L27" s="227">
        <v>0</v>
      </c>
      <c r="M27" s="227">
        <v>119.98</v>
      </c>
      <c r="N27" s="227">
        <v>0</v>
      </c>
      <c r="O27" s="227">
        <v>188.7</v>
      </c>
      <c r="P27" s="227">
        <v>0</v>
      </c>
      <c r="Q27" s="227">
        <v>171.62</v>
      </c>
      <c r="R27" s="227">
        <v>0.19</v>
      </c>
      <c r="S27" s="227">
        <v>299.34</v>
      </c>
      <c r="T27" s="227">
        <v>0</v>
      </c>
      <c r="U27" s="227">
        <v>330.62</v>
      </c>
      <c r="V27" s="227">
        <v>0</v>
      </c>
      <c r="W27" s="227"/>
      <c r="X27" s="227">
        <v>0</v>
      </c>
      <c r="Y27" s="227">
        <v>271.05</v>
      </c>
      <c r="Z27" s="227">
        <v>0</v>
      </c>
      <c r="AA27" s="227">
        <v>137.99</v>
      </c>
      <c r="AB27" s="227">
        <v>284.14</v>
      </c>
      <c r="AC27" s="229">
        <f t="shared" si="0"/>
        <v>2283.62893</v>
      </c>
      <c r="AD27" s="229">
        <f t="shared" si="1"/>
        <v>284.33</v>
      </c>
      <c r="AE27" s="101">
        <f t="shared" si="2"/>
        <v>-5.43494099999998</v>
      </c>
      <c r="AF27" s="222"/>
      <c r="AG27" s="222"/>
      <c r="AH27" s="222"/>
    </row>
    <row r="28" s="7" customFormat="1" ht="35" customHeight="1" spans="1:34">
      <c r="A28" s="224">
        <v>25</v>
      </c>
      <c r="B28" s="224" t="s">
        <v>85</v>
      </c>
      <c r="C28" s="51" t="s">
        <v>86</v>
      </c>
      <c r="D28" s="112">
        <v>-798.621741</v>
      </c>
      <c r="E28" s="225">
        <v>146.52613</v>
      </c>
      <c r="F28" s="226">
        <v>284.51</v>
      </c>
      <c r="G28" s="226">
        <v>132.5</v>
      </c>
      <c r="H28" s="227"/>
      <c r="I28" s="227">
        <v>72.47</v>
      </c>
      <c r="J28" s="227">
        <v>66.99</v>
      </c>
      <c r="K28" s="227">
        <v>99.15</v>
      </c>
      <c r="L28" s="227">
        <v>99.15</v>
      </c>
      <c r="M28" s="227">
        <v>87.39</v>
      </c>
      <c r="N28" s="227">
        <v>87.39</v>
      </c>
      <c r="O28" s="227">
        <v>107.08</v>
      </c>
      <c r="P28" s="227">
        <v>107.08</v>
      </c>
      <c r="Q28" s="227">
        <v>95.96</v>
      </c>
      <c r="R28" s="227">
        <v>95.96</v>
      </c>
      <c r="S28" s="227">
        <v>136.39</v>
      </c>
      <c r="T28" s="227">
        <v>136.39</v>
      </c>
      <c r="U28" s="227">
        <v>105.41</v>
      </c>
      <c r="V28" s="227">
        <v>105.41</v>
      </c>
      <c r="W28" s="227"/>
      <c r="X28" s="227">
        <v>0</v>
      </c>
      <c r="Y28" s="227">
        <v>196.76</v>
      </c>
      <c r="Z28" s="227">
        <v>196.76</v>
      </c>
      <c r="AA28" s="227">
        <v>87.61</v>
      </c>
      <c r="AB28" s="227">
        <v>87.61</v>
      </c>
      <c r="AC28" s="229">
        <f t="shared" si="0"/>
        <v>1267.24613</v>
      </c>
      <c r="AD28" s="229">
        <f t="shared" si="1"/>
        <v>1267.25</v>
      </c>
      <c r="AE28" s="101">
        <f t="shared" si="2"/>
        <v>-798.617871</v>
      </c>
      <c r="AF28" s="222"/>
      <c r="AG28" s="222"/>
      <c r="AH28" s="222"/>
    </row>
    <row r="29" s="7" customFormat="1" ht="35" customHeight="1" spans="1:34">
      <c r="A29" s="224">
        <v>26</v>
      </c>
      <c r="B29" s="224" t="s">
        <v>87</v>
      </c>
      <c r="C29" s="51" t="s">
        <v>88</v>
      </c>
      <c r="D29" s="112">
        <v>773.887264000001</v>
      </c>
      <c r="E29" s="225">
        <v>168.29013</v>
      </c>
      <c r="F29" s="226"/>
      <c r="G29" s="226">
        <v>195.07</v>
      </c>
      <c r="H29" s="227"/>
      <c r="I29" s="227">
        <v>113.54</v>
      </c>
      <c r="J29" s="227">
        <v>23.43</v>
      </c>
      <c r="K29" s="227">
        <v>159.34</v>
      </c>
      <c r="L29" s="227">
        <v>500</v>
      </c>
      <c r="M29" s="227">
        <v>138.85</v>
      </c>
      <c r="N29" s="227">
        <v>0</v>
      </c>
      <c r="O29" s="227">
        <v>126.13</v>
      </c>
      <c r="P29" s="227">
        <v>0</v>
      </c>
      <c r="Q29" s="227">
        <v>163.33</v>
      </c>
      <c r="R29" s="227">
        <v>0</v>
      </c>
      <c r="S29" s="227">
        <v>297.15</v>
      </c>
      <c r="T29" s="227">
        <v>1000</v>
      </c>
      <c r="U29" s="227">
        <v>330.07</v>
      </c>
      <c r="V29" s="227">
        <v>0</v>
      </c>
      <c r="W29" s="227"/>
      <c r="X29" s="227">
        <v>0</v>
      </c>
      <c r="Y29" s="227">
        <v>517.22</v>
      </c>
      <c r="Z29" s="227">
        <v>0</v>
      </c>
      <c r="AA29" s="227">
        <v>154.23</v>
      </c>
      <c r="AB29" s="227">
        <v>781.64</v>
      </c>
      <c r="AC29" s="229">
        <f t="shared" si="0"/>
        <v>2363.22013</v>
      </c>
      <c r="AD29" s="229">
        <f t="shared" si="1"/>
        <v>2305.07</v>
      </c>
      <c r="AE29" s="101">
        <f t="shared" si="2"/>
        <v>715.737134</v>
      </c>
      <c r="AF29" s="222"/>
      <c r="AG29" s="222"/>
      <c r="AH29" s="222"/>
    </row>
    <row r="30" s="7" customFormat="1" ht="35" customHeight="1" spans="1:34">
      <c r="A30" s="224">
        <v>27</v>
      </c>
      <c r="B30" s="224" t="s">
        <v>89</v>
      </c>
      <c r="C30" s="51" t="s">
        <v>90</v>
      </c>
      <c r="D30" s="112">
        <v>331.840300000001</v>
      </c>
      <c r="E30" s="225">
        <v>193.31873</v>
      </c>
      <c r="F30" s="226">
        <v>193.32</v>
      </c>
      <c r="G30" s="226">
        <v>282.67</v>
      </c>
      <c r="H30" s="227"/>
      <c r="I30" s="227">
        <v>155.17</v>
      </c>
      <c r="J30" s="227">
        <v>437.84</v>
      </c>
      <c r="K30" s="227">
        <v>185.3</v>
      </c>
      <c r="L30" s="227">
        <v>185.3</v>
      </c>
      <c r="M30" s="227">
        <v>221.2</v>
      </c>
      <c r="N30" s="227">
        <v>221.2</v>
      </c>
      <c r="O30" s="227">
        <v>428.1</v>
      </c>
      <c r="P30" s="227">
        <v>0</v>
      </c>
      <c r="Q30" s="227">
        <v>262.19</v>
      </c>
      <c r="R30" s="227">
        <v>0</v>
      </c>
      <c r="S30" s="227">
        <v>579.86</v>
      </c>
      <c r="T30" s="227">
        <v>1331.4</v>
      </c>
      <c r="U30" s="227">
        <v>573.63</v>
      </c>
      <c r="V30" s="227">
        <v>512.38</v>
      </c>
      <c r="W30" s="227"/>
      <c r="X30" s="227">
        <v>0</v>
      </c>
      <c r="Y30" s="227">
        <v>737.33</v>
      </c>
      <c r="Z30" s="227">
        <v>737.33</v>
      </c>
      <c r="AA30" s="227">
        <v>148.07</v>
      </c>
      <c r="AB30" s="227">
        <v>148.07</v>
      </c>
      <c r="AC30" s="229">
        <f t="shared" si="0"/>
        <v>3766.83873</v>
      </c>
      <c r="AD30" s="229">
        <f t="shared" si="1"/>
        <v>3766.84</v>
      </c>
      <c r="AE30" s="101">
        <f t="shared" si="2"/>
        <v>331.841570000001</v>
      </c>
      <c r="AF30" s="222"/>
      <c r="AG30" s="222"/>
      <c r="AH30" s="222"/>
    </row>
    <row r="31" s="7" customFormat="1" ht="35" customHeight="1" spans="1:34">
      <c r="A31" s="224">
        <v>28</v>
      </c>
      <c r="B31" s="224" t="s">
        <v>91</v>
      </c>
      <c r="C31" s="51" t="s">
        <v>92</v>
      </c>
      <c r="D31" s="112">
        <v>253.759439</v>
      </c>
      <c r="E31" s="225">
        <v>150.33483</v>
      </c>
      <c r="F31" s="226"/>
      <c r="G31" s="226">
        <v>164.6</v>
      </c>
      <c r="H31" s="227">
        <v>940</v>
      </c>
      <c r="I31" s="227">
        <v>230.09</v>
      </c>
      <c r="J31" s="227">
        <v>0</v>
      </c>
      <c r="K31" s="227">
        <v>157.13</v>
      </c>
      <c r="L31" s="227">
        <v>0</v>
      </c>
      <c r="M31" s="227">
        <v>86.81</v>
      </c>
      <c r="N31" s="227">
        <v>0</v>
      </c>
      <c r="O31" s="227">
        <v>114.7</v>
      </c>
      <c r="P31" s="227">
        <v>0</v>
      </c>
      <c r="Q31" s="227">
        <v>47.36</v>
      </c>
      <c r="R31" s="227">
        <v>0</v>
      </c>
      <c r="S31" s="227">
        <v>247.39</v>
      </c>
      <c r="T31" s="227">
        <v>1000</v>
      </c>
      <c r="U31" s="227">
        <v>520.8</v>
      </c>
      <c r="V31" s="227">
        <v>0</v>
      </c>
      <c r="W31" s="227"/>
      <c r="X31" s="227">
        <v>0</v>
      </c>
      <c r="Y31" s="227">
        <v>401.34</v>
      </c>
      <c r="Z31" s="227">
        <v>0</v>
      </c>
      <c r="AA31" s="227">
        <v>67.45</v>
      </c>
      <c r="AB31" s="227">
        <v>681.64</v>
      </c>
      <c r="AC31" s="229">
        <f t="shared" si="0"/>
        <v>2188.00483</v>
      </c>
      <c r="AD31" s="229">
        <f t="shared" si="1"/>
        <v>2621.64</v>
      </c>
      <c r="AE31" s="101">
        <f t="shared" si="2"/>
        <v>687.394609</v>
      </c>
      <c r="AF31" s="222"/>
      <c r="AG31" s="222"/>
      <c r="AH31" s="222"/>
    </row>
    <row r="32" s="7" customFormat="1" ht="35" customHeight="1" spans="1:34">
      <c r="A32" s="224">
        <v>29</v>
      </c>
      <c r="B32" s="224" t="s">
        <v>93</v>
      </c>
      <c r="C32" s="51" t="s">
        <v>94</v>
      </c>
      <c r="D32" s="112">
        <v>-88.4541999999997</v>
      </c>
      <c r="E32" s="225">
        <v>412.04693</v>
      </c>
      <c r="F32" s="226">
        <v>412.05</v>
      </c>
      <c r="G32" s="226">
        <v>398.02</v>
      </c>
      <c r="H32" s="227"/>
      <c r="I32" s="227">
        <v>135.74</v>
      </c>
      <c r="J32" s="227">
        <v>533.76</v>
      </c>
      <c r="K32" s="227">
        <v>246.6</v>
      </c>
      <c r="L32" s="227">
        <v>246.6</v>
      </c>
      <c r="M32" s="227">
        <v>226.34</v>
      </c>
      <c r="N32" s="227">
        <v>226.34</v>
      </c>
      <c r="O32" s="227">
        <v>275.21</v>
      </c>
      <c r="P32" s="227">
        <v>275.21</v>
      </c>
      <c r="Q32" s="227">
        <v>374.3</v>
      </c>
      <c r="R32" s="227">
        <v>374.3</v>
      </c>
      <c r="S32" s="227">
        <v>415.81</v>
      </c>
      <c r="T32" s="227">
        <v>415.81</v>
      </c>
      <c r="U32" s="227">
        <v>98.19</v>
      </c>
      <c r="V32" s="227">
        <v>98.19</v>
      </c>
      <c r="W32" s="227"/>
      <c r="X32" s="227">
        <v>0</v>
      </c>
      <c r="Y32" s="227">
        <v>150.18</v>
      </c>
      <c r="Z32" s="227">
        <v>150.18</v>
      </c>
      <c r="AA32" s="227">
        <v>68.01</v>
      </c>
      <c r="AB32" s="227">
        <v>68.01</v>
      </c>
      <c r="AC32" s="229">
        <f t="shared" si="0"/>
        <v>2800.44693</v>
      </c>
      <c r="AD32" s="229">
        <f t="shared" si="1"/>
        <v>2800.45</v>
      </c>
      <c r="AE32" s="101">
        <f t="shared" si="2"/>
        <v>-88.4511299999999</v>
      </c>
      <c r="AF32" s="222"/>
      <c r="AG32" s="222"/>
      <c r="AH32" s="222"/>
    </row>
    <row r="33" s="7" customFormat="1" ht="35" customHeight="1" spans="1:34">
      <c r="A33" s="224">
        <v>30</v>
      </c>
      <c r="B33" s="224" t="s">
        <v>95</v>
      </c>
      <c r="C33" s="51" t="s">
        <v>96</v>
      </c>
      <c r="D33" s="112">
        <v>220.909439</v>
      </c>
      <c r="E33" s="225">
        <v>106.80683</v>
      </c>
      <c r="F33" s="226">
        <v>118.8</v>
      </c>
      <c r="G33" s="226">
        <v>156.44</v>
      </c>
      <c r="H33" s="227"/>
      <c r="I33" s="227">
        <v>204</v>
      </c>
      <c r="J33" s="227">
        <v>360.44</v>
      </c>
      <c r="K33" s="227">
        <v>158.24</v>
      </c>
      <c r="L33" s="227">
        <v>160</v>
      </c>
      <c r="M33" s="227">
        <v>78.24</v>
      </c>
      <c r="N33" s="227">
        <v>76.5</v>
      </c>
      <c r="O33" s="227">
        <v>68.45</v>
      </c>
      <c r="P33" s="227">
        <v>68.43</v>
      </c>
      <c r="Q33" s="227">
        <v>51.78</v>
      </c>
      <c r="R33" s="227">
        <v>51.8</v>
      </c>
      <c r="S33" s="227"/>
      <c r="T33" s="227">
        <v>0</v>
      </c>
      <c r="U33" s="227">
        <v>30.9</v>
      </c>
      <c r="V33" s="227">
        <v>0</v>
      </c>
      <c r="W33" s="227"/>
      <c r="X33" s="227">
        <v>0</v>
      </c>
      <c r="Y33" s="227">
        <v>20.45</v>
      </c>
      <c r="Z33" s="227">
        <v>0</v>
      </c>
      <c r="AA33" s="227">
        <v>24.34</v>
      </c>
      <c r="AB33" s="227">
        <v>0</v>
      </c>
      <c r="AC33" s="229">
        <f t="shared" si="0"/>
        <v>899.64683</v>
      </c>
      <c r="AD33" s="229">
        <f t="shared" si="1"/>
        <v>835.97</v>
      </c>
      <c r="AE33" s="101">
        <f t="shared" si="2"/>
        <v>157.232609</v>
      </c>
      <c r="AF33" s="222"/>
      <c r="AG33" s="222"/>
      <c r="AH33" s="222"/>
    </row>
    <row r="34" s="7" customFormat="1" ht="35" customHeight="1" spans="1:34">
      <c r="A34" s="224">
        <v>31</v>
      </c>
      <c r="B34" s="224" t="s">
        <v>97</v>
      </c>
      <c r="C34" s="51" t="s">
        <v>98</v>
      </c>
      <c r="D34" s="112">
        <v>368.579439</v>
      </c>
      <c r="E34" s="225">
        <v>184.06903</v>
      </c>
      <c r="F34" s="226"/>
      <c r="G34" s="226">
        <v>198.34</v>
      </c>
      <c r="H34" s="227"/>
      <c r="I34" s="227">
        <v>129.64</v>
      </c>
      <c r="J34" s="227">
        <v>0</v>
      </c>
      <c r="K34" s="227">
        <v>116.82</v>
      </c>
      <c r="L34" s="227">
        <v>563.29</v>
      </c>
      <c r="M34" s="227">
        <v>97.68</v>
      </c>
      <c r="N34" s="227">
        <v>96.44</v>
      </c>
      <c r="O34" s="227">
        <v>91.31</v>
      </c>
      <c r="P34" s="227">
        <v>0</v>
      </c>
      <c r="Q34" s="227">
        <v>100.93</v>
      </c>
      <c r="R34" s="227">
        <v>0</v>
      </c>
      <c r="S34" s="227">
        <v>151.15</v>
      </c>
      <c r="T34" s="227">
        <v>192.24</v>
      </c>
      <c r="U34" s="227">
        <v>130.44</v>
      </c>
      <c r="V34" s="227">
        <v>0</v>
      </c>
      <c r="W34" s="227"/>
      <c r="X34" s="227">
        <v>0</v>
      </c>
      <c r="Y34" s="227">
        <v>212.28</v>
      </c>
      <c r="Z34" s="227">
        <v>300</v>
      </c>
      <c r="AA34" s="227">
        <v>107.2</v>
      </c>
      <c r="AB34" s="227">
        <v>0</v>
      </c>
      <c r="AC34" s="229">
        <f t="shared" si="0"/>
        <v>1519.85903</v>
      </c>
      <c r="AD34" s="229">
        <f t="shared" si="1"/>
        <v>1151.97</v>
      </c>
      <c r="AE34" s="101">
        <f t="shared" si="2"/>
        <v>0.69040899999959</v>
      </c>
      <c r="AF34" s="222"/>
      <c r="AG34" s="222"/>
      <c r="AH34" s="222"/>
    </row>
    <row r="35" s="7" customFormat="1" ht="35" customHeight="1" spans="1:34">
      <c r="A35" s="224">
        <v>32</v>
      </c>
      <c r="B35" s="224" t="s">
        <v>99</v>
      </c>
      <c r="C35" s="51" t="s">
        <v>100</v>
      </c>
      <c r="D35" s="112">
        <v>181.044849</v>
      </c>
      <c r="E35" s="225">
        <v>13.22163</v>
      </c>
      <c r="F35" s="226"/>
      <c r="G35" s="226">
        <v>18.78</v>
      </c>
      <c r="H35" s="227"/>
      <c r="I35" s="227">
        <v>14.76</v>
      </c>
      <c r="J35" s="227">
        <v>43.69</v>
      </c>
      <c r="K35" s="227">
        <v>128.97</v>
      </c>
      <c r="L35" s="227">
        <v>300</v>
      </c>
      <c r="M35" s="227">
        <v>156.01</v>
      </c>
      <c r="N35" s="227">
        <v>0</v>
      </c>
      <c r="O35" s="227">
        <v>178.91</v>
      </c>
      <c r="P35" s="227">
        <v>0</v>
      </c>
      <c r="Q35" s="227">
        <v>188.74</v>
      </c>
      <c r="R35" s="227">
        <v>331.4</v>
      </c>
      <c r="S35" s="227">
        <v>205.84</v>
      </c>
      <c r="T35" s="227">
        <v>0</v>
      </c>
      <c r="U35" s="227">
        <v>171.03</v>
      </c>
      <c r="V35" s="227">
        <v>350</v>
      </c>
      <c r="W35" s="227"/>
      <c r="X35" s="227">
        <v>0</v>
      </c>
      <c r="Y35" s="227">
        <v>181.23</v>
      </c>
      <c r="Z35" s="227">
        <v>0</v>
      </c>
      <c r="AA35" s="227">
        <v>98.8</v>
      </c>
      <c r="AB35" s="227">
        <v>50.24</v>
      </c>
      <c r="AC35" s="229">
        <f t="shared" si="0"/>
        <v>1356.29163</v>
      </c>
      <c r="AD35" s="229">
        <f t="shared" si="1"/>
        <v>1075.33</v>
      </c>
      <c r="AE35" s="101">
        <f t="shared" si="2"/>
        <v>-99.9167810000001</v>
      </c>
      <c r="AF35" s="222"/>
      <c r="AG35" s="222"/>
      <c r="AH35" s="222"/>
    </row>
    <row r="36" s="7" customFormat="1" ht="35" customHeight="1" spans="1:34">
      <c r="A36" s="224">
        <v>33</v>
      </c>
      <c r="B36" s="224" t="s">
        <v>101</v>
      </c>
      <c r="C36" s="51" t="s">
        <v>102</v>
      </c>
      <c r="D36" s="112">
        <v>300</v>
      </c>
      <c r="E36" s="225">
        <v>0</v>
      </c>
      <c r="F36" s="226"/>
      <c r="G36" s="226"/>
      <c r="H36" s="227"/>
      <c r="I36" s="227"/>
      <c r="J36" s="227">
        <v>0</v>
      </c>
      <c r="K36" s="227">
        <v>0</v>
      </c>
      <c r="L36" s="227">
        <v>0</v>
      </c>
      <c r="M36" s="227"/>
      <c r="N36" s="227">
        <v>0</v>
      </c>
      <c r="O36" s="227"/>
      <c r="P36" s="227">
        <v>0</v>
      </c>
      <c r="Q36" s="227"/>
      <c r="R36" s="227">
        <v>0</v>
      </c>
      <c r="S36" s="227"/>
      <c r="T36" s="227">
        <v>0</v>
      </c>
      <c r="U36" s="227"/>
      <c r="V36" s="227">
        <v>0</v>
      </c>
      <c r="W36" s="227"/>
      <c r="X36" s="227">
        <v>0</v>
      </c>
      <c r="Y36" s="227"/>
      <c r="Z36" s="227">
        <v>0</v>
      </c>
      <c r="AA36" s="227"/>
      <c r="AB36" s="227">
        <v>0</v>
      </c>
      <c r="AC36" s="229">
        <f t="shared" si="0"/>
        <v>0</v>
      </c>
      <c r="AD36" s="229">
        <f t="shared" si="1"/>
        <v>0</v>
      </c>
      <c r="AE36" s="101">
        <f t="shared" si="2"/>
        <v>300</v>
      </c>
      <c r="AF36" s="222"/>
      <c r="AG36" s="222"/>
      <c r="AH36" s="222"/>
    </row>
    <row r="37" s="7" customFormat="1" ht="35" customHeight="1" spans="1:34">
      <c r="A37" s="224">
        <v>34</v>
      </c>
      <c r="B37" s="224" t="s">
        <v>103</v>
      </c>
      <c r="C37" s="51" t="s">
        <v>104</v>
      </c>
      <c r="D37" s="112">
        <v>173.192388999999</v>
      </c>
      <c r="E37" s="225">
        <v>175.90753</v>
      </c>
      <c r="F37" s="226">
        <v>175.91</v>
      </c>
      <c r="G37" s="226">
        <v>220.1</v>
      </c>
      <c r="H37" s="227"/>
      <c r="I37" s="227">
        <v>236.75</v>
      </c>
      <c r="J37" s="227">
        <v>456.85</v>
      </c>
      <c r="K37" s="227">
        <v>181.99</v>
      </c>
      <c r="L37" s="227">
        <v>181.99</v>
      </c>
      <c r="M37" s="227">
        <v>184.03</v>
      </c>
      <c r="N37" s="227">
        <v>184.03</v>
      </c>
      <c r="O37" s="227">
        <v>181.63</v>
      </c>
      <c r="P37" s="227">
        <v>181.63</v>
      </c>
      <c r="Q37" s="227">
        <v>185.42</v>
      </c>
      <c r="R37" s="227">
        <v>185.42</v>
      </c>
      <c r="S37" s="227">
        <v>250.68</v>
      </c>
      <c r="T37" s="227">
        <v>250.68</v>
      </c>
      <c r="U37" s="227">
        <v>276.68</v>
      </c>
      <c r="V37" s="227">
        <v>276.68</v>
      </c>
      <c r="W37" s="227"/>
      <c r="X37" s="227">
        <v>0</v>
      </c>
      <c r="Y37" s="227">
        <v>492.27</v>
      </c>
      <c r="Z37" s="227">
        <v>492.27</v>
      </c>
      <c r="AA37" s="227">
        <v>174.39</v>
      </c>
      <c r="AB37" s="227">
        <v>174.39</v>
      </c>
      <c r="AC37" s="229">
        <f t="shared" ref="AC37:AC68" si="3">E37+G37+I37+K37+M37+O37+Q37+S37+U37+W37+Y37+AA37</f>
        <v>2559.84753</v>
      </c>
      <c r="AD37" s="229">
        <f t="shared" ref="AD37:AD68" si="4">F37+H37+J37+L37+N37+P37+R37+T37+V37+X37+Z37+AB37</f>
        <v>2559.85</v>
      </c>
      <c r="AE37" s="101">
        <f t="shared" ref="AE37:AE68" si="5">D37+AD37-AC37</f>
        <v>173.194858999999</v>
      </c>
      <c r="AF37" s="222"/>
      <c r="AG37" s="222"/>
      <c r="AH37" s="222"/>
    </row>
    <row r="38" s="7" customFormat="1" ht="35" customHeight="1" spans="1:34">
      <c r="A38" s="224">
        <v>35</v>
      </c>
      <c r="B38" s="224" t="s">
        <v>105</v>
      </c>
      <c r="C38" s="51" t="s">
        <v>319</v>
      </c>
      <c r="D38" s="112">
        <v>88.2807490000005</v>
      </c>
      <c r="E38" s="225">
        <v>224.33243</v>
      </c>
      <c r="F38" s="226">
        <v>251.37</v>
      </c>
      <c r="G38" s="226">
        <v>253.83</v>
      </c>
      <c r="H38" s="227"/>
      <c r="I38" s="227">
        <v>163.49</v>
      </c>
      <c r="J38" s="227">
        <v>390.28</v>
      </c>
      <c r="K38" s="227">
        <v>157.69</v>
      </c>
      <c r="L38" s="227">
        <v>157.69</v>
      </c>
      <c r="M38" s="227">
        <v>111.4</v>
      </c>
      <c r="N38" s="227">
        <v>111.4</v>
      </c>
      <c r="O38" s="227">
        <v>181.63</v>
      </c>
      <c r="P38" s="227">
        <v>181.63</v>
      </c>
      <c r="Q38" s="227">
        <v>184.87</v>
      </c>
      <c r="R38" s="227">
        <v>184.87</v>
      </c>
      <c r="S38" s="227">
        <v>270.91</v>
      </c>
      <c r="T38" s="227">
        <v>270.91</v>
      </c>
      <c r="U38" s="227">
        <v>267.23</v>
      </c>
      <c r="V38" s="227">
        <v>267.23</v>
      </c>
      <c r="W38" s="227"/>
      <c r="X38" s="227">
        <v>0</v>
      </c>
      <c r="Y38" s="227">
        <v>379.17</v>
      </c>
      <c r="Z38" s="227">
        <v>379.17</v>
      </c>
      <c r="AA38" s="227">
        <v>170.47</v>
      </c>
      <c r="AB38" s="227">
        <v>170.47</v>
      </c>
      <c r="AC38" s="229">
        <f t="shared" si="3"/>
        <v>2365.02243</v>
      </c>
      <c r="AD38" s="229">
        <f t="shared" si="4"/>
        <v>2365.02</v>
      </c>
      <c r="AE38" s="101">
        <f t="shared" si="5"/>
        <v>88.2783190000005</v>
      </c>
      <c r="AF38" s="222"/>
      <c r="AG38" s="222"/>
      <c r="AH38" s="222"/>
    </row>
    <row r="39" s="7" customFormat="1" ht="35" customHeight="1" spans="1:34">
      <c r="A39" s="224">
        <v>36</v>
      </c>
      <c r="B39" s="224" t="s">
        <v>107</v>
      </c>
      <c r="C39" s="51" t="s">
        <v>108</v>
      </c>
      <c r="D39" s="112">
        <v>360.367844</v>
      </c>
      <c r="E39" s="225">
        <v>122.04163</v>
      </c>
      <c r="F39" s="226">
        <v>12.12</v>
      </c>
      <c r="G39" s="226">
        <v>168.95</v>
      </c>
      <c r="H39" s="227"/>
      <c r="I39" s="227">
        <v>80.24</v>
      </c>
      <c r="J39" s="227">
        <v>249.19</v>
      </c>
      <c r="K39" s="227">
        <v>90.31</v>
      </c>
      <c r="L39" s="227">
        <v>90.31</v>
      </c>
      <c r="M39" s="227">
        <v>72.52</v>
      </c>
      <c r="N39" s="227">
        <v>72.52</v>
      </c>
      <c r="O39" s="227">
        <v>116.33</v>
      </c>
      <c r="P39" s="227">
        <v>116.33</v>
      </c>
      <c r="Q39" s="227">
        <v>89.33</v>
      </c>
      <c r="R39" s="227">
        <v>89.33</v>
      </c>
      <c r="S39" s="227">
        <v>101.94</v>
      </c>
      <c r="T39" s="227">
        <v>101.94</v>
      </c>
      <c r="U39" s="227">
        <v>140.45</v>
      </c>
      <c r="V39" s="227">
        <v>140.45</v>
      </c>
      <c r="W39" s="227"/>
      <c r="X39" s="227">
        <v>0</v>
      </c>
      <c r="Y39" s="227">
        <v>224.48</v>
      </c>
      <c r="Z39" s="227">
        <v>224.48</v>
      </c>
      <c r="AA39" s="227">
        <v>92.08</v>
      </c>
      <c r="AB39" s="227">
        <v>92.08</v>
      </c>
      <c r="AC39" s="229">
        <f t="shared" si="3"/>
        <v>1298.67163</v>
      </c>
      <c r="AD39" s="229">
        <f t="shared" si="4"/>
        <v>1188.75</v>
      </c>
      <c r="AE39" s="101">
        <f t="shared" si="5"/>
        <v>250.446214</v>
      </c>
      <c r="AF39" s="222"/>
      <c r="AG39" s="222"/>
      <c r="AH39" s="222"/>
    </row>
    <row r="40" s="7" customFormat="1" ht="35" customHeight="1" spans="1:34">
      <c r="A40" s="224">
        <v>37</v>
      </c>
      <c r="B40" s="224" t="s">
        <v>109</v>
      </c>
      <c r="C40" s="51" t="s">
        <v>110</v>
      </c>
      <c r="D40" s="112">
        <v>40.5470489999998</v>
      </c>
      <c r="E40" s="225">
        <v>244.46413</v>
      </c>
      <c r="F40" s="226">
        <v>245</v>
      </c>
      <c r="G40" s="226">
        <v>378.43</v>
      </c>
      <c r="H40" s="227"/>
      <c r="I40" s="227">
        <v>165.71</v>
      </c>
      <c r="J40" s="227">
        <v>534.69</v>
      </c>
      <c r="K40" s="227">
        <v>162.1</v>
      </c>
      <c r="L40" s="227">
        <v>172.7</v>
      </c>
      <c r="M40" s="227">
        <v>142.85</v>
      </c>
      <c r="N40" s="227">
        <v>142</v>
      </c>
      <c r="O40" s="227">
        <v>208.83</v>
      </c>
      <c r="P40" s="227">
        <v>208</v>
      </c>
      <c r="Q40" s="227">
        <v>208.62</v>
      </c>
      <c r="R40" s="227">
        <v>0.4</v>
      </c>
      <c r="S40" s="227">
        <v>227.16</v>
      </c>
      <c r="T40" s="227">
        <v>500</v>
      </c>
      <c r="U40" s="227">
        <v>215.52</v>
      </c>
      <c r="V40" s="227">
        <v>0</v>
      </c>
      <c r="W40" s="227"/>
      <c r="X40" s="227">
        <v>300</v>
      </c>
      <c r="Y40" s="227">
        <v>379.17</v>
      </c>
      <c r="Z40" s="227">
        <v>0</v>
      </c>
      <c r="AA40" s="227">
        <v>140.79</v>
      </c>
      <c r="AB40" s="227">
        <v>350.24</v>
      </c>
      <c r="AC40" s="229">
        <f t="shared" si="3"/>
        <v>2473.64413</v>
      </c>
      <c r="AD40" s="229">
        <f t="shared" si="4"/>
        <v>2453.03</v>
      </c>
      <c r="AE40" s="101">
        <f t="shared" si="5"/>
        <v>19.9329189999999</v>
      </c>
      <c r="AF40" s="222"/>
      <c r="AG40" s="222"/>
      <c r="AH40" s="222"/>
    </row>
    <row r="41" s="7" customFormat="1" ht="35" customHeight="1" spans="1:34">
      <c r="A41" s="224">
        <v>38</v>
      </c>
      <c r="B41" s="224" t="s">
        <v>111</v>
      </c>
      <c r="C41" s="51" t="s">
        <v>112</v>
      </c>
      <c r="D41" s="112">
        <v>185.147099999999</v>
      </c>
      <c r="E41" s="225">
        <v>216.17093</v>
      </c>
      <c r="F41" s="226">
        <v>216.17</v>
      </c>
      <c r="G41" s="226">
        <v>271.24</v>
      </c>
      <c r="H41" s="227"/>
      <c r="I41" s="227">
        <v>160.72</v>
      </c>
      <c r="J41" s="227">
        <v>431.96</v>
      </c>
      <c r="K41" s="227">
        <v>125.65</v>
      </c>
      <c r="L41" s="227">
        <v>125.65</v>
      </c>
      <c r="M41" s="227">
        <v>106.83</v>
      </c>
      <c r="N41" s="227">
        <v>106.83</v>
      </c>
      <c r="O41" s="227">
        <v>110.89</v>
      </c>
      <c r="P41" s="227">
        <v>110.89</v>
      </c>
      <c r="Q41" s="227">
        <v>122.47</v>
      </c>
      <c r="R41" s="227">
        <v>122.47</v>
      </c>
      <c r="S41" s="227">
        <v>130.37</v>
      </c>
      <c r="T41" s="227">
        <v>130.37</v>
      </c>
      <c r="U41" s="227">
        <v>162.13</v>
      </c>
      <c r="V41" s="227">
        <v>162.13</v>
      </c>
      <c r="W41" s="227"/>
      <c r="X41" s="227">
        <v>0</v>
      </c>
      <c r="Y41" s="227">
        <v>252.76</v>
      </c>
      <c r="Z41" s="227">
        <v>252.76</v>
      </c>
      <c r="AA41" s="227">
        <v>108.88</v>
      </c>
      <c r="AB41" s="227">
        <v>108.88</v>
      </c>
      <c r="AC41" s="229">
        <f t="shared" si="3"/>
        <v>1768.11093</v>
      </c>
      <c r="AD41" s="229">
        <f t="shared" si="4"/>
        <v>1768.11</v>
      </c>
      <c r="AE41" s="101">
        <f t="shared" si="5"/>
        <v>185.14617</v>
      </c>
      <c r="AF41" s="222"/>
      <c r="AG41" s="222"/>
      <c r="AH41" s="222"/>
    </row>
    <row r="42" s="7" customFormat="1" ht="35" customHeight="1" spans="1:34">
      <c r="A42" s="224">
        <v>39</v>
      </c>
      <c r="B42" s="224" t="s">
        <v>113</v>
      </c>
      <c r="C42" s="51" t="s">
        <v>114</v>
      </c>
      <c r="D42" s="112">
        <v>60.5799999999999</v>
      </c>
      <c r="E42" s="225">
        <v>425.10533</v>
      </c>
      <c r="F42" s="226">
        <v>425.11</v>
      </c>
      <c r="G42" s="226">
        <v>395.84</v>
      </c>
      <c r="H42" s="227"/>
      <c r="I42" s="227">
        <v>137.96</v>
      </c>
      <c r="J42" s="227">
        <v>533.8</v>
      </c>
      <c r="K42" s="227">
        <v>281.39</v>
      </c>
      <c r="L42" s="227">
        <v>281.39</v>
      </c>
      <c r="M42" s="227">
        <v>160.01</v>
      </c>
      <c r="N42" s="227">
        <v>160.01</v>
      </c>
      <c r="O42" s="227">
        <v>181.63</v>
      </c>
      <c r="P42" s="227">
        <v>181.63</v>
      </c>
      <c r="Q42" s="227">
        <v>180.45</v>
      </c>
      <c r="R42" s="227">
        <v>180.45</v>
      </c>
      <c r="S42" s="227">
        <v>151.7</v>
      </c>
      <c r="T42" s="227">
        <v>151.7</v>
      </c>
      <c r="U42" s="227">
        <v>132.11</v>
      </c>
      <c r="V42" s="227">
        <v>132.11</v>
      </c>
      <c r="W42" s="227"/>
      <c r="X42" s="227">
        <v>0</v>
      </c>
      <c r="Y42" s="227">
        <v>340.91</v>
      </c>
      <c r="Z42" s="227">
        <v>340.91</v>
      </c>
      <c r="AA42" s="227">
        <v>224.22</v>
      </c>
      <c r="AB42" s="227">
        <v>0</v>
      </c>
      <c r="AC42" s="229">
        <f t="shared" si="3"/>
        <v>2611.32533</v>
      </c>
      <c r="AD42" s="229">
        <f t="shared" si="4"/>
        <v>2387.11</v>
      </c>
      <c r="AE42" s="101">
        <f t="shared" si="5"/>
        <v>-163.63533</v>
      </c>
      <c r="AF42" s="222"/>
      <c r="AG42" s="222"/>
      <c r="AH42" s="222"/>
    </row>
    <row r="43" s="7" customFormat="1" ht="35" customHeight="1" spans="1:34">
      <c r="A43" s="224">
        <v>40</v>
      </c>
      <c r="B43" s="224" t="s">
        <v>115</v>
      </c>
      <c r="C43" s="51" t="s">
        <v>320</v>
      </c>
      <c r="D43" s="112">
        <v>464.623439</v>
      </c>
      <c r="E43" s="225">
        <v>209.09763</v>
      </c>
      <c r="F43" s="226">
        <v>209.1</v>
      </c>
      <c r="G43" s="226">
        <v>227.17</v>
      </c>
      <c r="H43" s="227"/>
      <c r="I43" s="227">
        <v>88.57</v>
      </c>
      <c r="J43" s="227">
        <v>315.74</v>
      </c>
      <c r="K43" s="227">
        <v>135.6</v>
      </c>
      <c r="L43" s="227">
        <v>135.6</v>
      </c>
      <c r="M43" s="227">
        <v>115.41</v>
      </c>
      <c r="N43" s="227">
        <v>115.41</v>
      </c>
      <c r="O43" s="227">
        <v>137.01</v>
      </c>
      <c r="P43" s="227">
        <v>137.01</v>
      </c>
      <c r="Q43" s="227">
        <v>139.03</v>
      </c>
      <c r="R43" s="227">
        <v>139.03</v>
      </c>
      <c r="S43" s="227">
        <v>167.01</v>
      </c>
      <c r="T43" s="227">
        <v>167.01</v>
      </c>
      <c r="U43" s="227">
        <v>156.57</v>
      </c>
      <c r="V43" s="227">
        <v>156.57</v>
      </c>
      <c r="W43" s="227"/>
      <c r="X43" s="227">
        <v>0</v>
      </c>
      <c r="Y43" s="227">
        <v>271.05</v>
      </c>
      <c r="Z43" s="227">
        <v>271.05</v>
      </c>
      <c r="AA43" s="227">
        <v>125.12</v>
      </c>
      <c r="AB43" s="227">
        <v>125.12</v>
      </c>
      <c r="AC43" s="229">
        <f t="shared" si="3"/>
        <v>1771.63763</v>
      </c>
      <c r="AD43" s="229">
        <f t="shared" si="4"/>
        <v>1771.64</v>
      </c>
      <c r="AE43" s="101">
        <f t="shared" si="5"/>
        <v>464.625809</v>
      </c>
      <c r="AF43" s="222"/>
      <c r="AG43" s="222"/>
      <c r="AH43" s="222"/>
    </row>
    <row r="44" s="7" customFormat="1" ht="35" customHeight="1" spans="1:34">
      <c r="A44" s="224">
        <v>41</v>
      </c>
      <c r="B44" s="224" t="s">
        <v>117</v>
      </c>
      <c r="C44" s="51" t="s">
        <v>118</v>
      </c>
      <c r="D44" s="112">
        <v>456.700119</v>
      </c>
      <c r="E44" s="225">
        <v>60.01423</v>
      </c>
      <c r="F44" s="226">
        <v>-26.51</v>
      </c>
      <c r="G44" s="226">
        <v>62.85</v>
      </c>
      <c r="H44" s="227"/>
      <c r="I44" s="227">
        <v>34.74</v>
      </c>
      <c r="J44" s="227">
        <v>74.19</v>
      </c>
      <c r="K44" s="227">
        <v>48.89</v>
      </c>
      <c r="L44" s="227">
        <v>48.89</v>
      </c>
      <c r="M44" s="227">
        <v>47.36</v>
      </c>
      <c r="N44" s="227">
        <v>47.36</v>
      </c>
      <c r="O44" s="227">
        <v>58.66</v>
      </c>
      <c r="P44" s="227">
        <v>58.66</v>
      </c>
      <c r="Q44" s="227">
        <v>55.64</v>
      </c>
      <c r="R44" s="227">
        <v>55.64</v>
      </c>
      <c r="S44" s="227">
        <v>75.15</v>
      </c>
      <c r="T44" s="227">
        <v>75.15</v>
      </c>
      <c r="U44" s="227">
        <v>42.02</v>
      </c>
      <c r="V44" s="227">
        <v>42.02</v>
      </c>
      <c r="W44" s="227"/>
      <c r="X44" s="227">
        <v>0</v>
      </c>
      <c r="Y44" s="227">
        <v>90.3</v>
      </c>
      <c r="Z44" s="227">
        <v>90.3</v>
      </c>
      <c r="AA44" s="227">
        <v>36.66</v>
      </c>
      <c r="AB44" s="227">
        <v>0</v>
      </c>
      <c r="AC44" s="229">
        <f t="shared" si="3"/>
        <v>612.28423</v>
      </c>
      <c r="AD44" s="229">
        <f t="shared" si="4"/>
        <v>465.7</v>
      </c>
      <c r="AE44" s="101">
        <f t="shared" si="5"/>
        <v>310.115889</v>
      </c>
      <c r="AF44" s="222"/>
      <c r="AG44" s="222"/>
      <c r="AH44" s="222"/>
    </row>
    <row r="45" s="7" customFormat="1" ht="35" customHeight="1" spans="1:34">
      <c r="A45" s="224">
        <v>42</v>
      </c>
      <c r="B45" s="224" t="s">
        <v>119</v>
      </c>
      <c r="C45" s="51" t="s">
        <v>120</v>
      </c>
      <c r="D45" s="112">
        <v>66.9599999999996</v>
      </c>
      <c r="E45" s="225">
        <v>350.56363</v>
      </c>
      <c r="F45" s="226">
        <v>350.56</v>
      </c>
      <c r="G45" s="226">
        <v>429.03</v>
      </c>
      <c r="H45" s="227"/>
      <c r="I45" s="227">
        <v>157.94</v>
      </c>
      <c r="J45" s="227">
        <v>586.97</v>
      </c>
      <c r="K45" s="227">
        <v>211.25</v>
      </c>
      <c r="L45" s="227">
        <v>211.25</v>
      </c>
      <c r="M45" s="227">
        <v>199.47</v>
      </c>
      <c r="N45" s="227">
        <v>199.47</v>
      </c>
      <c r="O45" s="227">
        <v>281.74</v>
      </c>
      <c r="P45" s="227">
        <v>281.74</v>
      </c>
      <c r="Q45" s="227">
        <v>416.27</v>
      </c>
      <c r="R45" s="227">
        <v>416.27</v>
      </c>
      <c r="S45" s="227">
        <v>379.72</v>
      </c>
      <c r="T45" s="227">
        <v>379.72</v>
      </c>
      <c r="U45" s="227">
        <v>212.74</v>
      </c>
      <c r="V45" s="227">
        <v>212.74</v>
      </c>
      <c r="W45" s="227"/>
      <c r="X45" s="227">
        <v>0</v>
      </c>
      <c r="Y45" s="227">
        <v>707.39</v>
      </c>
      <c r="Z45" s="227">
        <v>707.39</v>
      </c>
      <c r="AA45" s="227">
        <v>209.1</v>
      </c>
      <c r="AB45" s="227">
        <v>209.14</v>
      </c>
      <c r="AC45" s="229">
        <f t="shared" si="3"/>
        <v>3555.21363</v>
      </c>
      <c r="AD45" s="229">
        <f t="shared" si="4"/>
        <v>3555.25</v>
      </c>
      <c r="AE45" s="101">
        <f t="shared" si="5"/>
        <v>66.9963700000003</v>
      </c>
      <c r="AF45" s="222"/>
      <c r="AG45" s="222"/>
      <c r="AH45" s="222"/>
    </row>
    <row r="46" s="7" customFormat="1" ht="35" customHeight="1" spans="1:34">
      <c r="A46" s="224">
        <v>43</v>
      </c>
      <c r="B46" s="224" t="s">
        <v>121</v>
      </c>
      <c r="C46" s="51" t="s">
        <v>122</v>
      </c>
      <c r="D46" s="112">
        <v>1722.558494</v>
      </c>
      <c r="E46" s="225">
        <v>254.80203</v>
      </c>
      <c r="F46" s="226"/>
      <c r="G46" s="226">
        <v>247.3</v>
      </c>
      <c r="H46" s="227"/>
      <c r="I46" s="227">
        <v>212.33</v>
      </c>
      <c r="J46" s="227">
        <v>0</v>
      </c>
      <c r="K46" s="227">
        <v>191.37</v>
      </c>
      <c r="L46" s="227">
        <v>0</v>
      </c>
      <c r="M46" s="227">
        <v>156.58</v>
      </c>
      <c r="N46" s="227">
        <v>1683.69</v>
      </c>
      <c r="O46" s="227">
        <v>168.57</v>
      </c>
      <c r="P46" s="227">
        <v>0</v>
      </c>
      <c r="Q46" s="227">
        <v>160.02</v>
      </c>
      <c r="R46" s="227">
        <v>0</v>
      </c>
      <c r="S46" s="227">
        <v>157.72</v>
      </c>
      <c r="T46" s="227">
        <v>0</v>
      </c>
      <c r="U46" s="227">
        <v>160.46</v>
      </c>
      <c r="V46" s="227">
        <v>0</v>
      </c>
      <c r="W46" s="227"/>
      <c r="X46" s="227">
        <v>0</v>
      </c>
      <c r="Y46" s="227">
        <v>283.8</v>
      </c>
      <c r="Z46" s="227">
        <v>0</v>
      </c>
      <c r="AA46" s="227">
        <v>153.67</v>
      </c>
      <c r="AB46" s="227">
        <v>31.64</v>
      </c>
      <c r="AC46" s="229">
        <f t="shared" si="3"/>
        <v>2146.62203</v>
      </c>
      <c r="AD46" s="229">
        <f t="shared" si="4"/>
        <v>1715.33</v>
      </c>
      <c r="AE46" s="101">
        <f t="shared" si="5"/>
        <v>1291.266464</v>
      </c>
      <c r="AF46" s="222"/>
      <c r="AG46" s="222"/>
      <c r="AH46" s="222"/>
    </row>
    <row r="47" s="7" customFormat="1" ht="35" customHeight="1" spans="1:34">
      <c r="A47" s="224">
        <v>44</v>
      </c>
      <c r="B47" s="224" t="s">
        <v>123</v>
      </c>
      <c r="C47" s="51" t="s">
        <v>124</v>
      </c>
      <c r="D47" s="112">
        <v>126.313219</v>
      </c>
      <c r="E47" s="225">
        <v>145.98203</v>
      </c>
      <c r="F47" s="226">
        <v>209.1</v>
      </c>
      <c r="G47" s="226">
        <v>159.7</v>
      </c>
      <c r="H47" s="227"/>
      <c r="I47" s="227">
        <v>130.75</v>
      </c>
      <c r="J47" s="227">
        <v>743.69</v>
      </c>
      <c r="K47" s="227">
        <v>125.65</v>
      </c>
      <c r="L47" s="227">
        <v>0</v>
      </c>
      <c r="M47" s="227">
        <v>107.97</v>
      </c>
      <c r="N47" s="227">
        <v>0</v>
      </c>
      <c r="O47" s="227">
        <v>113.07</v>
      </c>
      <c r="P47" s="227">
        <v>0</v>
      </c>
      <c r="Q47" s="227">
        <v>98.72</v>
      </c>
      <c r="R47" s="227">
        <v>0</v>
      </c>
      <c r="S47" s="227">
        <v>97.57</v>
      </c>
      <c r="T47" s="227">
        <v>0</v>
      </c>
      <c r="U47" s="227">
        <v>95.4</v>
      </c>
      <c r="V47" s="227">
        <v>0</v>
      </c>
      <c r="W47" s="227"/>
      <c r="X47" s="227">
        <v>0</v>
      </c>
      <c r="Y47" s="227">
        <v>175.13</v>
      </c>
      <c r="Z47" s="227">
        <v>0</v>
      </c>
      <c r="AA47" s="227">
        <v>87.05</v>
      </c>
      <c r="AB47" s="227">
        <v>681.64</v>
      </c>
      <c r="AC47" s="229">
        <f t="shared" si="3"/>
        <v>1336.99203</v>
      </c>
      <c r="AD47" s="229">
        <f t="shared" si="4"/>
        <v>1634.43</v>
      </c>
      <c r="AE47" s="101">
        <f t="shared" si="5"/>
        <v>423.751189</v>
      </c>
      <c r="AF47" s="222"/>
      <c r="AG47" s="222"/>
      <c r="AH47" s="222"/>
    </row>
    <row r="48" s="7" customFormat="1" ht="35" customHeight="1" spans="1:34">
      <c r="A48" s="224">
        <v>45</v>
      </c>
      <c r="B48" s="224" t="s">
        <v>125</v>
      </c>
      <c r="C48" s="51" t="s">
        <v>126</v>
      </c>
      <c r="D48" s="112">
        <v>42.017734</v>
      </c>
      <c r="E48" s="225">
        <v>198.75973</v>
      </c>
      <c r="F48" s="226">
        <v>230.24</v>
      </c>
      <c r="G48" s="226">
        <v>228.8</v>
      </c>
      <c r="H48" s="227">
        <v>197.32</v>
      </c>
      <c r="I48" s="227">
        <v>143.51</v>
      </c>
      <c r="J48" s="227">
        <v>0</v>
      </c>
      <c r="K48" s="227">
        <v>181.43</v>
      </c>
      <c r="L48" s="227">
        <v>183.4</v>
      </c>
      <c r="M48" s="227">
        <v>148.57</v>
      </c>
      <c r="N48" s="227">
        <v>146.6</v>
      </c>
      <c r="O48" s="227">
        <v>180.54</v>
      </c>
      <c r="P48" s="227">
        <v>180.54</v>
      </c>
      <c r="Q48" s="227">
        <v>183.21</v>
      </c>
      <c r="R48" s="227">
        <v>183.21</v>
      </c>
      <c r="S48" s="227">
        <v>189.98</v>
      </c>
      <c r="T48" s="227">
        <v>189.98</v>
      </c>
      <c r="U48" s="227">
        <v>169.36</v>
      </c>
      <c r="V48" s="227">
        <v>169.36</v>
      </c>
      <c r="W48" s="227"/>
      <c r="X48" s="227">
        <v>0</v>
      </c>
      <c r="Y48" s="227">
        <v>283.25</v>
      </c>
      <c r="Z48" s="227">
        <v>283.25</v>
      </c>
      <c r="AA48" s="227">
        <v>139.67</v>
      </c>
      <c r="AB48" s="227">
        <v>139.67</v>
      </c>
      <c r="AC48" s="229">
        <f t="shared" si="3"/>
        <v>2047.07973</v>
      </c>
      <c r="AD48" s="229">
        <f t="shared" si="4"/>
        <v>1903.57</v>
      </c>
      <c r="AE48" s="101">
        <f t="shared" si="5"/>
        <v>-101.491996</v>
      </c>
      <c r="AF48" s="222"/>
      <c r="AG48" s="222"/>
      <c r="AH48" s="222"/>
    </row>
    <row r="49" s="7" customFormat="1" ht="35" customHeight="1" spans="1:34">
      <c r="A49" s="224">
        <v>46</v>
      </c>
      <c r="B49" s="224" t="s">
        <v>127</v>
      </c>
      <c r="C49" s="51" t="s">
        <v>128</v>
      </c>
      <c r="D49" s="112">
        <v>150.795104</v>
      </c>
      <c r="E49" s="225">
        <v>230.86163</v>
      </c>
      <c r="F49" s="226">
        <v>245.09</v>
      </c>
      <c r="G49" s="226">
        <v>299.54</v>
      </c>
      <c r="H49" s="227"/>
      <c r="I49" s="227">
        <v>172.37</v>
      </c>
      <c r="J49" s="227">
        <v>457.68</v>
      </c>
      <c r="K49" s="227">
        <v>205.18</v>
      </c>
      <c r="L49" s="227">
        <v>205.18</v>
      </c>
      <c r="M49" s="227">
        <v>176.02</v>
      </c>
      <c r="N49" s="227">
        <v>176.02</v>
      </c>
      <c r="O49" s="227">
        <v>196.86</v>
      </c>
      <c r="P49" s="227">
        <v>196.86</v>
      </c>
      <c r="Q49" s="227">
        <v>201.44</v>
      </c>
      <c r="R49" s="227">
        <v>201.44</v>
      </c>
      <c r="S49" s="227">
        <v>262.71</v>
      </c>
      <c r="T49" s="227">
        <v>262.71</v>
      </c>
      <c r="U49" s="227">
        <v>244.99</v>
      </c>
      <c r="V49" s="227">
        <v>244.99</v>
      </c>
      <c r="W49" s="227"/>
      <c r="X49" s="227">
        <v>0</v>
      </c>
      <c r="Y49" s="227">
        <v>342.57</v>
      </c>
      <c r="Z49" s="227">
        <v>342.57</v>
      </c>
      <c r="AA49" s="227">
        <v>157.59</v>
      </c>
      <c r="AB49" s="227">
        <v>157.59</v>
      </c>
      <c r="AC49" s="229">
        <f t="shared" si="3"/>
        <v>2490.13163</v>
      </c>
      <c r="AD49" s="229">
        <f t="shared" si="4"/>
        <v>2490.13</v>
      </c>
      <c r="AE49" s="101">
        <f t="shared" si="5"/>
        <v>150.793474</v>
      </c>
      <c r="AF49" s="222"/>
      <c r="AG49" s="222"/>
      <c r="AH49" s="222"/>
    </row>
    <row r="50" s="7" customFormat="1" ht="35" customHeight="1" spans="1:34">
      <c r="A50" s="224">
        <v>47</v>
      </c>
      <c r="B50" s="224" t="s">
        <v>129</v>
      </c>
      <c r="C50" s="51" t="s">
        <v>130</v>
      </c>
      <c r="D50" s="112">
        <v>184.281919</v>
      </c>
      <c r="E50" s="225">
        <v>137.82053</v>
      </c>
      <c r="F50" s="226">
        <v>174.82</v>
      </c>
      <c r="G50" s="226">
        <v>161.88</v>
      </c>
      <c r="H50" s="227"/>
      <c r="I50" s="227">
        <v>110.21</v>
      </c>
      <c r="J50" s="227">
        <v>235.09</v>
      </c>
      <c r="K50" s="227">
        <v>109.64</v>
      </c>
      <c r="L50" s="227">
        <v>109.64</v>
      </c>
      <c r="M50" s="227">
        <v>107.4</v>
      </c>
      <c r="N50" s="227">
        <v>107.4</v>
      </c>
      <c r="O50" s="227">
        <v>147.35</v>
      </c>
      <c r="P50" s="227">
        <v>147.35</v>
      </c>
      <c r="Q50" s="227">
        <v>146.77</v>
      </c>
      <c r="R50" s="227">
        <v>146.77</v>
      </c>
      <c r="S50" s="227">
        <v>122.17</v>
      </c>
      <c r="T50" s="227">
        <v>122.17</v>
      </c>
      <c r="U50" s="227">
        <v>183.82</v>
      </c>
      <c r="V50" s="227">
        <v>183.82</v>
      </c>
      <c r="W50" s="227"/>
      <c r="X50" s="227">
        <v>0</v>
      </c>
      <c r="Y50" s="227">
        <v>298.22</v>
      </c>
      <c r="Z50" s="227">
        <v>298.22</v>
      </c>
      <c r="AA50" s="227">
        <v>93.76</v>
      </c>
      <c r="AB50" s="227">
        <v>93.76</v>
      </c>
      <c r="AC50" s="229">
        <f t="shared" si="3"/>
        <v>1619.04053</v>
      </c>
      <c r="AD50" s="229">
        <f t="shared" si="4"/>
        <v>1619.04</v>
      </c>
      <c r="AE50" s="101">
        <f t="shared" si="5"/>
        <v>184.281389</v>
      </c>
      <c r="AF50" s="222"/>
      <c r="AG50" s="222"/>
      <c r="AH50" s="222"/>
    </row>
    <row r="51" s="7" customFormat="1" ht="35" customHeight="1" spans="1:34">
      <c r="A51" s="224">
        <v>48</v>
      </c>
      <c r="B51" s="224" t="s">
        <v>131</v>
      </c>
      <c r="C51" s="51" t="s">
        <v>132</v>
      </c>
      <c r="D51" s="112">
        <v>81.1157839999992</v>
      </c>
      <c r="E51" s="225">
        <v>280.91883</v>
      </c>
      <c r="F51" s="226">
        <v>281.65</v>
      </c>
      <c r="G51" s="226">
        <v>380.06</v>
      </c>
      <c r="H51" s="227"/>
      <c r="I51" s="227">
        <v>268.38</v>
      </c>
      <c r="J51" s="227">
        <v>904.02</v>
      </c>
      <c r="K51" s="227">
        <v>186.96</v>
      </c>
      <c r="L51" s="227">
        <v>0</v>
      </c>
      <c r="M51" s="227">
        <v>163.44</v>
      </c>
      <c r="N51" s="227">
        <v>163.44</v>
      </c>
      <c r="O51" s="227">
        <v>159.32</v>
      </c>
      <c r="P51" s="227">
        <v>159.32</v>
      </c>
      <c r="Q51" s="227">
        <v>183.77</v>
      </c>
      <c r="R51" s="227">
        <v>0</v>
      </c>
      <c r="S51" s="227">
        <v>233.72</v>
      </c>
      <c r="T51" s="227">
        <v>161.18</v>
      </c>
      <c r="U51" s="227">
        <v>305.6</v>
      </c>
      <c r="V51" s="227">
        <v>305.6</v>
      </c>
      <c r="W51" s="227"/>
      <c r="X51" s="227">
        <v>0</v>
      </c>
      <c r="Y51" s="227">
        <v>359.76</v>
      </c>
      <c r="Z51" s="227">
        <v>359.76</v>
      </c>
      <c r="AA51" s="227">
        <v>183.34</v>
      </c>
      <c r="AB51" s="227">
        <v>183.34</v>
      </c>
      <c r="AC51" s="229">
        <f t="shared" si="3"/>
        <v>2705.26883</v>
      </c>
      <c r="AD51" s="229">
        <f t="shared" si="4"/>
        <v>2518.31</v>
      </c>
      <c r="AE51" s="101">
        <f t="shared" si="5"/>
        <v>-105.843046</v>
      </c>
      <c r="AF51" s="222"/>
      <c r="AG51" s="222"/>
      <c r="AH51" s="222"/>
    </row>
    <row r="52" s="7" customFormat="1" ht="35" customHeight="1" spans="1:34">
      <c r="A52" s="224">
        <v>49</v>
      </c>
      <c r="B52" s="224" t="s">
        <v>133</v>
      </c>
      <c r="C52" s="51" t="s">
        <v>134</v>
      </c>
      <c r="D52" s="112">
        <v>1361.716149</v>
      </c>
      <c r="E52" s="225">
        <v>176.99573</v>
      </c>
      <c r="F52" s="226"/>
      <c r="G52" s="226">
        <v>216.83</v>
      </c>
      <c r="H52" s="227"/>
      <c r="I52" s="227">
        <v>171.82</v>
      </c>
      <c r="J52" s="227">
        <v>0</v>
      </c>
      <c r="K52" s="227">
        <v>135.6</v>
      </c>
      <c r="L52" s="227">
        <v>0</v>
      </c>
      <c r="M52" s="227">
        <v>117.69</v>
      </c>
      <c r="N52" s="227">
        <v>0</v>
      </c>
      <c r="O52" s="227">
        <v>126.13</v>
      </c>
      <c r="P52" s="227">
        <v>0</v>
      </c>
      <c r="Q52" s="227">
        <v>115.84</v>
      </c>
      <c r="R52" s="227">
        <v>1831.4</v>
      </c>
      <c r="S52" s="227">
        <v>180.14</v>
      </c>
      <c r="T52" s="227">
        <v>0</v>
      </c>
      <c r="U52" s="227">
        <v>209.4</v>
      </c>
      <c r="V52" s="227">
        <v>0</v>
      </c>
      <c r="W52" s="227"/>
      <c r="X52" s="227">
        <v>1800</v>
      </c>
      <c r="Y52" s="227">
        <v>338.69</v>
      </c>
      <c r="Z52" s="227">
        <v>0</v>
      </c>
      <c r="AA52" s="227">
        <v>224.22</v>
      </c>
      <c r="AB52" s="227">
        <v>0</v>
      </c>
      <c r="AC52" s="229">
        <f t="shared" si="3"/>
        <v>2013.35573</v>
      </c>
      <c r="AD52" s="229">
        <f t="shared" si="4"/>
        <v>3631.4</v>
      </c>
      <c r="AE52" s="101">
        <f t="shared" si="5"/>
        <v>2979.760419</v>
      </c>
      <c r="AF52" s="222"/>
      <c r="AG52" s="222"/>
      <c r="AH52" s="222"/>
    </row>
    <row r="53" s="7" customFormat="1" ht="35" customHeight="1" spans="1:34">
      <c r="A53" s="224">
        <v>50</v>
      </c>
      <c r="B53" s="224" t="s">
        <v>135</v>
      </c>
      <c r="C53" s="51" t="s">
        <v>136</v>
      </c>
      <c r="D53" s="112">
        <v>-59.9681209999994</v>
      </c>
      <c r="E53" s="225">
        <v>203.65663</v>
      </c>
      <c r="F53" s="226">
        <v>514.19</v>
      </c>
      <c r="G53" s="226">
        <v>211.94</v>
      </c>
      <c r="H53" s="227"/>
      <c r="I53" s="227">
        <v>89.68</v>
      </c>
      <c r="J53" s="227">
        <v>343.69</v>
      </c>
      <c r="K53" s="227">
        <v>117.92</v>
      </c>
      <c r="L53" s="227">
        <v>0</v>
      </c>
      <c r="M53" s="227">
        <v>91.39</v>
      </c>
      <c r="N53" s="227">
        <v>0</v>
      </c>
      <c r="O53" s="227">
        <v>144.08</v>
      </c>
      <c r="P53" s="227">
        <v>0</v>
      </c>
      <c r="Q53" s="227">
        <v>192.6</v>
      </c>
      <c r="R53" s="227">
        <v>0</v>
      </c>
      <c r="S53" s="227">
        <v>127.64</v>
      </c>
      <c r="T53" s="227">
        <v>631.56</v>
      </c>
      <c r="U53" s="227">
        <v>257.22</v>
      </c>
      <c r="V53" s="227">
        <v>0</v>
      </c>
      <c r="W53" s="227"/>
      <c r="X53" s="227">
        <v>0</v>
      </c>
      <c r="Y53" s="227">
        <v>465.1</v>
      </c>
      <c r="Z53" s="227">
        <v>0</v>
      </c>
      <c r="AA53" s="227">
        <v>148.63</v>
      </c>
      <c r="AB53" s="227">
        <v>870.95</v>
      </c>
      <c r="AC53" s="229">
        <f t="shared" si="3"/>
        <v>2049.85663</v>
      </c>
      <c r="AD53" s="229">
        <f t="shared" si="4"/>
        <v>2360.39</v>
      </c>
      <c r="AE53" s="101">
        <f t="shared" si="5"/>
        <v>250.565249000001</v>
      </c>
      <c r="AF53" s="222"/>
      <c r="AG53" s="222"/>
      <c r="AH53" s="222"/>
    </row>
    <row r="54" s="7" customFormat="1" ht="35" customHeight="1" spans="1:34">
      <c r="A54" s="224">
        <v>51</v>
      </c>
      <c r="B54" s="224" t="s">
        <v>137</v>
      </c>
      <c r="C54" s="51" t="s">
        <v>138</v>
      </c>
      <c r="D54" s="112">
        <v>183.4566</v>
      </c>
      <c r="E54" s="225">
        <v>124.21803</v>
      </c>
      <c r="F54" s="226">
        <v>124.22</v>
      </c>
      <c r="G54" s="226">
        <v>155.35</v>
      </c>
      <c r="H54" s="227"/>
      <c r="I54" s="227">
        <v>146.84</v>
      </c>
      <c r="J54" s="227">
        <v>302.19</v>
      </c>
      <c r="K54" s="227">
        <v>115.16</v>
      </c>
      <c r="L54" s="227">
        <v>115.16</v>
      </c>
      <c r="M54" s="227">
        <v>127.99</v>
      </c>
      <c r="N54" s="227">
        <v>127.99</v>
      </c>
      <c r="O54" s="227">
        <v>139.73</v>
      </c>
      <c r="P54" s="227">
        <v>139.73</v>
      </c>
      <c r="Q54" s="227">
        <v>224.63</v>
      </c>
      <c r="R54" s="227">
        <v>224.63</v>
      </c>
      <c r="S54" s="227">
        <v>267.08</v>
      </c>
      <c r="T54" s="227">
        <v>267.08</v>
      </c>
      <c r="U54" s="227">
        <v>300.59</v>
      </c>
      <c r="V54" s="227">
        <v>300.59</v>
      </c>
      <c r="W54" s="227"/>
      <c r="X54" s="227">
        <v>0</v>
      </c>
      <c r="Y54" s="227">
        <v>331.49</v>
      </c>
      <c r="Z54" s="227">
        <v>331.49</v>
      </c>
      <c r="AA54" s="227">
        <v>108.32</v>
      </c>
      <c r="AB54" s="227">
        <v>108.32</v>
      </c>
      <c r="AC54" s="229">
        <f t="shared" si="3"/>
        <v>2041.39803</v>
      </c>
      <c r="AD54" s="229">
        <f t="shared" si="4"/>
        <v>2041.4</v>
      </c>
      <c r="AE54" s="101">
        <f t="shared" si="5"/>
        <v>183.45857</v>
      </c>
      <c r="AF54" s="222"/>
      <c r="AG54" s="222"/>
      <c r="AH54" s="222"/>
    </row>
    <row r="55" s="7" customFormat="1" ht="35" customHeight="1" spans="1:34">
      <c r="A55" s="224">
        <v>52</v>
      </c>
      <c r="B55" s="224" t="s">
        <v>139</v>
      </c>
      <c r="C55" s="51" t="s">
        <v>140</v>
      </c>
      <c r="D55" s="112">
        <v>546.627744000001</v>
      </c>
      <c r="E55" s="225">
        <v>176.99573</v>
      </c>
      <c r="F55" s="226"/>
      <c r="G55" s="226">
        <v>244.58</v>
      </c>
      <c r="H55" s="227">
        <v>483.69</v>
      </c>
      <c r="I55" s="227">
        <v>112.43</v>
      </c>
      <c r="J55" s="227">
        <v>0</v>
      </c>
      <c r="K55" s="227">
        <v>119.58</v>
      </c>
      <c r="L55" s="227">
        <v>0</v>
      </c>
      <c r="M55" s="227">
        <v>110.26</v>
      </c>
      <c r="N55" s="227">
        <v>600</v>
      </c>
      <c r="O55" s="227">
        <v>135.38</v>
      </c>
      <c r="P55" s="227">
        <v>0</v>
      </c>
      <c r="Q55" s="227">
        <v>165.54</v>
      </c>
      <c r="R55" s="227">
        <v>0</v>
      </c>
      <c r="S55" s="227">
        <v>268.17</v>
      </c>
      <c r="T55" s="227">
        <v>300</v>
      </c>
      <c r="U55" s="227">
        <v>283.91</v>
      </c>
      <c r="V55" s="227">
        <v>300</v>
      </c>
      <c r="W55" s="227"/>
      <c r="X55" s="227">
        <v>0</v>
      </c>
      <c r="Y55" s="227">
        <v>327.6</v>
      </c>
      <c r="Z55" s="227">
        <v>0</v>
      </c>
      <c r="AA55" s="227">
        <v>82.57</v>
      </c>
      <c r="AB55" s="227">
        <v>0</v>
      </c>
      <c r="AC55" s="229">
        <f t="shared" si="3"/>
        <v>2027.01573</v>
      </c>
      <c r="AD55" s="229">
        <f t="shared" si="4"/>
        <v>1683.69</v>
      </c>
      <c r="AE55" s="101">
        <f t="shared" si="5"/>
        <v>203.302014000001</v>
      </c>
      <c r="AF55" s="222"/>
      <c r="AG55" s="222"/>
      <c r="AH55" s="222"/>
    </row>
    <row r="56" s="7" customFormat="1" ht="35" customHeight="1" spans="1:34">
      <c r="A56" s="224">
        <v>53</v>
      </c>
      <c r="B56" s="224" t="s">
        <v>141</v>
      </c>
      <c r="C56" s="51" t="s">
        <v>142</v>
      </c>
      <c r="D56" s="112">
        <v>209.591206</v>
      </c>
      <c r="E56" s="225">
        <v>131.29133</v>
      </c>
      <c r="F56" s="226"/>
      <c r="G56" s="226">
        <v>164.6</v>
      </c>
      <c r="H56" s="227"/>
      <c r="I56" s="227">
        <v>145.18</v>
      </c>
      <c r="J56" s="227">
        <v>940</v>
      </c>
      <c r="K56" s="227">
        <v>98.62</v>
      </c>
      <c r="L56" s="227">
        <v>0</v>
      </c>
      <c r="M56" s="227">
        <v>92.53</v>
      </c>
      <c r="N56" s="227">
        <v>0</v>
      </c>
      <c r="O56" s="227">
        <v>129.39</v>
      </c>
      <c r="P56" s="227">
        <v>0</v>
      </c>
      <c r="Q56" s="227">
        <v>162.23</v>
      </c>
      <c r="R56" s="227">
        <v>0</v>
      </c>
      <c r="S56" s="227">
        <v>126</v>
      </c>
      <c r="T56" s="227">
        <v>0</v>
      </c>
      <c r="U56" s="227">
        <v>119.87</v>
      </c>
      <c r="V56" s="227">
        <v>199.08</v>
      </c>
      <c r="W56" s="227"/>
      <c r="X56" s="227">
        <v>0</v>
      </c>
      <c r="Y56" s="227">
        <v>219.49</v>
      </c>
      <c r="Z56" s="227">
        <v>0</v>
      </c>
      <c r="AA56" s="227">
        <v>97.68</v>
      </c>
      <c r="AB56" s="227">
        <v>69.73</v>
      </c>
      <c r="AC56" s="229">
        <f t="shared" si="3"/>
        <v>1486.88133</v>
      </c>
      <c r="AD56" s="229">
        <f t="shared" si="4"/>
        <v>1208.81</v>
      </c>
      <c r="AE56" s="101">
        <f t="shared" si="5"/>
        <v>-68.4801239999999</v>
      </c>
      <c r="AF56" s="222"/>
      <c r="AG56" s="222"/>
      <c r="AH56" s="222"/>
    </row>
    <row r="57" s="7" customFormat="1" ht="35" customHeight="1" spans="1:34">
      <c r="A57" s="224">
        <v>54</v>
      </c>
      <c r="B57" s="224" t="s">
        <v>143</v>
      </c>
      <c r="C57" s="51" t="s">
        <v>144</v>
      </c>
      <c r="D57" s="112">
        <v>-906.407929</v>
      </c>
      <c r="E57" s="225">
        <v>131.29133</v>
      </c>
      <c r="F57" s="226">
        <v>71.41</v>
      </c>
      <c r="G57" s="226">
        <v>171.13</v>
      </c>
      <c r="H57" s="227"/>
      <c r="I57" s="227">
        <v>87.46</v>
      </c>
      <c r="J57" s="227">
        <v>208.55</v>
      </c>
      <c r="K57" s="227">
        <v>161.55</v>
      </c>
      <c r="L57" s="227">
        <v>161.55</v>
      </c>
      <c r="M57" s="227">
        <v>173.73</v>
      </c>
      <c r="N57" s="227">
        <v>173.73</v>
      </c>
      <c r="O57" s="227">
        <v>198.49</v>
      </c>
      <c r="P57" s="227">
        <v>198.49</v>
      </c>
      <c r="Q57" s="227">
        <v>218.56</v>
      </c>
      <c r="R57" s="227">
        <v>218.56</v>
      </c>
      <c r="S57" s="227">
        <v>258.88</v>
      </c>
      <c r="T57" s="227">
        <v>258.88</v>
      </c>
      <c r="U57" s="227">
        <v>274.46</v>
      </c>
      <c r="V57" s="227">
        <v>0</v>
      </c>
      <c r="W57" s="227"/>
      <c r="X57" s="227">
        <v>0</v>
      </c>
      <c r="Y57" s="227">
        <v>406.89</v>
      </c>
      <c r="Z57" s="227">
        <v>681.35</v>
      </c>
      <c r="AA57" s="227">
        <v>153.67</v>
      </c>
      <c r="AB57" s="227">
        <v>153.67</v>
      </c>
      <c r="AC57" s="229">
        <f t="shared" si="3"/>
        <v>2236.11133</v>
      </c>
      <c r="AD57" s="229">
        <f t="shared" si="4"/>
        <v>2126.19</v>
      </c>
      <c r="AE57" s="101">
        <f t="shared" si="5"/>
        <v>-1016.329259</v>
      </c>
      <c r="AF57" s="222"/>
      <c r="AG57" s="222"/>
      <c r="AH57" s="222"/>
    </row>
    <row r="58" s="7" customFormat="1" ht="35" customHeight="1" spans="1:34">
      <c r="A58" s="224">
        <v>55</v>
      </c>
      <c r="B58" s="224" t="s">
        <v>145</v>
      </c>
      <c r="C58" s="51" t="s">
        <v>146</v>
      </c>
      <c r="D58" s="112">
        <v>280.555426</v>
      </c>
      <c r="E58" s="225">
        <v>320.09403</v>
      </c>
      <c r="F58" s="226">
        <v>34.78</v>
      </c>
      <c r="G58" s="226">
        <v>390.95</v>
      </c>
      <c r="H58" s="227"/>
      <c r="I58" s="227">
        <v>251.73</v>
      </c>
      <c r="J58" s="227">
        <v>752.6</v>
      </c>
      <c r="K58" s="227">
        <v>221.2</v>
      </c>
      <c r="L58" s="227">
        <v>223.6</v>
      </c>
      <c r="M58" s="227">
        <v>165.16</v>
      </c>
      <c r="N58" s="227">
        <v>0</v>
      </c>
      <c r="O58" s="227">
        <v>203.93</v>
      </c>
      <c r="P58" s="227">
        <v>0</v>
      </c>
      <c r="Q58" s="227">
        <v>188.74</v>
      </c>
      <c r="R58" s="227">
        <v>0</v>
      </c>
      <c r="S58" s="227">
        <v>190.52</v>
      </c>
      <c r="T58" s="227">
        <v>831.4</v>
      </c>
      <c r="U58" s="227">
        <v>192.72</v>
      </c>
      <c r="V58" s="227">
        <v>0</v>
      </c>
      <c r="W58" s="227"/>
      <c r="X58" s="227">
        <v>0</v>
      </c>
      <c r="Y58" s="227">
        <v>399.68</v>
      </c>
      <c r="Z58" s="227">
        <v>0</v>
      </c>
      <c r="AA58" s="227">
        <v>207.42</v>
      </c>
      <c r="AB58" s="227">
        <v>0</v>
      </c>
      <c r="AC58" s="229">
        <f t="shared" si="3"/>
        <v>2732.14403</v>
      </c>
      <c r="AD58" s="229">
        <f t="shared" si="4"/>
        <v>1842.38</v>
      </c>
      <c r="AE58" s="101">
        <f t="shared" si="5"/>
        <v>-609.208604</v>
      </c>
      <c r="AF58" s="222"/>
      <c r="AG58" s="222"/>
      <c r="AH58" s="222"/>
    </row>
    <row r="59" s="7" customFormat="1" ht="35" customHeight="1" spans="1:34">
      <c r="A59" s="224">
        <v>56</v>
      </c>
      <c r="B59" s="224" t="s">
        <v>147</v>
      </c>
      <c r="C59" s="51" t="s">
        <v>148</v>
      </c>
      <c r="D59" s="112">
        <v>522.849</v>
      </c>
      <c r="E59" s="225">
        <v>182.98083</v>
      </c>
      <c r="F59" s="226">
        <v>182.98</v>
      </c>
      <c r="G59" s="226">
        <v>282.13</v>
      </c>
      <c r="H59" s="227"/>
      <c r="I59" s="227">
        <v>139.07</v>
      </c>
      <c r="J59" s="227">
        <v>139.07</v>
      </c>
      <c r="K59" s="227">
        <v>150.51</v>
      </c>
      <c r="L59" s="227">
        <v>0</v>
      </c>
      <c r="M59" s="227">
        <v>141.14</v>
      </c>
      <c r="N59" s="227">
        <v>291.65</v>
      </c>
      <c r="O59" s="227">
        <v>111.98</v>
      </c>
      <c r="P59" s="227">
        <v>111.98</v>
      </c>
      <c r="Q59" s="227">
        <v>124.12</v>
      </c>
      <c r="R59" s="227">
        <v>0</v>
      </c>
      <c r="S59" s="227">
        <v>138.03</v>
      </c>
      <c r="T59" s="227">
        <v>0</v>
      </c>
      <c r="U59" s="227">
        <v>134.89</v>
      </c>
      <c r="V59" s="227">
        <v>565.64</v>
      </c>
      <c r="W59" s="227"/>
      <c r="X59" s="227">
        <v>0</v>
      </c>
      <c r="Y59" s="227">
        <v>244.99</v>
      </c>
      <c r="Z59" s="227">
        <v>0</v>
      </c>
      <c r="AA59" s="227">
        <v>135.76</v>
      </c>
      <c r="AB59" s="227">
        <v>380.75</v>
      </c>
      <c r="AC59" s="229">
        <f t="shared" si="3"/>
        <v>1785.60083</v>
      </c>
      <c r="AD59" s="229">
        <f t="shared" si="4"/>
        <v>1672.07</v>
      </c>
      <c r="AE59" s="101">
        <f t="shared" si="5"/>
        <v>409.31817</v>
      </c>
      <c r="AF59" s="222"/>
      <c r="AG59" s="222"/>
      <c r="AH59" s="222"/>
    </row>
    <row r="60" s="7" customFormat="1" ht="35" customHeight="1" spans="1:34">
      <c r="A60" s="224">
        <v>57</v>
      </c>
      <c r="B60" s="224" t="s">
        <v>149</v>
      </c>
      <c r="C60" s="51" t="s">
        <v>321</v>
      </c>
      <c r="D60" s="112">
        <v>686.774441</v>
      </c>
      <c r="E60" s="225">
        <v>156.86403</v>
      </c>
      <c r="F60" s="226"/>
      <c r="G60" s="226">
        <v>171.13</v>
      </c>
      <c r="H60" s="227"/>
      <c r="I60" s="227">
        <v>147.95</v>
      </c>
      <c r="J60" s="227">
        <v>793.61</v>
      </c>
      <c r="K60" s="227">
        <v>120.68</v>
      </c>
      <c r="L60" s="227">
        <v>0</v>
      </c>
      <c r="M60" s="227">
        <v>100.54</v>
      </c>
      <c r="N60" s="227">
        <v>0</v>
      </c>
      <c r="O60" s="227">
        <v>131.57</v>
      </c>
      <c r="P60" s="227">
        <v>0</v>
      </c>
      <c r="Q60" s="227">
        <v>199.78</v>
      </c>
      <c r="R60" s="227">
        <v>0</v>
      </c>
      <c r="S60" s="227">
        <v>216.23</v>
      </c>
      <c r="T60" s="227">
        <v>831.4</v>
      </c>
      <c r="U60" s="227">
        <v>252.22</v>
      </c>
      <c r="V60" s="227">
        <v>0</v>
      </c>
      <c r="W60" s="227"/>
      <c r="X60" s="227">
        <v>0</v>
      </c>
      <c r="Y60" s="227">
        <v>394.14</v>
      </c>
      <c r="Z60" s="227">
        <v>0</v>
      </c>
      <c r="AA60" s="227">
        <v>266.77</v>
      </c>
      <c r="AB60" s="227">
        <v>500</v>
      </c>
      <c r="AC60" s="229">
        <f t="shared" si="3"/>
        <v>2157.87403</v>
      </c>
      <c r="AD60" s="229">
        <f t="shared" si="4"/>
        <v>2125.01</v>
      </c>
      <c r="AE60" s="101">
        <f t="shared" si="5"/>
        <v>653.910411</v>
      </c>
      <c r="AF60" s="222"/>
      <c r="AG60" s="222"/>
      <c r="AH60" s="222"/>
    </row>
    <row r="61" s="7" customFormat="1" ht="35" customHeight="1" spans="1:34">
      <c r="A61" s="224">
        <v>58</v>
      </c>
      <c r="B61" s="224" t="s">
        <v>151</v>
      </c>
      <c r="C61" s="51" t="s">
        <v>152</v>
      </c>
      <c r="D61" s="112">
        <v>593.064986</v>
      </c>
      <c r="E61" s="225">
        <v>90.48383</v>
      </c>
      <c r="F61" s="226">
        <v>91</v>
      </c>
      <c r="G61" s="226">
        <v>80.27</v>
      </c>
      <c r="H61" s="227"/>
      <c r="I61" s="227">
        <v>15.87</v>
      </c>
      <c r="J61" s="227">
        <v>336.1</v>
      </c>
      <c r="K61" s="227">
        <v>104.67</v>
      </c>
      <c r="L61" s="227">
        <v>0</v>
      </c>
      <c r="M61" s="227">
        <v>57.08</v>
      </c>
      <c r="N61" s="227">
        <v>0</v>
      </c>
      <c r="O61" s="227">
        <v>76.07</v>
      </c>
      <c r="P61" s="227">
        <v>0</v>
      </c>
      <c r="Q61" s="227">
        <v>82.7</v>
      </c>
      <c r="R61" s="227">
        <v>73.69</v>
      </c>
      <c r="S61" s="227">
        <v>294.42</v>
      </c>
      <c r="T61" s="227">
        <v>300.77</v>
      </c>
      <c r="U61" s="227">
        <v>159.91</v>
      </c>
      <c r="V61" s="227">
        <v>159.91</v>
      </c>
      <c r="W61" s="227"/>
      <c r="X61" s="227">
        <v>0</v>
      </c>
      <c r="Y61" s="227">
        <v>110.82</v>
      </c>
      <c r="Z61" s="227">
        <v>110.82</v>
      </c>
      <c r="AA61" s="227">
        <v>41.14</v>
      </c>
      <c r="AB61" s="227">
        <v>41.14</v>
      </c>
      <c r="AC61" s="229">
        <f t="shared" si="3"/>
        <v>1113.43383</v>
      </c>
      <c r="AD61" s="229">
        <f t="shared" si="4"/>
        <v>1113.43</v>
      </c>
      <c r="AE61" s="101">
        <f t="shared" si="5"/>
        <v>593.061156</v>
      </c>
      <c r="AF61" s="222"/>
      <c r="AG61" s="222"/>
      <c r="AH61" s="222"/>
    </row>
    <row r="62" s="222" customFormat="1" ht="35" customHeight="1" spans="1:31">
      <c r="A62" s="224">
        <v>59</v>
      </c>
      <c r="B62" s="224" t="s">
        <v>153</v>
      </c>
      <c r="C62" s="51" t="s">
        <v>154</v>
      </c>
      <c r="D62" s="112">
        <v>1288.720886</v>
      </c>
      <c r="E62" s="225">
        <v>286.35983</v>
      </c>
      <c r="F62" s="226">
        <v>286.36</v>
      </c>
      <c r="G62" s="226">
        <v>340.89</v>
      </c>
      <c r="H62" s="227"/>
      <c r="I62" s="227">
        <v>213.99</v>
      </c>
      <c r="J62" s="227">
        <v>340.89</v>
      </c>
      <c r="K62" s="227">
        <v>149.95</v>
      </c>
      <c r="L62" s="227">
        <v>0</v>
      </c>
      <c r="M62" s="227">
        <v>142.85</v>
      </c>
      <c r="N62" s="227">
        <v>506.79</v>
      </c>
      <c r="O62" s="227">
        <v>292.08</v>
      </c>
      <c r="P62" s="227">
        <v>292.08</v>
      </c>
      <c r="Q62" s="227">
        <v>303.06</v>
      </c>
      <c r="R62" s="227">
        <v>303.06</v>
      </c>
      <c r="S62" s="227">
        <v>424.02</v>
      </c>
      <c r="T62" s="227">
        <v>424.02</v>
      </c>
      <c r="U62" s="227">
        <v>523.58</v>
      </c>
      <c r="V62" s="227">
        <v>0</v>
      </c>
      <c r="W62" s="227"/>
      <c r="X62" s="227">
        <v>0</v>
      </c>
      <c r="Y62" s="227">
        <v>609.26</v>
      </c>
      <c r="Z62" s="227">
        <v>0</v>
      </c>
      <c r="AA62" s="227">
        <v>148.07</v>
      </c>
      <c r="AB62" s="227">
        <v>1280.91</v>
      </c>
      <c r="AC62" s="229">
        <f t="shared" si="3"/>
        <v>3434.10983</v>
      </c>
      <c r="AD62" s="229">
        <f t="shared" si="4"/>
        <v>3434.11</v>
      </c>
      <c r="AE62" s="101">
        <f t="shared" si="5"/>
        <v>1288.721056</v>
      </c>
    </row>
    <row r="63" s="222" customFormat="1" ht="35" customHeight="1" spans="1:31">
      <c r="A63" s="224">
        <v>60</v>
      </c>
      <c r="B63" s="224" t="s">
        <v>155</v>
      </c>
      <c r="C63" s="51" t="s">
        <v>322</v>
      </c>
      <c r="D63" s="112">
        <v>-156.503999999999</v>
      </c>
      <c r="E63" s="225">
        <v>126.39443</v>
      </c>
      <c r="F63" s="226">
        <v>126.39</v>
      </c>
      <c r="G63" s="226">
        <v>270.7</v>
      </c>
      <c r="H63" s="227"/>
      <c r="I63" s="227">
        <v>216.21</v>
      </c>
      <c r="J63" s="227">
        <v>486.91</v>
      </c>
      <c r="K63" s="227">
        <v>110.19</v>
      </c>
      <c r="L63" s="227">
        <v>110.19</v>
      </c>
      <c r="M63" s="227">
        <v>87.96</v>
      </c>
      <c r="N63" s="227">
        <v>87.96</v>
      </c>
      <c r="O63" s="227">
        <v>101.64</v>
      </c>
      <c r="P63" s="227">
        <v>101.64</v>
      </c>
      <c r="Q63" s="227">
        <v>82.15</v>
      </c>
      <c r="R63" s="227">
        <v>82.15</v>
      </c>
      <c r="S63" s="227">
        <v>144.05</v>
      </c>
      <c r="T63" s="227">
        <v>144.05</v>
      </c>
      <c r="U63" s="227">
        <v>141.56</v>
      </c>
      <c r="V63" s="227">
        <v>141.56</v>
      </c>
      <c r="W63" s="227"/>
      <c r="X63" s="227">
        <v>0</v>
      </c>
      <c r="Y63" s="227">
        <v>178.46</v>
      </c>
      <c r="Z63" s="227">
        <v>178.46</v>
      </c>
      <c r="AA63" s="227">
        <v>114.48</v>
      </c>
      <c r="AB63" s="227">
        <v>114.48</v>
      </c>
      <c r="AC63" s="229">
        <f t="shared" si="3"/>
        <v>1573.79443</v>
      </c>
      <c r="AD63" s="229">
        <f t="shared" si="4"/>
        <v>1573.79</v>
      </c>
      <c r="AE63" s="101">
        <f t="shared" si="5"/>
        <v>-156.508429999999</v>
      </c>
    </row>
    <row r="64" s="222" customFormat="1" ht="35" customHeight="1" spans="1:31">
      <c r="A64" s="224">
        <v>61</v>
      </c>
      <c r="B64" s="224" t="s">
        <v>157</v>
      </c>
      <c r="C64" s="51" t="s">
        <v>158</v>
      </c>
      <c r="D64" s="112">
        <v>687.136426</v>
      </c>
      <c r="E64" s="225">
        <v>142.71743</v>
      </c>
      <c r="F64" s="226"/>
      <c r="G64" s="226">
        <v>165.69</v>
      </c>
      <c r="H64" s="227"/>
      <c r="I64" s="227">
        <v>96.89</v>
      </c>
      <c r="J64" s="227">
        <v>440</v>
      </c>
      <c r="K64" s="227">
        <v>152.72</v>
      </c>
      <c r="L64" s="227">
        <v>0</v>
      </c>
      <c r="M64" s="227">
        <v>123.41</v>
      </c>
      <c r="N64" s="227">
        <v>0</v>
      </c>
      <c r="O64" s="227">
        <v>100.01</v>
      </c>
      <c r="P64" s="227">
        <v>0</v>
      </c>
      <c r="Q64" s="227">
        <v>97.06</v>
      </c>
      <c r="R64" s="227">
        <v>31.4</v>
      </c>
      <c r="S64" s="227">
        <v>89.91</v>
      </c>
      <c r="T64" s="227">
        <v>200</v>
      </c>
      <c r="U64" s="227">
        <v>82.06</v>
      </c>
      <c r="V64" s="227">
        <v>0</v>
      </c>
      <c r="W64" s="227"/>
      <c r="X64" s="227">
        <v>299.92</v>
      </c>
      <c r="Y64" s="227">
        <v>197.31</v>
      </c>
      <c r="Z64" s="227">
        <v>0</v>
      </c>
      <c r="AA64" s="227">
        <v>111.12</v>
      </c>
      <c r="AB64" s="227">
        <v>0</v>
      </c>
      <c r="AC64" s="229">
        <f t="shared" si="3"/>
        <v>1358.89743</v>
      </c>
      <c r="AD64" s="229">
        <f t="shared" si="4"/>
        <v>971.32</v>
      </c>
      <c r="AE64" s="101">
        <f t="shared" si="5"/>
        <v>299.558996</v>
      </c>
    </row>
    <row r="65" s="222" customFormat="1" ht="35" customHeight="1" spans="1:31">
      <c r="A65" s="224">
        <v>62</v>
      </c>
      <c r="B65" s="224" t="s">
        <v>159</v>
      </c>
      <c r="C65" s="51" t="s">
        <v>160</v>
      </c>
      <c r="D65" s="112">
        <v>457.148621000001</v>
      </c>
      <c r="E65" s="225">
        <v>141.62923</v>
      </c>
      <c r="F65" s="226">
        <v>440</v>
      </c>
      <c r="G65" s="226">
        <v>220.64</v>
      </c>
      <c r="H65" s="227">
        <v>40</v>
      </c>
      <c r="I65" s="227">
        <v>173.48</v>
      </c>
      <c r="J65" s="227">
        <v>0</v>
      </c>
      <c r="K65" s="227">
        <v>150.51</v>
      </c>
      <c r="L65" s="227">
        <v>153</v>
      </c>
      <c r="M65" s="227">
        <v>148</v>
      </c>
      <c r="N65" s="227">
        <v>146</v>
      </c>
      <c r="O65" s="227">
        <v>163.13</v>
      </c>
      <c r="P65" s="227">
        <v>163</v>
      </c>
      <c r="Q65" s="227">
        <v>184.87</v>
      </c>
      <c r="R65" s="227">
        <v>0.4</v>
      </c>
      <c r="S65" s="227">
        <v>134.2</v>
      </c>
      <c r="T65" s="227">
        <v>319</v>
      </c>
      <c r="U65" s="227">
        <v>310.05</v>
      </c>
      <c r="V65" s="227">
        <v>310</v>
      </c>
      <c r="W65" s="227"/>
      <c r="X65" s="227">
        <v>0</v>
      </c>
      <c r="Y65" s="227">
        <v>335.37</v>
      </c>
      <c r="Z65" s="227">
        <v>335</v>
      </c>
      <c r="AA65" s="227">
        <v>128.48</v>
      </c>
      <c r="AB65" s="227">
        <v>128.24</v>
      </c>
      <c r="AC65" s="229">
        <f t="shared" si="3"/>
        <v>2090.35923</v>
      </c>
      <c r="AD65" s="229">
        <f t="shared" si="4"/>
        <v>2034.64</v>
      </c>
      <c r="AE65" s="101">
        <f t="shared" si="5"/>
        <v>401.429391000001</v>
      </c>
    </row>
    <row r="66" s="222" customFormat="1" ht="35" customHeight="1" spans="1:31">
      <c r="A66" s="224">
        <v>63</v>
      </c>
      <c r="B66" s="224" t="s">
        <v>161</v>
      </c>
      <c r="C66" s="51" t="s">
        <v>162</v>
      </c>
      <c r="D66" s="112">
        <v>1070.722811</v>
      </c>
      <c r="E66" s="225">
        <v>334.24063</v>
      </c>
      <c r="F66" s="226">
        <v>334.24</v>
      </c>
      <c r="G66" s="226">
        <v>452.43</v>
      </c>
      <c r="H66" s="227"/>
      <c r="I66" s="227">
        <v>287.25</v>
      </c>
      <c r="J66" s="227">
        <v>739.68</v>
      </c>
      <c r="K66" s="227">
        <v>229.48</v>
      </c>
      <c r="L66" s="227">
        <v>229.48</v>
      </c>
      <c r="M66" s="227">
        <v>206.33</v>
      </c>
      <c r="N66" s="227">
        <v>206.33</v>
      </c>
      <c r="O66" s="227">
        <v>224.61</v>
      </c>
      <c r="P66" s="227">
        <v>224.61</v>
      </c>
      <c r="Q66" s="227">
        <v>190.95</v>
      </c>
      <c r="R66" s="227">
        <v>190.95</v>
      </c>
      <c r="S66" s="227">
        <v>233.72</v>
      </c>
      <c r="T66" s="227">
        <v>233.72</v>
      </c>
      <c r="U66" s="227">
        <v>214.96</v>
      </c>
      <c r="V66" s="227">
        <v>214.96</v>
      </c>
      <c r="W66" s="227"/>
      <c r="X66" s="227">
        <v>0</v>
      </c>
      <c r="Y66" s="227">
        <v>419.64</v>
      </c>
      <c r="Z66" s="227">
        <v>419.64</v>
      </c>
      <c r="AA66" s="227">
        <v>186.14</v>
      </c>
      <c r="AB66" s="227">
        <v>186.14</v>
      </c>
      <c r="AC66" s="229">
        <f t="shared" si="3"/>
        <v>2979.75063</v>
      </c>
      <c r="AD66" s="229">
        <f t="shared" si="4"/>
        <v>2979.75</v>
      </c>
      <c r="AE66" s="101">
        <f t="shared" si="5"/>
        <v>1070.722181</v>
      </c>
    </row>
    <row r="67" s="222" customFormat="1" ht="35" customHeight="1" spans="1:31">
      <c r="A67" s="224">
        <v>64</v>
      </c>
      <c r="B67" s="224" t="s">
        <v>163</v>
      </c>
      <c r="C67" s="51" t="s">
        <v>164</v>
      </c>
      <c r="D67" s="112">
        <v>527.664886</v>
      </c>
      <c r="E67" s="225">
        <v>204.74483</v>
      </c>
      <c r="F67" s="226"/>
      <c r="G67" s="226">
        <v>266.35</v>
      </c>
      <c r="H67" s="227">
        <v>520</v>
      </c>
      <c r="I67" s="227">
        <v>240.63</v>
      </c>
      <c r="J67" s="227">
        <v>0</v>
      </c>
      <c r="K67" s="227">
        <v>198</v>
      </c>
      <c r="L67" s="227">
        <v>0</v>
      </c>
      <c r="M67" s="227">
        <v>168.59</v>
      </c>
      <c r="N67" s="227">
        <v>0</v>
      </c>
      <c r="O67" s="227">
        <v>169.66</v>
      </c>
      <c r="P67" s="227">
        <v>137.64</v>
      </c>
      <c r="Q67" s="227">
        <v>145.11</v>
      </c>
      <c r="R67" s="227">
        <v>0.69</v>
      </c>
      <c r="S67" s="227">
        <v>168.64</v>
      </c>
      <c r="T67" s="227">
        <v>56.75</v>
      </c>
      <c r="U67" s="227">
        <v>196.04</v>
      </c>
      <c r="V67" s="227">
        <v>196.04</v>
      </c>
      <c r="W67" s="227"/>
      <c r="X67" s="227">
        <v>0</v>
      </c>
      <c r="Y67" s="227">
        <v>409.11</v>
      </c>
      <c r="Z67" s="227">
        <v>0</v>
      </c>
      <c r="AA67" s="227">
        <v>214.7</v>
      </c>
      <c r="AB67" s="227">
        <v>623.81</v>
      </c>
      <c r="AC67" s="229">
        <f t="shared" si="3"/>
        <v>2381.57483</v>
      </c>
      <c r="AD67" s="229">
        <f t="shared" si="4"/>
        <v>1534.93</v>
      </c>
      <c r="AE67" s="101">
        <f t="shared" si="5"/>
        <v>-318.979944</v>
      </c>
    </row>
    <row r="68" s="7" customFormat="1" ht="35" customHeight="1" spans="1:34">
      <c r="A68" s="224">
        <v>65</v>
      </c>
      <c r="B68" s="51"/>
      <c r="C68" s="51" t="s">
        <v>165</v>
      </c>
      <c r="D68" s="112">
        <v>126.47</v>
      </c>
      <c r="E68" s="225">
        <v>31.0137</v>
      </c>
      <c r="F68" s="226">
        <v>35.84</v>
      </c>
      <c r="G68" s="226">
        <v>59.31</v>
      </c>
      <c r="H68" s="227"/>
      <c r="I68" s="227">
        <v>24.47</v>
      </c>
      <c r="J68" s="227">
        <v>78.95</v>
      </c>
      <c r="K68" s="227">
        <v>47.49</v>
      </c>
      <c r="L68" s="227">
        <v>47.49</v>
      </c>
      <c r="M68" s="227">
        <v>37.17</v>
      </c>
      <c r="N68" s="227">
        <v>37.17</v>
      </c>
      <c r="O68" s="227">
        <v>59.85</v>
      </c>
      <c r="P68" s="227">
        <v>59.85</v>
      </c>
      <c r="Q68" s="227">
        <v>320.83</v>
      </c>
      <c r="R68" s="227">
        <v>320.83</v>
      </c>
      <c r="S68" s="227"/>
      <c r="T68" s="227"/>
      <c r="U68" s="227"/>
      <c r="V68" s="227"/>
      <c r="W68" s="227"/>
      <c r="X68" s="227">
        <v>0</v>
      </c>
      <c r="Y68" s="227">
        <v>28.83</v>
      </c>
      <c r="Z68" s="227">
        <v>28.83</v>
      </c>
      <c r="AA68" s="227">
        <v>21.28</v>
      </c>
      <c r="AB68" s="227">
        <v>21.28</v>
      </c>
      <c r="AC68" s="229">
        <f t="shared" si="3"/>
        <v>630.2437</v>
      </c>
      <c r="AD68" s="229">
        <f t="shared" si="4"/>
        <v>630.24</v>
      </c>
      <c r="AE68" s="101">
        <f t="shared" si="5"/>
        <v>126.4663</v>
      </c>
      <c r="AF68" s="222"/>
      <c r="AG68" s="222"/>
      <c r="AH68" s="222"/>
    </row>
    <row r="69" s="223" customFormat="1" ht="35" customHeight="1" spans="1:34">
      <c r="A69" s="224">
        <v>66</v>
      </c>
      <c r="B69" s="51"/>
      <c r="C69" s="230" t="s">
        <v>323</v>
      </c>
      <c r="D69" s="112">
        <v>-1091.79</v>
      </c>
      <c r="E69" s="225">
        <v>48.45</v>
      </c>
      <c r="F69" s="226">
        <v>1128.56</v>
      </c>
      <c r="G69" s="226">
        <v>51.85</v>
      </c>
      <c r="H69" s="227"/>
      <c r="I69" s="227">
        <v>45.05</v>
      </c>
      <c r="J69" s="227"/>
      <c r="K69" s="227">
        <v>51</v>
      </c>
      <c r="L69" s="227"/>
      <c r="M69" s="227">
        <v>46.75</v>
      </c>
      <c r="N69" s="227"/>
      <c r="O69" s="227">
        <v>51.85</v>
      </c>
      <c r="P69" s="227"/>
      <c r="Q69" s="227">
        <v>47.6</v>
      </c>
      <c r="R69" s="227"/>
      <c r="S69" s="227">
        <v>51</v>
      </c>
      <c r="T69" s="227"/>
      <c r="U69" s="227">
        <v>47.6</v>
      </c>
      <c r="V69" s="227"/>
      <c r="W69" s="227"/>
      <c r="X69" s="227"/>
      <c r="Y69" s="227">
        <v>101.15</v>
      </c>
      <c r="Z69" s="227"/>
      <c r="AA69" s="227">
        <v>46.75</v>
      </c>
      <c r="AB69" s="227"/>
      <c r="AC69" s="229">
        <f t="shared" ref="AC69:AC100" si="6">E69+G69+I69+K69+M69+O69+Q69+S69+U69+W69+Y69+AA69</f>
        <v>589.05</v>
      </c>
      <c r="AD69" s="229">
        <f t="shared" ref="AD69:AD100" si="7">F69+H69+J69+L69+N69+P69+R69+T69+V69+X69+Z69+AB69</f>
        <v>1128.56</v>
      </c>
      <c r="AE69" s="101">
        <f t="shared" ref="AE69:AE100" si="8">D69+AD69-AC69</f>
        <v>-552.28</v>
      </c>
      <c r="AF69" s="222"/>
      <c r="AG69" s="222"/>
      <c r="AH69" s="222"/>
    </row>
    <row r="70" s="7" customFormat="1" ht="35" customHeight="1" spans="1:34">
      <c r="A70" s="224">
        <v>67</v>
      </c>
      <c r="B70" s="224" t="s">
        <v>167</v>
      </c>
      <c r="C70" s="51" t="s">
        <v>168</v>
      </c>
      <c r="D70" s="112">
        <v>150.26</v>
      </c>
      <c r="E70" s="225">
        <v>150.759228</v>
      </c>
      <c r="F70" s="226">
        <v>150.76</v>
      </c>
      <c r="G70" s="226">
        <v>181.41</v>
      </c>
      <c r="H70" s="227"/>
      <c r="I70" s="227">
        <v>131.42</v>
      </c>
      <c r="J70" s="227">
        <v>312.83</v>
      </c>
      <c r="K70" s="227">
        <v>130.99</v>
      </c>
      <c r="L70" s="227">
        <v>130.99</v>
      </c>
      <c r="M70" s="227">
        <v>106.51</v>
      </c>
      <c r="N70" s="227">
        <v>106.51</v>
      </c>
      <c r="O70" s="227">
        <v>108.44</v>
      </c>
      <c r="P70" s="227">
        <v>108.44</v>
      </c>
      <c r="Q70" s="227">
        <v>92.61</v>
      </c>
      <c r="R70" s="227">
        <v>172.32</v>
      </c>
      <c r="S70" s="227">
        <v>84.49</v>
      </c>
      <c r="T70" s="227">
        <v>4.78000000000002</v>
      </c>
      <c r="U70" s="227">
        <v>87.79</v>
      </c>
      <c r="V70" s="227">
        <v>87.79</v>
      </c>
      <c r="W70" s="227"/>
      <c r="X70" s="227">
        <v>0</v>
      </c>
      <c r="Y70" s="227">
        <v>217.3</v>
      </c>
      <c r="Z70" s="227">
        <v>0</v>
      </c>
      <c r="AA70" s="227">
        <v>224.25</v>
      </c>
      <c r="AB70" s="227">
        <v>441.55</v>
      </c>
      <c r="AC70" s="229">
        <f t="shared" si="6"/>
        <v>1515.969228</v>
      </c>
      <c r="AD70" s="229">
        <f t="shared" si="7"/>
        <v>1515.97</v>
      </c>
      <c r="AE70" s="101">
        <f t="shared" si="8"/>
        <v>150.260772</v>
      </c>
      <c r="AF70" s="222"/>
      <c r="AG70" s="222"/>
      <c r="AH70" s="222"/>
    </row>
    <row r="71" s="7" customFormat="1" ht="35" customHeight="1" spans="1:34">
      <c r="A71" s="224">
        <v>68</v>
      </c>
      <c r="B71" s="224" t="s">
        <v>169</v>
      </c>
      <c r="C71" s="51" t="s">
        <v>170</v>
      </c>
      <c r="D71" s="112">
        <v>13.6473809999999</v>
      </c>
      <c r="E71" s="225">
        <v>41.395128</v>
      </c>
      <c r="F71" s="226">
        <v>352.49</v>
      </c>
      <c r="G71" s="226">
        <v>46.48</v>
      </c>
      <c r="H71" s="227"/>
      <c r="I71" s="227">
        <v>34.3</v>
      </c>
      <c r="J71" s="227">
        <v>437.65</v>
      </c>
      <c r="K71" s="227">
        <v>39.87</v>
      </c>
      <c r="L71" s="227">
        <v>0</v>
      </c>
      <c r="M71" s="227">
        <v>49.9</v>
      </c>
      <c r="N71" s="227">
        <v>0</v>
      </c>
      <c r="O71" s="227">
        <v>55.12</v>
      </c>
      <c r="P71" s="227">
        <v>0</v>
      </c>
      <c r="Q71" s="227">
        <v>50.08</v>
      </c>
      <c r="R71" s="227">
        <v>0</v>
      </c>
      <c r="S71" s="227">
        <v>70.81</v>
      </c>
      <c r="T71" s="227">
        <v>0</v>
      </c>
      <c r="U71" s="227">
        <v>60.54</v>
      </c>
      <c r="V71" s="227">
        <v>0</v>
      </c>
      <c r="W71" s="227"/>
      <c r="X71" s="227">
        <v>0</v>
      </c>
      <c r="Y71" s="227">
        <v>155.76</v>
      </c>
      <c r="Z71" s="227">
        <v>0</v>
      </c>
      <c r="AA71" s="227">
        <v>37.81</v>
      </c>
      <c r="AB71" s="227">
        <v>170.02</v>
      </c>
      <c r="AC71" s="229">
        <f t="shared" si="6"/>
        <v>642.065128</v>
      </c>
      <c r="AD71" s="229">
        <f t="shared" si="7"/>
        <v>960.16</v>
      </c>
      <c r="AE71" s="101">
        <f t="shared" si="8"/>
        <v>331.742253</v>
      </c>
      <c r="AF71" s="222"/>
      <c r="AG71" s="222"/>
      <c r="AH71" s="222"/>
    </row>
    <row r="72" s="7" customFormat="1" ht="35" customHeight="1" spans="1:34">
      <c r="A72" s="224">
        <v>69</v>
      </c>
      <c r="B72" s="224" t="s">
        <v>171</v>
      </c>
      <c r="C72" s="51" t="s">
        <v>172</v>
      </c>
      <c r="D72" s="112">
        <v>115.163346000001</v>
      </c>
      <c r="E72" s="225">
        <v>415.735928</v>
      </c>
      <c r="F72" s="226">
        <v>415.74</v>
      </c>
      <c r="G72" s="226">
        <v>525.29</v>
      </c>
      <c r="H72" s="227"/>
      <c r="I72" s="227">
        <v>192.47</v>
      </c>
      <c r="J72" s="227">
        <v>717.76</v>
      </c>
      <c r="K72" s="227">
        <v>175.73</v>
      </c>
      <c r="L72" s="227">
        <v>175.73</v>
      </c>
      <c r="M72" s="227">
        <v>172.28</v>
      </c>
      <c r="N72" s="227">
        <v>172.28</v>
      </c>
      <c r="O72" s="227">
        <v>219.44</v>
      </c>
      <c r="P72" s="227">
        <v>219.44</v>
      </c>
      <c r="Q72" s="227">
        <v>240.06</v>
      </c>
      <c r="R72" s="227">
        <v>240.06</v>
      </c>
      <c r="S72" s="227">
        <v>368.28</v>
      </c>
      <c r="T72" s="227">
        <v>368.28</v>
      </c>
      <c r="U72" s="227">
        <v>372.5</v>
      </c>
      <c r="V72" s="227">
        <v>372.5</v>
      </c>
      <c r="W72" s="227"/>
      <c r="X72" s="227">
        <v>0</v>
      </c>
      <c r="Y72" s="227">
        <v>401.37</v>
      </c>
      <c r="Z72" s="227">
        <v>401.37</v>
      </c>
      <c r="AA72" s="227">
        <v>150.35</v>
      </c>
      <c r="AB72" s="227">
        <v>150.35</v>
      </c>
      <c r="AC72" s="229">
        <f t="shared" si="6"/>
        <v>3233.505928</v>
      </c>
      <c r="AD72" s="229">
        <f t="shared" si="7"/>
        <v>3233.51</v>
      </c>
      <c r="AE72" s="101">
        <f t="shared" si="8"/>
        <v>115.167418</v>
      </c>
      <c r="AF72" s="222"/>
      <c r="AG72" s="222"/>
      <c r="AH72" s="222"/>
    </row>
    <row r="73" s="7" customFormat="1" ht="35" customHeight="1" spans="1:34">
      <c r="A73" s="224">
        <v>70</v>
      </c>
      <c r="B73" s="224" t="s">
        <v>173</v>
      </c>
      <c r="C73" s="51" t="s">
        <v>174</v>
      </c>
      <c r="D73" s="112">
        <v>588.849999999999</v>
      </c>
      <c r="E73" s="225">
        <v>454.911128</v>
      </c>
      <c r="F73" s="226">
        <v>440</v>
      </c>
      <c r="G73" s="226">
        <v>457.27</v>
      </c>
      <c r="H73" s="227">
        <v>39.35</v>
      </c>
      <c r="I73" s="227">
        <v>160.28</v>
      </c>
      <c r="J73" s="227">
        <v>300</v>
      </c>
      <c r="K73" s="227">
        <v>243.1</v>
      </c>
      <c r="L73" s="227">
        <v>0</v>
      </c>
      <c r="M73" s="227">
        <v>210.02</v>
      </c>
      <c r="N73" s="227">
        <v>220</v>
      </c>
      <c r="O73" s="227">
        <v>243.38</v>
      </c>
      <c r="P73" s="227">
        <v>300</v>
      </c>
      <c r="Q73" s="227">
        <v>366.53</v>
      </c>
      <c r="R73" s="227">
        <v>0</v>
      </c>
      <c r="S73" s="227">
        <v>321.81</v>
      </c>
      <c r="T73" s="227">
        <v>616.98</v>
      </c>
      <c r="U73" s="227">
        <v>371.39</v>
      </c>
      <c r="V73" s="227">
        <v>371.39</v>
      </c>
      <c r="W73" s="227"/>
      <c r="X73" s="227">
        <v>0</v>
      </c>
      <c r="Y73" s="227">
        <v>632.02</v>
      </c>
      <c r="Z73" s="227">
        <v>632.02</v>
      </c>
      <c r="AA73" s="227">
        <v>181.7</v>
      </c>
      <c r="AB73" s="227">
        <v>243.34</v>
      </c>
      <c r="AC73" s="229">
        <f t="shared" si="6"/>
        <v>3642.411128</v>
      </c>
      <c r="AD73" s="229">
        <f t="shared" si="7"/>
        <v>3163.08</v>
      </c>
      <c r="AE73" s="101">
        <f t="shared" si="8"/>
        <v>109.518872</v>
      </c>
      <c r="AF73" s="222"/>
      <c r="AG73" s="222"/>
      <c r="AH73" s="222"/>
    </row>
    <row r="74" s="7" customFormat="1" ht="35" customHeight="1" spans="1:34">
      <c r="A74" s="224">
        <v>71</v>
      </c>
      <c r="B74" s="224" t="s">
        <v>175</v>
      </c>
      <c r="C74" s="51" t="s">
        <v>176</v>
      </c>
      <c r="D74" s="112">
        <v>463.48</v>
      </c>
      <c r="E74" s="225">
        <v>259.035128</v>
      </c>
      <c r="F74" s="226">
        <v>259.04</v>
      </c>
      <c r="G74" s="226">
        <v>214.06</v>
      </c>
      <c r="H74" s="227"/>
      <c r="I74" s="227">
        <v>165.28</v>
      </c>
      <c r="J74" s="227">
        <v>379.34</v>
      </c>
      <c r="K74" s="227">
        <v>188.43</v>
      </c>
      <c r="L74" s="227">
        <v>188.43</v>
      </c>
      <c r="M74" s="227">
        <v>161.98</v>
      </c>
      <c r="N74" s="227">
        <v>161.98</v>
      </c>
      <c r="O74" s="227">
        <v>160.67</v>
      </c>
      <c r="P74" s="227">
        <v>160.67</v>
      </c>
      <c r="Q74" s="227">
        <v>160.54</v>
      </c>
      <c r="R74" s="227">
        <v>160.54</v>
      </c>
      <c r="S74" s="227">
        <v>185.65</v>
      </c>
      <c r="T74" s="227">
        <v>185.65</v>
      </c>
      <c r="U74" s="227">
        <v>196.78</v>
      </c>
      <c r="V74" s="227">
        <v>196.78</v>
      </c>
      <c r="W74" s="227"/>
      <c r="X74" s="227">
        <v>0</v>
      </c>
      <c r="Y74" s="227">
        <v>337.61</v>
      </c>
      <c r="Z74" s="227">
        <v>337.61</v>
      </c>
      <c r="AA74" s="227">
        <v>171.06</v>
      </c>
      <c r="AB74" s="227">
        <v>171.06</v>
      </c>
      <c r="AC74" s="229">
        <f t="shared" si="6"/>
        <v>2201.095128</v>
      </c>
      <c r="AD74" s="229">
        <f t="shared" si="7"/>
        <v>2201.1</v>
      </c>
      <c r="AE74" s="101">
        <f t="shared" si="8"/>
        <v>463.484872</v>
      </c>
      <c r="AF74" s="222"/>
      <c r="AG74" s="222"/>
      <c r="AH74" s="222"/>
    </row>
    <row r="75" s="7" customFormat="1" ht="35" customHeight="1" spans="1:34">
      <c r="A75" s="224">
        <v>72</v>
      </c>
      <c r="B75" s="224" t="s">
        <v>177</v>
      </c>
      <c r="C75" s="51" t="s">
        <v>178</v>
      </c>
      <c r="D75" s="112">
        <v>397.869701</v>
      </c>
      <c r="E75" s="225">
        <v>175.243728</v>
      </c>
      <c r="F75" s="226"/>
      <c r="G75" s="226">
        <v>239.09</v>
      </c>
      <c r="H75" s="227">
        <v>679.35</v>
      </c>
      <c r="I75" s="227">
        <v>126.98</v>
      </c>
      <c r="J75" s="227">
        <v>0</v>
      </c>
      <c r="K75" s="227">
        <v>155.29</v>
      </c>
      <c r="L75" s="227">
        <v>0</v>
      </c>
      <c r="M75" s="227">
        <v>130.53</v>
      </c>
      <c r="N75" s="227">
        <v>0</v>
      </c>
      <c r="O75" s="227">
        <v>168.29</v>
      </c>
      <c r="P75" s="227">
        <v>0</v>
      </c>
      <c r="Q75" s="227">
        <v>185.94</v>
      </c>
      <c r="R75" s="227">
        <v>0</v>
      </c>
      <c r="S75" s="227">
        <v>238.14</v>
      </c>
      <c r="T75" s="227">
        <v>1000</v>
      </c>
      <c r="U75" s="227">
        <v>245.16</v>
      </c>
      <c r="V75" s="227">
        <v>0</v>
      </c>
      <c r="W75" s="227"/>
      <c r="X75" s="227">
        <v>0</v>
      </c>
      <c r="Y75" s="227">
        <v>427.99</v>
      </c>
      <c r="Z75" s="227">
        <v>1000</v>
      </c>
      <c r="AA75" s="227">
        <v>135.23</v>
      </c>
      <c r="AB75" s="227">
        <v>0</v>
      </c>
      <c r="AC75" s="229">
        <f t="shared" si="6"/>
        <v>2227.883728</v>
      </c>
      <c r="AD75" s="229">
        <f t="shared" si="7"/>
        <v>2679.35</v>
      </c>
      <c r="AE75" s="101">
        <f t="shared" si="8"/>
        <v>849.335973</v>
      </c>
      <c r="AF75" s="222"/>
      <c r="AG75" s="222"/>
      <c r="AH75" s="222"/>
    </row>
    <row r="76" s="7" customFormat="1" ht="35" customHeight="1" spans="1:34">
      <c r="A76" s="224">
        <v>73</v>
      </c>
      <c r="B76" s="224" t="s">
        <v>179</v>
      </c>
      <c r="C76" s="51" t="s">
        <v>180</v>
      </c>
      <c r="D76" s="112">
        <v>194.369981</v>
      </c>
      <c r="E76" s="225">
        <v>193.199028</v>
      </c>
      <c r="F76" s="226">
        <v>940</v>
      </c>
      <c r="G76" s="226">
        <v>226.57</v>
      </c>
      <c r="H76" s="227"/>
      <c r="I76" s="227">
        <v>188.03</v>
      </c>
      <c r="J76" s="227">
        <v>0</v>
      </c>
      <c r="K76" s="227">
        <v>134.86</v>
      </c>
      <c r="L76" s="227">
        <v>0</v>
      </c>
      <c r="M76" s="227">
        <v>141.97</v>
      </c>
      <c r="N76" s="227">
        <v>0</v>
      </c>
      <c r="O76" s="227">
        <v>154.69</v>
      </c>
      <c r="P76" s="227">
        <v>400</v>
      </c>
      <c r="Q76" s="227">
        <v>195.88</v>
      </c>
      <c r="R76" s="227">
        <v>0</v>
      </c>
      <c r="S76" s="227">
        <v>150.65</v>
      </c>
      <c r="T76" s="227">
        <v>200</v>
      </c>
      <c r="U76" s="227">
        <v>126.16</v>
      </c>
      <c r="V76" s="227">
        <v>0</v>
      </c>
      <c r="W76" s="227"/>
      <c r="X76" s="227">
        <v>130</v>
      </c>
      <c r="Y76" s="227">
        <v>291.04</v>
      </c>
      <c r="Z76" s="227">
        <v>300</v>
      </c>
      <c r="AA76" s="227">
        <v>136.91</v>
      </c>
      <c r="AB76" s="227">
        <v>343.34</v>
      </c>
      <c r="AC76" s="229">
        <f t="shared" si="6"/>
        <v>1939.959028</v>
      </c>
      <c r="AD76" s="229">
        <f t="shared" si="7"/>
        <v>2313.34</v>
      </c>
      <c r="AE76" s="101">
        <f t="shared" si="8"/>
        <v>567.750953</v>
      </c>
      <c r="AF76" s="222"/>
      <c r="AG76" s="222"/>
      <c r="AH76" s="222"/>
    </row>
    <row r="77" s="7" customFormat="1" ht="35" customHeight="1" spans="1:34">
      <c r="A77" s="224">
        <v>74</v>
      </c>
      <c r="B77" s="224" t="s">
        <v>181</v>
      </c>
      <c r="C77" s="51" t="s">
        <v>182</v>
      </c>
      <c r="D77" s="112">
        <v>298.88</v>
      </c>
      <c r="E77" s="225">
        <v>0</v>
      </c>
      <c r="F77" s="226"/>
      <c r="G77" s="226"/>
      <c r="H77" s="227"/>
      <c r="I77" s="227"/>
      <c r="J77" s="227">
        <v>0</v>
      </c>
      <c r="K77" s="227">
        <v>0</v>
      </c>
      <c r="L77" s="227">
        <v>0</v>
      </c>
      <c r="M77" s="227"/>
      <c r="N77" s="227">
        <v>0</v>
      </c>
      <c r="O77" s="227"/>
      <c r="P77" s="227">
        <v>0</v>
      </c>
      <c r="Q77" s="227"/>
      <c r="R77" s="227">
        <v>0</v>
      </c>
      <c r="S77" s="227"/>
      <c r="T77" s="227">
        <v>0</v>
      </c>
      <c r="U77" s="227"/>
      <c r="V77" s="227">
        <v>0</v>
      </c>
      <c r="W77" s="227"/>
      <c r="X77" s="227">
        <v>0</v>
      </c>
      <c r="Y77" s="227"/>
      <c r="Z77" s="227">
        <v>0</v>
      </c>
      <c r="AA77" s="227"/>
      <c r="AB77" s="227">
        <v>0</v>
      </c>
      <c r="AC77" s="229">
        <f t="shared" si="6"/>
        <v>0</v>
      </c>
      <c r="AD77" s="229">
        <f t="shared" si="7"/>
        <v>0</v>
      </c>
      <c r="AE77" s="101">
        <f t="shared" si="8"/>
        <v>298.88</v>
      </c>
      <c r="AF77" s="222"/>
      <c r="AG77" s="222"/>
      <c r="AH77" s="222"/>
    </row>
    <row r="78" s="7" customFormat="1" ht="35" customHeight="1" spans="1:34">
      <c r="A78" s="224">
        <v>75</v>
      </c>
      <c r="B78" s="224" t="s">
        <v>183</v>
      </c>
      <c r="C78" s="51" t="s">
        <v>184</v>
      </c>
      <c r="D78" s="112">
        <v>14.0500000000002</v>
      </c>
      <c r="E78" s="225">
        <v>356.973128</v>
      </c>
      <c r="F78" s="226">
        <v>356.97</v>
      </c>
      <c r="G78" s="226">
        <v>398.51</v>
      </c>
      <c r="H78" s="227"/>
      <c r="I78" s="227">
        <v>277.38</v>
      </c>
      <c r="J78" s="227">
        <v>675.89</v>
      </c>
      <c r="K78" s="227">
        <v>317.66</v>
      </c>
      <c r="L78" s="227">
        <v>317.66</v>
      </c>
      <c r="M78" s="227">
        <v>232.89</v>
      </c>
      <c r="N78" s="227">
        <v>232.89</v>
      </c>
      <c r="O78" s="227">
        <v>253.71</v>
      </c>
      <c r="P78" s="227">
        <v>253.71</v>
      </c>
      <c r="Q78" s="227">
        <v>243.93</v>
      </c>
      <c r="R78" s="227">
        <v>243.93</v>
      </c>
      <c r="S78" s="227">
        <v>371.02</v>
      </c>
      <c r="T78" s="227">
        <v>371.02</v>
      </c>
      <c r="U78" s="227">
        <v>381.4</v>
      </c>
      <c r="V78" s="227">
        <v>381.4</v>
      </c>
      <c r="W78" s="227"/>
      <c r="X78" s="227">
        <v>0</v>
      </c>
      <c r="Y78" s="227">
        <v>710.75</v>
      </c>
      <c r="Z78" s="227">
        <v>710.75</v>
      </c>
      <c r="AA78" s="227">
        <v>316.07</v>
      </c>
      <c r="AB78" s="227">
        <v>316.07</v>
      </c>
      <c r="AC78" s="229">
        <f t="shared" si="6"/>
        <v>3860.293128</v>
      </c>
      <c r="AD78" s="229">
        <f t="shared" si="7"/>
        <v>3860.29</v>
      </c>
      <c r="AE78" s="101">
        <f t="shared" si="8"/>
        <v>14.0468720000003</v>
      </c>
      <c r="AF78" s="222"/>
      <c r="AG78" s="222"/>
      <c r="AH78" s="222"/>
    </row>
    <row r="79" s="7" customFormat="1" ht="35" customHeight="1" spans="1:34">
      <c r="A79" s="224">
        <v>76</v>
      </c>
      <c r="B79" s="224" t="s">
        <v>185</v>
      </c>
      <c r="C79" s="51" t="s">
        <v>186</v>
      </c>
      <c r="D79" s="112">
        <v>61.303136</v>
      </c>
      <c r="E79" s="225">
        <v>53.909428</v>
      </c>
      <c r="F79" s="226">
        <v>-0.27</v>
      </c>
      <c r="G79" s="226">
        <v>60.62</v>
      </c>
      <c r="H79" s="227"/>
      <c r="I79" s="227">
        <v>42.62</v>
      </c>
      <c r="J79" s="227">
        <v>74.31</v>
      </c>
      <c r="K79" s="227">
        <v>41.53</v>
      </c>
      <c r="L79" s="227">
        <v>41.53</v>
      </c>
      <c r="M79" s="227">
        <v>31.6</v>
      </c>
      <c r="N79" s="227">
        <v>31.6</v>
      </c>
      <c r="O79" s="227">
        <v>19.75</v>
      </c>
      <c r="P79" s="227">
        <v>19.75</v>
      </c>
      <c r="Q79" s="227">
        <v>26.89</v>
      </c>
      <c r="R79" s="227">
        <v>26.89</v>
      </c>
      <c r="S79" s="227">
        <v>47.3</v>
      </c>
      <c r="T79" s="227">
        <v>47.3</v>
      </c>
      <c r="U79" s="227">
        <v>66.66</v>
      </c>
      <c r="V79" s="227">
        <v>66.66</v>
      </c>
      <c r="W79" s="227"/>
      <c r="X79" s="227">
        <v>0</v>
      </c>
      <c r="Y79" s="227">
        <v>72.59</v>
      </c>
      <c r="Z79" s="227">
        <v>72.59</v>
      </c>
      <c r="AA79" s="227">
        <v>28.85</v>
      </c>
      <c r="AB79" s="227">
        <v>28.85</v>
      </c>
      <c r="AC79" s="229">
        <f t="shared" si="6"/>
        <v>492.319428</v>
      </c>
      <c r="AD79" s="229">
        <f t="shared" si="7"/>
        <v>409.21</v>
      </c>
      <c r="AE79" s="101">
        <f t="shared" si="8"/>
        <v>-21.806292</v>
      </c>
      <c r="AF79" s="222"/>
      <c r="AG79" s="222"/>
      <c r="AH79" s="222"/>
    </row>
    <row r="80" s="7" customFormat="1" ht="35" customHeight="1" spans="1:34">
      <c r="A80" s="224">
        <v>77</v>
      </c>
      <c r="B80" s="224" t="s">
        <v>187</v>
      </c>
      <c r="C80" s="231" t="s">
        <v>188</v>
      </c>
      <c r="D80" s="112">
        <v>734.800000000001</v>
      </c>
      <c r="E80" s="225">
        <v>295.489828</v>
      </c>
      <c r="F80" s="226">
        <v>295.49</v>
      </c>
      <c r="G80" s="226">
        <v>325.06</v>
      </c>
      <c r="H80" s="227"/>
      <c r="I80" s="227">
        <v>244.64</v>
      </c>
      <c r="J80" s="227">
        <v>275.46</v>
      </c>
      <c r="K80" s="227">
        <v>211.62</v>
      </c>
      <c r="L80" s="227">
        <v>211.62</v>
      </c>
      <c r="M80" s="227">
        <v>192.86</v>
      </c>
      <c r="N80" s="227">
        <v>192.86</v>
      </c>
      <c r="O80" s="227">
        <v>185.16</v>
      </c>
      <c r="P80" s="227">
        <v>0</v>
      </c>
      <c r="Q80" s="227">
        <v>222.94</v>
      </c>
      <c r="R80" s="227">
        <v>0</v>
      </c>
      <c r="S80" s="227">
        <v>317.98</v>
      </c>
      <c r="T80" s="227">
        <v>726.08</v>
      </c>
      <c r="U80" s="227">
        <v>314.67</v>
      </c>
      <c r="V80" s="227">
        <v>314.67</v>
      </c>
      <c r="W80" s="227"/>
      <c r="X80" s="227">
        <v>0</v>
      </c>
      <c r="Y80" s="227">
        <v>394.72</v>
      </c>
      <c r="Z80" s="227">
        <v>394.72</v>
      </c>
      <c r="AA80" s="227">
        <v>222.01</v>
      </c>
      <c r="AB80" s="227">
        <v>0</v>
      </c>
      <c r="AC80" s="229">
        <f t="shared" si="6"/>
        <v>2927.149828</v>
      </c>
      <c r="AD80" s="229">
        <f t="shared" si="7"/>
        <v>2410.9</v>
      </c>
      <c r="AE80" s="101">
        <f t="shared" si="8"/>
        <v>218.550172000001</v>
      </c>
      <c r="AF80" s="222"/>
      <c r="AG80" s="222"/>
      <c r="AH80" s="222"/>
    </row>
    <row r="81" s="7" customFormat="1" ht="35" customHeight="1" spans="1:34">
      <c r="A81" s="224">
        <v>78</v>
      </c>
      <c r="B81" s="224" t="s">
        <v>189</v>
      </c>
      <c r="C81" s="51" t="s">
        <v>190</v>
      </c>
      <c r="D81" s="112">
        <v>932.444986000001</v>
      </c>
      <c r="E81" s="225">
        <v>438.588128</v>
      </c>
      <c r="F81" s="226"/>
      <c r="G81" s="226">
        <v>450.2</v>
      </c>
      <c r="H81" s="227"/>
      <c r="I81" s="227">
        <v>320.12</v>
      </c>
      <c r="J81" s="227">
        <v>486.55</v>
      </c>
      <c r="K81" s="227">
        <v>340.85</v>
      </c>
      <c r="L81" s="227">
        <v>0</v>
      </c>
      <c r="M81" s="227">
        <v>267.2</v>
      </c>
      <c r="N81" s="227">
        <v>0</v>
      </c>
      <c r="O81" s="227">
        <v>330.98</v>
      </c>
      <c r="P81" s="227">
        <v>0</v>
      </c>
      <c r="Q81" s="227">
        <v>347.2</v>
      </c>
      <c r="R81" s="227">
        <v>827.68</v>
      </c>
      <c r="S81" s="227">
        <v>438.28</v>
      </c>
      <c r="T81" s="227">
        <v>0</v>
      </c>
      <c r="U81" s="227">
        <v>488.72</v>
      </c>
      <c r="V81" s="227">
        <v>1200</v>
      </c>
      <c r="W81" s="227"/>
      <c r="X81" s="227">
        <v>0</v>
      </c>
      <c r="Y81" s="227">
        <v>629.25</v>
      </c>
      <c r="Z81" s="227">
        <v>0</v>
      </c>
      <c r="AA81" s="227">
        <v>288.08</v>
      </c>
      <c r="AB81" s="227">
        <v>881.34</v>
      </c>
      <c r="AC81" s="229">
        <f t="shared" si="6"/>
        <v>4339.468128</v>
      </c>
      <c r="AD81" s="229">
        <f t="shared" si="7"/>
        <v>3395.57</v>
      </c>
      <c r="AE81" s="101">
        <f t="shared" si="8"/>
        <v>-11.4531419999985</v>
      </c>
      <c r="AF81" s="222"/>
      <c r="AG81" s="222"/>
      <c r="AH81" s="222"/>
    </row>
    <row r="82" s="7" customFormat="1" ht="35" customHeight="1" spans="1:34">
      <c r="A82" s="224">
        <v>79</v>
      </c>
      <c r="B82" s="224" t="s">
        <v>191</v>
      </c>
      <c r="C82" s="51" t="s">
        <v>192</v>
      </c>
      <c r="D82" s="112">
        <v>439.760000000001</v>
      </c>
      <c r="E82" s="225">
        <v>128.451128</v>
      </c>
      <c r="F82" s="226">
        <v>210.24</v>
      </c>
      <c r="G82" s="226">
        <v>154.21</v>
      </c>
      <c r="H82" s="227"/>
      <c r="I82" s="227">
        <v>222.99</v>
      </c>
      <c r="J82" s="227">
        <v>222.99</v>
      </c>
      <c r="K82" s="227">
        <v>106.14</v>
      </c>
      <c r="L82" s="227">
        <v>106.14</v>
      </c>
      <c r="M82" s="227">
        <v>109.37</v>
      </c>
      <c r="N82" s="227">
        <v>109.37</v>
      </c>
      <c r="O82" s="227">
        <v>110.07</v>
      </c>
      <c r="P82" s="227">
        <v>110.07</v>
      </c>
      <c r="Q82" s="227">
        <v>132.92</v>
      </c>
      <c r="R82" s="227">
        <v>132.92</v>
      </c>
      <c r="S82" s="227">
        <v>179.63</v>
      </c>
      <c r="T82" s="227">
        <v>0</v>
      </c>
      <c r="U82" s="227">
        <v>255.17</v>
      </c>
      <c r="V82" s="227">
        <v>0</v>
      </c>
      <c r="W82" s="227"/>
      <c r="X82" s="227">
        <v>0</v>
      </c>
      <c r="Y82" s="227">
        <v>253.34</v>
      </c>
      <c r="Z82" s="227">
        <v>0</v>
      </c>
      <c r="AA82" s="227">
        <v>116.75</v>
      </c>
      <c r="AB82" s="227">
        <v>804.89</v>
      </c>
      <c r="AC82" s="229">
        <f t="shared" si="6"/>
        <v>1769.041128</v>
      </c>
      <c r="AD82" s="229">
        <f t="shared" si="7"/>
        <v>1696.62</v>
      </c>
      <c r="AE82" s="101">
        <f t="shared" si="8"/>
        <v>367.338872000001</v>
      </c>
      <c r="AF82" s="222"/>
      <c r="AG82" s="222"/>
      <c r="AH82" s="222"/>
    </row>
    <row r="83" s="7" customFormat="1" ht="35" customHeight="1" spans="1:34">
      <c r="A83" s="224">
        <v>80</v>
      </c>
      <c r="B83" s="224" t="s">
        <v>193</v>
      </c>
      <c r="C83" s="51" t="s">
        <v>194</v>
      </c>
      <c r="D83" s="112">
        <v>290.75</v>
      </c>
      <c r="E83" s="225">
        <v>0</v>
      </c>
      <c r="F83" s="226"/>
      <c r="G83" s="226"/>
      <c r="H83" s="227"/>
      <c r="I83" s="227"/>
      <c r="J83" s="227">
        <v>0</v>
      </c>
      <c r="K83" s="227">
        <v>0</v>
      </c>
      <c r="L83" s="227">
        <v>0</v>
      </c>
      <c r="M83" s="227"/>
      <c r="N83" s="227">
        <v>0</v>
      </c>
      <c r="O83" s="227"/>
      <c r="P83" s="227">
        <v>0</v>
      </c>
      <c r="Q83" s="227"/>
      <c r="R83" s="227">
        <v>0</v>
      </c>
      <c r="S83" s="227"/>
      <c r="T83" s="227">
        <v>0</v>
      </c>
      <c r="U83" s="227"/>
      <c r="V83" s="227">
        <v>0</v>
      </c>
      <c r="W83" s="227"/>
      <c r="X83" s="227">
        <v>0</v>
      </c>
      <c r="Y83" s="227"/>
      <c r="Z83" s="227">
        <v>0</v>
      </c>
      <c r="AA83" s="227"/>
      <c r="AB83" s="227">
        <v>0</v>
      </c>
      <c r="AC83" s="229">
        <f t="shared" si="6"/>
        <v>0</v>
      </c>
      <c r="AD83" s="229">
        <f t="shared" si="7"/>
        <v>0</v>
      </c>
      <c r="AE83" s="101">
        <f t="shared" si="8"/>
        <v>290.75</v>
      </c>
      <c r="AF83" s="222"/>
      <c r="AG83" s="222"/>
      <c r="AH83" s="222"/>
    </row>
    <row r="84" s="7" customFormat="1" ht="35" customHeight="1" spans="1:34">
      <c r="A84" s="224">
        <v>81</v>
      </c>
      <c r="B84" s="224" t="s">
        <v>195</v>
      </c>
      <c r="C84" s="51" t="s">
        <v>196</v>
      </c>
      <c r="D84" s="112">
        <v>692.622691</v>
      </c>
      <c r="E84" s="225">
        <v>232.374228</v>
      </c>
      <c r="F84" s="226"/>
      <c r="G84" s="226">
        <v>294.04</v>
      </c>
      <c r="H84" s="227"/>
      <c r="I84" s="227">
        <v>236.31</v>
      </c>
      <c r="J84" s="227">
        <v>49.85</v>
      </c>
      <c r="K84" s="227">
        <v>182.36</v>
      </c>
      <c r="L84" s="227">
        <v>0</v>
      </c>
      <c r="M84" s="227">
        <v>185.43</v>
      </c>
      <c r="N84" s="227">
        <v>0</v>
      </c>
      <c r="O84" s="227">
        <v>151.97</v>
      </c>
      <c r="P84" s="227">
        <v>0</v>
      </c>
      <c r="Q84" s="227">
        <v>156.67</v>
      </c>
      <c r="R84" s="227">
        <v>582.36</v>
      </c>
      <c r="S84" s="227">
        <v>149.01</v>
      </c>
      <c r="T84" s="227">
        <v>1000</v>
      </c>
      <c r="U84" s="227">
        <v>203.45</v>
      </c>
      <c r="V84" s="227">
        <v>0</v>
      </c>
      <c r="W84" s="227"/>
      <c r="X84" s="227">
        <v>0</v>
      </c>
      <c r="Y84" s="227">
        <v>254.45</v>
      </c>
      <c r="Z84" s="227">
        <v>0</v>
      </c>
      <c r="AA84" s="227">
        <v>187.3</v>
      </c>
      <c r="AB84" s="227">
        <v>1843.34</v>
      </c>
      <c r="AC84" s="229">
        <f t="shared" si="6"/>
        <v>2233.364228</v>
      </c>
      <c r="AD84" s="229">
        <f t="shared" si="7"/>
        <v>3475.55</v>
      </c>
      <c r="AE84" s="101">
        <f t="shared" si="8"/>
        <v>1934.808463</v>
      </c>
      <c r="AF84" s="222"/>
      <c r="AG84" s="222"/>
      <c r="AH84" s="222"/>
    </row>
    <row r="85" s="7" customFormat="1" ht="35" customHeight="1" spans="1:34">
      <c r="A85" s="224">
        <v>82</v>
      </c>
      <c r="B85" s="224" t="s">
        <v>197</v>
      </c>
      <c r="C85" s="51" t="s">
        <v>198</v>
      </c>
      <c r="D85" s="112">
        <v>1.90606600000024</v>
      </c>
      <c r="E85" s="225">
        <v>100.702028</v>
      </c>
      <c r="F85" s="226"/>
      <c r="G85" s="226">
        <v>203.18</v>
      </c>
      <c r="H85" s="227"/>
      <c r="I85" s="227">
        <v>168.61</v>
      </c>
      <c r="J85" s="227">
        <v>781.05</v>
      </c>
      <c r="K85" s="227">
        <v>146.46</v>
      </c>
      <c r="L85" s="227">
        <v>0</v>
      </c>
      <c r="M85" s="227">
        <v>73.92</v>
      </c>
      <c r="N85" s="227">
        <v>0</v>
      </c>
      <c r="O85" s="227">
        <v>89.4</v>
      </c>
      <c r="P85" s="227">
        <v>0</v>
      </c>
      <c r="Q85" s="227">
        <v>90.95</v>
      </c>
      <c r="R85" s="227">
        <v>0</v>
      </c>
      <c r="S85" s="227">
        <v>146.82</v>
      </c>
      <c r="T85" s="227">
        <v>127.68</v>
      </c>
      <c r="U85" s="227">
        <v>173.98</v>
      </c>
      <c r="V85" s="227">
        <v>0</v>
      </c>
      <c r="W85" s="227"/>
      <c r="X85" s="227">
        <v>0</v>
      </c>
      <c r="Y85" s="227">
        <v>279.95</v>
      </c>
      <c r="Z85" s="227">
        <v>315</v>
      </c>
      <c r="AA85" s="227">
        <v>109.47</v>
      </c>
      <c r="AB85" s="227">
        <v>389.34</v>
      </c>
      <c r="AC85" s="229">
        <f t="shared" si="6"/>
        <v>1583.442028</v>
      </c>
      <c r="AD85" s="229">
        <f t="shared" si="7"/>
        <v>1613.07</v>
      </c>
      <c r="AE85" s="101">
        <f t="shared" si="8"/>
        <v>31.534038</v>
      </c>
      <c r="AF85" s="222"/>
      <c r="AG85" s="222"/>
      <c r="AH85" s="222"/>
    </row>
    <row r="86" s="7" customFormat="1" ht="35" customHeight="1" spans="1:34">
      <c r="A86" s="224">
        <v>83</v>
      </c>
      <c r="B86" s="224" t="s">
        <v>199</v>
      </c>
      <c r="C86" s="51" t="s">
        <v>200</v>
      </c>
      <c r="D86" s="112">
        <v>554.809621</v>
      </c>
      <c r="E86" s="225">
        <v>155.112028</v>
      </c>
      <c r="F86" s="226">
        <v>30</v>
      </c>
      <c r="G86" s="226">
        <v>161.83</v>
      </c>
      <c r="H86" s="227"/>
      <c r="I86" s="227">
        <v>67.04</v>
      </c>
      <c r="J86" s="227">
        <v>500</v>
      </c>
      <c r="K86" s="227">
        <v>129.34</v>
      </c>
      <c r="L86" s="227">
        <v>120</v>
      </c>
      <c r="M86" s="227">
        <v>106.51</v>
      </c>
      <c r="N86" s="227">
        <v>0</v>
      </c>
      <c r="O86" s="227">
        <v>132.38</v>
      </c>
      <c r="P86" s="227">
        <v>0</v>
      </c>
      <c r="Q86" s="227">
        <v>48.43</v>
      </c>
      <c r="R86" s="227">
        <v>39.35</v>
      </c>
      <c r="S86" s="227">
        <v>180.73</v>
      </c>
      <c r="T86" s="227">
        <v>69.35</v>
      </c>
      <c r="U86" s="227">
        <v>127.83</v>
      </c>
      <c r="V86" s="227">
        <v>200</v>
      </c>
      <c r="W86" s="227"/>
      <c r="X86" s="227">
        <v>50</v>
      </c>
      <c r="Y86" s="227">
        <v>229.5</v>
      </c>
      <c r="Z86" s="227">
        <v>0</v>
      </c>
      <c r="AA86" s="227">
        <v>131.31</v>
      </c>
      <c r="AB86" s="227">
        <v>338.34</v>
      </c>
      <c r="AC86" s="229">
        <f t="shared" si="6"/>
        <v>1470.012028</v>
      </c>
      <c r="AD86" s="229">
        <f t="shared" si="7"/>
        <v>1347.04</v>
      </c>
      <c r="AE86" s="101">
        <f t="shared" si="8"/>
        <v>431.837593</v>
      </c>
      <c r="AF86" s="222"/>
      <c r="AG86" s="222"/>
      <c r="AH86" s="222"/>
    </row>
    <row r="87" s="7" customFormat="1" ht="35" customHeight="1" spans="1:34">
      <c r="A87" s="224">
        <v>84</v>
      </c>
      <c r="B87" s="224" t="s">
        <v>201</v>
      </c>
      <c r="C87" s="51" t="s">
        <v>202</v>
      </c>
      <c r="D87" s="112">
        <v>287.8665</v>
      </c>
      <c r="E87" s="225">
        <v>354.796728</v>
      </c>
      <c r="F87" s="226">
        <v>354.8</v>
      </c>
      <c r="G87" s="226">
        <v>430.61</v>
      </c>
      <c r="H87" s="227"/>
      <c r="I87" s="227">
        <v>300.14</v>
      </c>
      <c r="J87" s="227">
        <v>436.25</v>
      </c>
      <c r="K87" s="227">
        <v>274.03</v>
      </c>
      <c r="L87" s="227">
        <v>274.03</v>
      </c>
      <c r="M87" s="227">
        <v>207.73</v>
      </c>
      <c r="N87" s="227">
        <v>207.73</v>
      </c>
      <c r="O87" s="227">
        <v>211.27</v>
      </c>
      <c r="P87" s="227">
        <v>211.27</v>
      </c>
      <c r="Q87" s="227">
        <v>216.32</v>
      </c>
      <c r="R87" s="227">
        <v>216.32</v>
      </c>
      <c r="S87" s="227">
        <v>203.69</v>
      </c>
      <c r="T87" s="227">
        <v>203.69</v>
      </c>
      <c r="U87" s="227">
        <v>251.28</v>
      </c>
      <c r="V87" s="227">
        <v>251.28</v>
      </c>
      <c r="W87" s="227"/>
      <c r="X87" s="227">
        <v>0</v>
      </c>
      <c r="Y87" s="227">
        <v>422.44</v>
      </c>
      <c r="Z87" s="227">
        <v>422.44</v>
      </c>
      <c r="AA87" s="227">
        <v>251.68</v>
      </c>
      <c r="AB87" s="227">
        <v>251.68</v>
      </c>
      <c r="AC87" s="229">
        <f t="shared" si="6"/>
        <v>3123.986728</v>
      </c>
      <c r="AD87" s="229">
        <f t="shared" si="7"/>
        <v>2829.49</v>
      </c>
      <c r="AE87" s="101">
        <f t="shared" si="8"/>
        <v>-6.63022799999999</v>
      </c>
      <c r="AF87" s="222"/>
      <c r="AG87" s="222"/>
      <c r="AH87" s="222"/>
    </row>
    <row r="88" s="7" customFormat="1" ht="35" customHeight="1" spans="1:34">
      <c r="A88" s="224">
        <v>85</v>
      </c>
      <c r="B88" s="224" t="s">
        <v>203</v>
      </c>
      <c r="C88" s="51" t="s">
        <v>204</v>
      </c>
      <c r="D88" s="112">
        <v>686.223196</v>
      </c>
      <c r="E88" s="225">
        <v>96.893328</v>
      </c>
      <c r="F88" s="226"/>
      <c r="G88" s="226">
        <v>125.37</v>
      </c>
      <c r="H88" s="227"/>
      <c r="I88" s="227">
        <v>89.24</v>
      </c>
      <c r="J88" s="227">
        <v>220.17</v>
      </c>
      <c r="K88" s="227">
        <v>102.28</v>
      </c>
      <c r="L88" s="227">
        <v>0</v>
      </c>
      <c r="M88" s="227">
        <v>89.93</v>
      </c>
      <c r="N88" s="227">
        <v>132.21</v>
      </c>
      <c r="O88" s="227">
        <v>78.51</v>
      </c>
      <c r="P88" s="227">
        <v>0</v>
      </c>
      <c r="Q88" s="227">
        <v>77.7</v>
      </c>
      <c r="R88" s="227">
        <v>200</v>
      </c>
      <c r="S88" s="227">
        <v>88.31</v>
      </c>
      <c r="T88" s="227">
        <v>0</v>
      </c>
      <c r="U88" s="227">
        <v>107.81</v>
      </c>
      <c r="V88" s="227">
        <v>0</v>
      </c>
      <c r="W88" s="227"/>
      <c r="X88" s="227">
        <v>0</v>
      </c>
      <c r="Y88" s="227">
        <v>226.17</v>
      </c>
      <c r="Z88" s="227">
        <v>0</v>
      </c>
      <c r="AA88" s="227">
        <v>96.6</v>
      </c>
      <c r="AB88" s="227">
        <v>213.45</v>
      </c>
      <c r="AC88" s="229">
        <f t="shared" si="6"/>
        <v>1178.813328</v>
      </c>
      <c r="AD88" s="229">
        <f t="shared" si="7"/>
        <v>765.83</v>
      </c>
      <c r="AE88" s="101">
        <f t="shared" si="8"/>
        <v>273.239868</v>
      </c>
      <c r="AF88" s="222"/>
      <c r="AG88" s="222"/>
      <c r="AH88" s="222"/>
    </row>
    <row r="89" s="7" customFormat="1" ht="35" customHeight="1" spans="1:34">
      <c r="A89" s="224">
        <v>86</v>
      </c>
      <c r="B89" s="224" t="s">
        <v>205</v>
      </c>
      <c r="C89" s="51" t="s">
        <v>206</v>
      </c>
      <c r="D89" s="112">
        <v>74.489836</v>
      </c>
      <c r="E89" s="225">
        <v>240.535728</v>
      </c>
      <c r="F89" s="226">
        <v>277.08</v>
      </c>
      <c r="G89" s="226">
        <v>272.28</v>
      </c>
      <c r="H89" s="227"/>
      <c r="I89" s="227">
        <v>105.34</v>
      </c>
      <c r="J89" s="227">
        <v>341.08</v>
      </c>
      <c r="K89" s="227">
        <v>171.31</v>
      </c>
      <c r="L89" s="227">
        <v>171.31</v>
      </c>
      <c r="M89" s="227">
        <v>158.55</v>
      </c>
      <c r="N89" s="227">
        <v>158.55</v>
      </c>
      <c r="O89" s="227">
        <v>171.01</v>
      </c>
      <c r="P89" s="227">
        <v>0</v>
      </c>
      <c r="Q89" s="227">
        <v>194.78</v>
      </c>
      <c r="R89" s="227">
        <v>365.79</v>
      </c>
      <c r="S89" s="227">
        <v>209.16</v>
      </c>
      <c r="T89" s="227">
        <v>209.16</v>
      </c>
      <c r="U89" s="227">
        <v>156.19</v>
      </c>
      <c r="V89" s="227">
        <v>156.19</v>
      </c>
      <c r="W89" s="227"/>
      <c r="X89" s="227">
        <v>0</v>
      </c>
      <c r="Y89" s="227">
        <v>413.02</v>
      </c>
      <c r="Z89" s="227">
        <v>0</v>
      </c>
      <c r="AA89" s="227">
        <v>196.82</v>
      </c>
      <c r="AB89" s="227">
        <v>609.84</v>
      </c>
      <c r="AC89" s="229">
        <f t="shared" si="6"/>
        <v>2288.995728</v>
      </c>
      <c r="AD89" s="229">
        <f t="shared" si="7"/>
        <v>2289</v>
      </c>
      <c r="AE89" s="101">
        <f t="shared" si="8"/>
        <v>74.4941079999994</v>
      </c>
      <c r="AF89" s="222"/>
      <c r="AG89" s="222"/>
      <c r="AH89" s="222"/>
    </row>
    <row r="90" s="7" customFormat="1" ht="35" customHeight="1" spans="1:34">
      <c r="A90" s="224">
        <v>87</v>
      </c>
      <c r="B90" s="224" t="s">
        <v>207</v>
      </c>
      <c r="C90" s="51" t="s">
        <v>208</v>
      </c>
      <c r="D90" s="112">
        <v>510.6103</v>
      </c>
      <c r="E90" s="225">
        <v>214.963028</v>
      </c>
      <c r="F90" s="226">
        <v>248.52</v>
      </c>
      <c r="G90" s="226">
        <v>255.96</v>
      </c>
      <c r="H90" s="227"/>
      <c r="I90" s="227">
        <v>93.13</v>
      </c>
      <c r="J90" s="227">
        <v>93.13</v>
      </c>
      <c r="K90" s="227">
        <v>123.82</v>
      </c>
      <c r="L90" s="227">
        <v>123.82</v>
      </c>
      <c r="M90" s="227">
        <v>105.37</v>
      </c>
      <c r="N90" s="227">
        <v>105.37</v>
      </c>
      <c r="O90" s="227">
        <v>138.91</v>
      </c>
      <c r="P90" s="227">
        <v>138.91</v>
      </c>
      <c r="Q90" s="227">
        <v>172.69</v>
      </c>
      <c r="R90" s="227">
        <v>172.69</v>
      </c>
      <c r="S90" s="227">
        <v>275.87</v>
      </c>
      <c r="T90" s="227">
        <v>275.87</v>
      </c>
      <c r="U90" s="227">
        <v>307.99</v>
      </c>
      <c r="V90" s="227">
        <v>307.99</v>
      </c>
      <c r="W90" s="227"/>
      <c r="X90" s="227">
        <v>0</v>
      </c>
      <c r="Y90" s="227">
        <v>313.22</v>
      </c>
      <c r="Z90" s="227">
        <v>313.22</v>
      </c>
      <c r="AA90" s="227">
        <v>84.84</v>
      </c>
      <c r="AB90" s="227">
        <v>84.84</v>
      </c>
      <c r="AC90" s="229">
        <f t="shared" si="6"/>
        <v>2086.763028</v>
      </c>
      <c r="AD90" s="229">
        <f t="shared" si="7"/>
        <v>1864.36</v>
      </c>
      <c r="AE90" s="101">
        <f t="shared" si="8"/>
        <v>288.207272</v>
      </c>
      <c r="AF90" s="222"/>
      <c r="AG90" s="222"/>
      <c r="AH90" s="222"/>
    </row>
    <row r="91" s="7" customFormat="1" ht="35" customHeight="1" spans="1:34">
      <c r="A91" s="224">
        <v>88</v>
      </c>
      <c r="B91" s="224" t="s">
        <v>209</v>
      </c>
      <c r="C91" s="51" t="s">
        <v>210</v>
      </c>
      <c r="D91" s="112">
        <v>-77.2999889999996</v>
      </c>
      <c r="E91" s="225">
        <v>319.430228</v>
      </c>
      <c r="F91" s="226">
        <v>319.43</v>
      </c>
      <c r="G91" s="226">
        <v>363.14</v>
      </c>
      <c r="H91" s="227"/>
      <c r="I91" s="227">
        <v>275.72</v>
      </c>
      <c r="J91" s="227">
        <v>363.14</v>
      </c>
      <c r="K91" s="227">
        <v>376.75</v>
      </c>
      <c r="L91" s="227">
        <v>653</v>
      </c>
      <c r="M91" s="227">
        <v>277.5</v>
      </c>
      <c r="N91" s="227">
        <v>0</v>
      </c>
      <c r="O91" s="227">
        <v>350.56</v>
      </c>
      <c r="P91" s="227">
        <v>627.53</v>
      </c>
      <c r="Q91" s="227">
        <v>348.86</v>
      </c>
      <c r="R91" s="227">
        <v>348.86</v>
      </c>
      <c r="S91" s="227">
        <v>462.88</v>
      </c>
      <c r="T91" s="227">
        <v>462.88</v>
      </c>
      <c r="U91" s="227">
        <v>358.6</v>
      </c>
      <c r="V91" s="227">
        <v>358.6</v>
      </c>
      <c r="W91" s="227"/>
      <c r="X91" s="227">
        <v>0</v>
      </c>
      <c r="Y91" s="227">
        <v>732.37</v>
      </c>
      <c r="Z91" s="227">
        <v>732.37</v>
      </c>
      <c r="AA91" s="227">
        <v>354.7</v>
      </c>
      <c r="AB91" s="227">
        <v>354.7</v>
      </c>
      <c r="AC91" s="229">
        <f t="shared" si="6"/>
        <v>4220.510228</v>
      </c>
      <c r="AD91" s="229">
        <f t="shared" si="7"/>
        <v>4220.51</v>
      </c>
      <c r="AE91" s="101">
        <f t="shared" si="8"/>
        <v>-77.3002169999991</v>
      </c>
      <c r="AF91" s="222"/>
      <c r="AG91" s="222"/>
      <c r="AH91" s="222"/>
    </row>
    <row r="92" s="7" customFormat="1" ht="35" customHeight="1" spans="1:34">
      <c r="A92" s="224">
        <v>89</v>
      </c>
      <c r="B92" s="224" t="s">
        <v>211</v>
      </c>
      <c r="C92" s="51" t="s">
        <v>212</v>
      </c>
      <c r="D92" s="112">
        <v>368.021356</v>
      </c>
      <c r="E92" s="225">
        <v>250.329528</v>
      </c>
      <c r="F92" s="226"/>
      <c r="G92" s="226">
        <v>294.59</v>
      </c>
      <c r="H92" s="227">
        <v>440</v>
      </c>
      <c r="I92" s="227">
        <v>235.76</v>
      </c>
      <c r="J92" s="227">
        <v>239.35</v>
      </c>
      <c r="K92" s="227">
        <v>217.7</v>
      </c>
      <c r="L92" s="227">
        <v>500</v>
      </c>
      <c r="M92" s="227">
        <v>178.57</v>
      </c>
      <c r="N92" s="227">
        <v>0</v>
      </c>
      <c r="O92" s="227">
        <v>224.33</v>
      </c>
      <c r="P92" s="227">
        <v>500</v>
      </c>
      <c r="Q92" s="227">
        <v>194.78</v>
      </c>
      <c r="R92" s="227">
        <v>0</v>
      </c>
      <c r="S92" s="227">
        <v>239.24</v>
      </c>
      <c r="T92" s="227">
        <v>127.68</v>
      </c>
      <c r="U92" s="227">
        <v>252.94</v>
      </c>
      <c r="V92" s="227">
        <v>0</v>
      </c>
      <c r="W92" s="227"/>
      <c r="X92" s="227">
        <v>0</v>
      </c>
      <c r="Y92" s="227">
        <v>396.38</v>
      </c>
      <c r="Z92" s="227">
        <v>500</v>
      </c>
      <c r="AA92" s="227">
        <v>191.22</v>
      </c>
      <c r="AB92" s="227">
        <v>343.34</v>
      </c>
      <c r="AC92" s="229">
        <f t="shared" si="6"/>
        <v>2675.839528</v>
      </c>
      <c r="AD92" s="229">
        <f t="shared" si="7"/>
        <v>2650.37</v>
      </c>
      <c r="AE92" s="101">
        <f t="shared" si="8"/>
        <v>342.551828</v>
      </c>
      <c r="AF92" s="222"/>
      <c r="AG92" s="222"/>
      <c r="AH92" s="222"/>
    </row>
    <row r="93" s="7" customFormat="1" ht="35" customHeight="1" spans="1:34">
      <c r="A93" s="224">
        <v>90</v>
      </c>
      <c r="B93" s="224" t="s">
        <v>213</v>
      </c>
      <c r="C93" s="51" t="s">
        <v>214</v>
      </c>
      <c r="D93" s="112">
        <v>456.223800000001</v>
      </c>
      <c r="E93" s="225">
        <v>253.594128</v>
      </c>
      <c r="F93" s="226">
        <v>264.51</v>
      </c>
      <c r="G93" s="226">
        <v>294.59</v>
      </c>
      <c r="H93" s="227"/>
      <c r="I93" s="227">
        <v>172.49</v>
      </c>
      <c r="J93" s="227">
        <v>172.49</v>
      </c>
      <c r="K93" s="227">
        <v>190.09</v>
      </c>
      <c r="L93" s="227">
        <v>190.09</v>
      </c>
      <c r="M93" s="227">
        <v>139.68</v>
      </c>
      <c r="N93" s="227">
        <v>139.68</v>
      </c>
      <c r="O93" s="227">
        <v>212.91</v>
      </c>
      <c r="P93" s="227">
        <v>212.91</v>
      </c>
      <c r="Q93" s="227">
        <v>245.03</v>
      </c>
      <c r="R93" s="227">
        <v>245.03</v>
      </c>
      <c r="S93" s="227">
        <v>296.65</v>
      </c>
      <c r="T93" s="227">
        <v>296.65</v>
      </c>
      <c r="U93" s="227">
        <v>305.21</v>
      </c>
      <c r="V93" s="227">
        <v>305.21</v>
      </c>
      <c r="W93" s="227"/>
      <c r="X93" s="227">
        <v>0</v>
      </c>
      <c r="Y93" s="227">
        <v>389.73</v>
      </c>
      <c r="Z93" s="227">
        <v>389.73</v>
      </c>
      <c r="AA93" s="227">
        <v>150.35</v>
      </c>
      <c r="AB93" s="227">
        <v>150.35</v>
      </c>
      <c r="AC93" s="229">
        <f t="shared" si="6"/>
        <v>2650.324128</v>
      </c>
      <c r="AD93" s="229">
        <f t="shared" si="7"/>
        <v>2366.65</v>
      </c>
      <c r="AE93" s="101">
        <f t="shared" si="8"/>
        <v>172.549672000001</v>
      </c>
      <c r="AF93" s="222"/>
      <c r="AG93" s="222"/>
      <c r="AH93" s="222"/>
    </row>
    <row r="94" s="7" customFormat="1" ht="35" customHeight="1" spans="1:34">
      <c r="A94" s="224">
        <v>91</v>
      </c>
      <c r="B94" s="224" t="s">
        <v>215</v>
      </c>
      <c r="C94" s="51" t="s">
        <v>216</v>
      </c>
      <c r="D94" s="112">
        <v>254.542575999999</v>
      </c>
      <c r="E94" s="225">
        <v>154.567928</v>
      </c>
      <c r="F94" s="226">
        <v>238.23</v>
      </c>
      <c r="G94" s="226">
        <v>164.55</v>
      </c>
      <c r="H94" s="227"/>
      <c r="I94" s="227">
        <v>160.23</v>
      </c>
      <c r="J94" s="227">
        <v>241.12</v>
      </c>
      <c r="K94" s="227">
        <v>158.61</v>
      </c>
      <c r="L94" s="227">
        <v>158.61</v>
      </c>
      <c r="M94" s="227">
        <v>130.53</v>
      </c>
      <c r="N94" s="227">
        <v>130.53</v>
      </c>
      <c r="O94" s="227">
        <v>153.6</v>
      </c>
      <c r="P94" s="227">
        <v>153.6</v>
      </c>
      <c r="Q94" s="227">
        <v>171.03</v>
      </c>
      <c r="R94" s="227">
        <v>171.03</v>
      </c>
      <c r="S94" s="227">
        <v>274.78</v>
      </c>
      <c r="T94" s="227">
        <v>274.78</v>
      </c>
      <c r="U94" s="227">
        <v>272.96</v>
      </c>
      <c r="V94" s="227">
        <v>272.96</v>
      </c>
      <c r="W94" s="227"/>
      <c r="X94" s="227">
        <v>0</v>
      </c>
      <c r="Y94" s="227">
        <v>394.72</v>
      </c>
      <c r="Z94" s="227">
        <v>394.72</v>
      </c>
      <c r="AA94" s="227">
        <v>124.03</v>
      </c>
      <c r="AB94" s="227">
        <v>124.03</v>
      </c>
      <c r="AC94" s="229">
        <f t="shared" si="6"/>
        <v>2159.607928</v>
      </c>
      <c r="AD94" s="229">
        <f t="shared" si="7"/>
        <v>2159.61</v>
      </c>
      <c r="AE94" s="101">
        <f t="shared" si="8"/>
        <v>254.544647999999</v>
      </c>
      <c r="AF94" s="222"/>
      <c r="AG94" s="222"/>
      <c r="AH94" s="222"/>
    </row>
    <row r="95" s="7" customFormat="1" ht="35" customHeight="1" spans="1:34">
      <c r="A95" s="224">
        <v>92</v>
      </c>
      <c r="B95" s="224" t="s">
        <v>217</v>
      </c>
      <c r="C95" s="51" t="s">
        <v>218</v>
      </c>
      <c r="D95" s="112">
        <v>166.128199999999</v>
      </c>
      <c r="E95" s="225">
        <v>124.098328</v>
      </c>
      <c r="F95" s="226">
        <v>125.69</v>
      </c>
      <c r="G95" s="226">
        <v>209.16</v>
      </c>
      <c r="H95" s="227"/>
      <c r="I95" s="227">
        <v>115.88</v>
      </c>
      <c r="J95" s="227">
        <v>323.45</v>
      </c>
      <c r="K95" s="227">
        <v>106.14</v>
      </c>
      <c r="L95" s="227">
        <v>106.14</v>
      </c>
      <c r="M95" s="227">
        <v>94.5</v>
      </c>
      <c r="N95" s="227">
        <v>94.5</v>
      </c>
      <c r="O95" s="227">
        <v>91.57</v>
      </c>
      <c r="P95" s="227">
        <v>91.57</v>
      </c>
      <c r="Q95" s="227">
        <v>105.86</v>
      </c>
      <c r="R95" s="227">
        <v>105.86</v>
      </c>
      <c r="S95" s="227">
        <v>184.01</v>
      </c>
      <c r="T95" s="227">
        <v>184.01</v>
      </c>
      <c r="U95" s="227">
        <v>216.8</v>
      </c>
      <c r="V95" s="227">
        <v>216.8</v>
      </c>
      <c r="W95" s="227"/>
      <c r="X95" s="227">
        <v>0</v>
      </c>
      <c r="Y95" s="227">
        <v>220.07</v>
      </c>
      <c r="Z95" s="227">
        <v>220.07</v>
      </c>
      <c r="AA95" s="227">
        <v>113.39</v>
      </c>
      <c r="AB95" s="227">
        <v>113.39</v>
      </c>
      <c r="AC95" s="229">
        <f t="shared" si="6"/>
        <v>1581.478328</v>
      </c>
      <c r="AD95" s="229">
        <f t="shared" si="7"/>
        <v>1581.48</v>
      </c>
      <c r="AE95" s="101">
        <f t="shared" si="8"/>
        <v>166.129871999999</v>
      </c>
      <c r="AF95" s="222"/>
      <c r="AG95" s="222"/>
      <c r="AH95" s="222"/>
    </row>
    <row r="96" s="7" customFormat="1" ht="35" customHeight="1" spans="1:34">
      <c r="A96" s="224">
        <v>93</v>
      </c>
      <c r="B96" s="224" t="s">
        <v>219</v>
      </c>
      <c r="C96" s="51" t="s">
        <v>220</v>
      </c>
      <c r="D96" s="112">
        <v>389.280546</v>
      </c>
      <c r="E96" s="225">
        <v>16.366528</v>
      </c>
      <c r="F96" s="226"/>
      <c r="G96" s="226">
        <v>11.65</v>
      </c>
      <c r="H96" s="227"/>
      <c r="I96" s="227">
        <v>8.22</v>
      </c>
      <c r="J96" s="227">
        <v>0</v>
      </c>
      <c r="K96" s="227">
        <v>98.41</v>
      </c>
      <c r="L96" s="227">
        <v>0</v>
      </c>
      <c r="M96" s="227">
        <v>135.1</v>
      </c>
      <c r="N96" s="227">
        <v>0</v>
      </c>
      <c r="O96" s="227">
        <v>121.5</v>
      </c>
      <c r="P96" s="227">
        <v>0</v>
      </c>
      <c r="Q96" s="227">
        <v>161.09</v>
      </c>
      <c r="R96" s="227">
        <v>0</v>
      </c>
      <c r="S96" s="227">
        <v>173.07</v>
      </c>
      <c r="T96" s="227">
        <v>103.39</v>
      </c>
      <c r="U96" s="227">
        <v>189</v>
      </c>
      <c r="V96" s="227">
        <v>189</v>
      </c>
      <c r="W96" s="227"/>
      <c r="X96" s="227">
        <v>0</v>
      </c>
      <c r="Y96" s="227">
        <v>255</v>
      </c>
      <c r="Z96" s="227">
        <v>255</v>
      </c>
      <c r="AA96" s="227">
        <v>148.67</v>
      </c>
      <c r="AB96" s="227">
        <v>148.67</v>
      </c>
      <c r="AC96" s="229">
        <f t="shared" si="6"/>
        <v>1318.076528</v>
      </c>
      <c r="AD96" s="229">
        <f t="shared" si="7"/>
        <v>696.06</v>
      </c>
      <c r="AE96" s="101">
        <f t="shared" si="8"/>
        <v>-232.735982</v>
      </c>
      <c r="AF96" s="222"/>
      <c r="AG96" s="222"/>
      <c r="AH96" s="222"/>
    </row>
    <row r="97" s="7" customFormat="1" ht="35" customHeight="1" spans="1:34">
      <c r="A97" s="224">
        <v>94</v>
      </c>
      <c r="B97" s="224" t="s">
        <v>221</v>
      </c>
      <c r="C97" s="51" t="s">
        <v>222</v>
      </c>
      <c r="D97" s="112">
        <v>-229.830409</v>
      </c>
      <c r="E97" s="225">
        <v>303.107228</v>
      </c>
      <c r="F97" s="226">
        <v>340</v>
      </c>
      <c r="G97" s="226">
        <v>362.06</v>
      </c>
      <c r="H97" s="227">
        <v>378.85</v>
      </c>
      <c r="I97" s="227">
        <v>130.31</v>
      </c>
      <c r="J97" s="227">
        <v>0</v>
      </c>
      <c r="K97" s="227">
        <v>253.04</v>
      </c>
      <c r="L97" s="227">
        <v>400</v>
      </c>
      <c r="M97" s="227">
        <v>210.02</v>
      </c>
      <c r="N97" s="227">
        <v>0</v>
      </c>
      <c r="O97" s="227">
        <v>185.16</v>
      </c>
      <c r="P97" s="227">
        <v>0</v>
      </c>
      <c r="Q97" s="227">
        <v>176.55</v>
      </c>
      <c r="R97" s="227">
        <v>337.68</v>
      </c>
      <c r="S97" s="227">
        <v>196.04</v>
      </c>
      <c r="T97" s="227">
        <v>200</v>
      </c>
      <c r="U97" s="227">
        <v>170.64</v>
      </c>
      <c r="V97" s="227">
        <v>400</v>
      </c>
      <c r="W97" s="227"/>
      <c r="X97" s="227">
        <v>0</v>
      </c>
      <c r="Y97" s="227">
        <v>381.41</v>
      </c>
      <c r="Z97" s="227">
        <v>0</v>
      </c>
      <c r="AA97" s="227">
        <v>230.41</v>
      </c>
      <c r="AB97" s="227">
        <v>193.34</v>
      </c>
      <c r="AC97" s="229">
        <f t="shared" si="6"/>
        <v>2598.747228</v>
      </c>
      <c r="AD97" s="229">
        <f t="shared" si="7"/>
        <v>2249.87</v>
      </c>
      <c r="AE97" s="101">
        <f t="shared" si="8"/>
        <v>-578.707637</v>
      </c>
      <c r="AF97" s="222"/>
      <c r="AG97" s="222"/>
      <c r="AH97" s="222"/>
    </row>
    <row r="98" s="7" customFormat="1" ht="35" customHeight="1" spans="1:34">
      <c r="A98" s="224">
        <v>95</v>
      </c>
      <c r="B98" s="224" t="s">
        <v>223</v>
      </c>
      <c r="C98" s="51" t="s">
        <v>224</v>
      </c>
      <c r="D98" s="112">
        <v>428.300051</v>
      </c>
      <c r="E98" s="225">
        <v>60.438628</v>
      </c>
      <c r="F98" s="226"/>
      <c r="G98" s="226">
        <v>64.43</v>
      </c>
      <c r="H98" s="227"/>
      <c r="I98" s="227">
        <v>52.61</v>
      </c>
      <c r="J98" s="227">
        <v>540</v>
      </c>
      <c r="K98" s="227">
        <v>64.72</v>
      </c>
      <c r="L98" s="227">
        <v>0</v>
      </c>
      <c r="M98" s="227">
        <v>55.05</v>
      </c>
      <c r="N98" s="227">
        <v>0</v>
      </c>
      <c r="O98" s="227">
        <v>76.34</v>
      </c>
      <c r="P98" s="227">
        <v>0</v>
      </c>
      <c r="Q98" s="227">
        <v>84.32</v>
      </c>
      <c r="R98" s="227">
        <v>0</v>
      </c>
      <c r="S98" s="227">
        <v>127.14</v>
      </c>
      <c r="T98" s="227">
        <v>0</v>
      </c>
      <c r="U98" s="227">
        <v>118.93</v>
      </c>
      <c r="V98" s="227">
        <v>327.68</v>
      </c>
      <c r="W98" s="227"/>
      <c r="X98" s="227">
        <v>0</v>
      </c>
      <c r="Y98" s="227">
        <v>179.6</v>
      </c>
      <c r="Z98" s="227">
        <v>0</v>
      </c>
      <c r="AA98" s="227">
        <v>63</v>
      </c>
      <c r="AB98" s="227">
        <v>0</v>
      </c>
      <c r="AC98" s="229">
        <f t="shared" si="6"/>
        <v>946.578628</v>
      </c>
      <c r="AD98" s="229">
        <f t="shared" si="7"/>
        <v>867.68</v>
      </c>
      <c r="AE98" s="101">
        <f t="shared" si="8"/>
        <v>349.401423</v>
      </c>
      <c r="AF98" s="222"/>
      <c r="AG98" s="222"/>
      <c r="AH98" s="222"/>
    </row>
    <row r="99" s="7" customFormat="1" ht="35" customHeight="1" spans="1:34">
      <c r="A99" s="224">
        <v>96</v>
      </c>
      <c r="B99" s="224" t="s">
        <v>225</v>
      </c>
      <c r="C99" s="51" t="s">
        <v>226</v>
      </c>
      <c r="D99" s="112">
        <v>95.9623000000011</v>
      </c>
      <c r="E99" s="225">
        <v>130.627528</v>
      </c>
      <c r="F99" s="226">
        <v>1351.99</v>
      </c>
      <c r="G99" s="226">
        <v>49.2</v>
      </c>
      <c r="H99" s="227"/>
      <c r="I99" s="227">
        <v>26.53</v>
      </c>
      <c r="J99" s="227">
        <v>0</v>
      </c>
      <c r="K99" s="227">
        <v>100.62</v>
      </c>
      <c r="L99" s="227">
        <v>0</v>
      </c>
      <c r="M99" s="227">
        <v>114.52</v>
      </c>
      <c r="N99" s="227">
        <v>0</v>
      </c>
      <c r="O99" s="227">
        <v>168.83</v>
      </c>
      <c r="P99" s="227">
        <v>600</v>
      </c>
      <c r="Q99" s="227">
        <v>236.75</v>
      </c>
      <c r="R99" s="227">
        <v>0</v>
      </c>
      <c r="S99" s="227">
        <v>401.64</v>
      </c>
      <c r="T99" s="227">
        <v>0</v>
      </c>
      <c r="U99" s="227">
        <v>331.91</v>
      </c>
      <c r="V99" s="227">
        <v>627.68</v>
      </c>
      <c r="W99" s="227"/>
      <c r="X99" s="227">
        <v>0</v>
      </c>
      <c r="Y99" s="227">
        <v>344.27</v>
      </c>
      <c r="Z99" s="227">
        <v>0</v>
      </c>
      <c r="AA99" s="227">
        <v>101.08</v>
      </c>
      <c r="AB99" s="227">
        <v>843.34</v>
      </c>
      <c r="AC99" s="229">
        <f t="shared" si="6"/>
        <v>2005.977528</v>
      </c>
      <c r="AD99" s="229">
        <f t="shared" si="7"/>
        <v>3423.01</v>
      </c>
      <c r="AE99" s="101">
        <f t="shared" si="8"/>
        <v>1512.994772</v>
      </c>
      <c r="AF99" s="222"/>
      <c r="AG99" s="222"/>
      <c r="AH99" s="222"/>
    </row>
    <row r="100" s="7" customFormat="1" ht="35" customHeight="1" spans="1:34">
      <c r="A100" s="224">
        <v>97</v>
      </c>
      <c r="B100" s="224" t="s">
        <v>227</v>
      </c>
      <c r="C100" s="51" t="s">
        <v>228</v>
      </c>
      <c r="D100" s="112">
        <v>1059.904716</v>
      </c>
      <c r="E100" s="225">
        <v>132.803928</v>
      </c>
      <c r="F100" s="226"/>
      <c r="G100" s="226">
        <v>173.25</v>
      </c>
      <c r="H100" s="227"/>
      <c r="I100" s="227">
        <v>102.01</v>
      </c>
      <c r="J100" s="227">
        <v>486.55</v>
      </c>
      <c r="K100" s="227">
        <v>110.56</v>
      </c>
      <c r="L100" s="227">
        <v>0</v>
      </c>
      <c r="M100" s="227">
        <v>120.24</v>
      </c>
      <c r="N100" s="227">
        <v>0</v>
      </c>
      <c r="O100" s="227">
        <v>132.38</v>
      </c>
      <c r="P100" s="227">
        <v>0</v>
      </c>
      <c r="Q100" s="227">
        <v>151.15</v>
      </c>
      <c r="R100" s="227">
        <v>0</v>
      </c>
      <c r="S100" s="227">
        <v>192.21</v>
      </c>
      <c r="T100" s="227">
        <v>0</v>
      </c>
      <c r="U100" s="227">
        <v>182.32</v>
      </c>
      <c r="V100" s="227">
        <v>327.68</v>
      </c>
      <c r="W100" s="227"/>
      <c r="X100" s="227">
        <v>0</v>
      </c>
      <c r="Y100" s="227">
        <v>210.65</v>
      </c>
      <c r="Z100" s="227">
        <v>0</v>
      </c>
      <c r="AA100" s="227">
        <v>71.4</v>
      </c>
      <c r="AB100" s="227">
        <v>0</v>
      </c>
      <c r="AC100" s="229">
        <f t="shared" si="6"/>
        <v>1578.973928</v>
      </c>
      <c r="AD100" s="229">
        <f t="shared" si="7"/>
        <v>814.23</v>
      </c>
      <c r="AE100" s="101">
        <f t="shared" si="8"/>
        <v>295.160788</v>
      </c>
      <c r="AF100" s="222"/>
      <c r="AG100" s="222"/>
      <c r="AH100" s="222"/>
    </row>
    <row r="101" s="7" customFormat="1" ht="35" customHeight="1" spans="1:34">
      <c r="A101" s="224">
        <v>98</v>
      </c>
      <c r="B101" s="224" t="s">
        <v>229</v>
      </c>
      <c r="C101" s="51" t="s">
        <v>230</v>
      </c>
      <c r="D101" s="112">
        <v>159.8893</v>
      </c>
      <c r="E101" s="225">
        <v>180.140628</v>
      </c>
      <c r="F101" s="226">
        <v>225.67</v>
      </c>
      <c r="G101" s="226">
        <v>331.04</v>
      </c>
      <c r="H101" s="227"/>
      <c r="I101" s="227">
        <v>107</v>
      </c>
      <c r="J101" s="227">
        <v>392.51</v>
      </c>
      <c r="K101" s="227">
        <v>110.56</v>
      </c>
      <c r="L101" s="227">
        <v>110.56</v>
      </c>
      <c r="M101" s="227">
        <v>118.52</v>
      </c>
      <c r="N101" s="227">
        <v>118.52</v>
      </c>
      <c r="O101" s="227">
        <v>135.1</v>
      </c>
      <c r="P101" s="227">
        <v>135.1</v>
      </c>
      <c r="Q101" s="227">
        <v>226.81</v>
      </c>
      <c r="R101" s="227">
        <v>226.81</v>
      </c>
      <c r="S101" s="227">
        <v>317.43</v>
      </c>
      <c r="T101" s="227">
        <v>317.43</v>
      </c>
      <c r="U101" s="227">
        <v>353.59</v>
      </c>
      <c r="V101" s="227">
        <v>353.59</v>
      </c>
      <c r="W101" s="227"/>
      <c r="X101" s="227">
        <v>0</v>
      </c>
      <c r="Y101" s="227">
        <v>386.96</v>
      </c>
      <c r="Z101" s="227">
        <v>386.96</v>
      </c>
      <c r="AA101" s="227">
        <v>145.87</v>
      </c>
      <c r="AB101" s="227">
        <v>145.87</v>
      </c>
      <c r="AC101" s="229">
        <f t="shared" ref="AC101:AC135" si="9">E101+G101+I101+K101+M101+O101+Q101+S101+U101+W101+Y101+AA101</f>
        <v>2413.020628</v>
      </c>
      <c r="AD101" s="229">
        <f t="shared" ref="AD101:AD135" si="10">F101+H101+J101+L101+N101+P101+R101+T101+V101+X101+Z101+AB101</f>
        <v>2413.02</v>
      </c>
      <c r="AE101" s="101">
        <f t="shared" ref="AE101:AE135" si="11">D101+AD101-AC101</f>
        <v>159.888672</v>
      </c>
      <c r="AF101" s="222"/>
      <c r="AG101" s="222"/>
      <c r="AH101" s="222"/>
    </row>
    <row r="102" s="7" customFormat="1" ht="35" customHeight="1" spans="1:34">
      <c r="A102" s="224">
        <v>99</v>
      </c>
      <c r="B102" s="224" t="s">
        <v>231</v>
      </c>
      <c r="C102" s="51" t="s">
        <v>232</v>
      </c>
      <c r="D102" s="112">
        <v>568.989500000001</v>
      </c>
      <c r="E102" s="225">
        <v>235.638828</v>
      </c>
      <c r="F102" s="226">
        <v>245.09</v>
      </c>
      <c r="G102" s="226">
        <v>239.63</v>
      </c>
      <c r="H102" s="227"/>
      <c r="I102" s="227">
        <v>219.11</v>
      </c>
      <c r="J102" s="227">
        <v>220</v>
      </c>
      <c r="K102" s="227">
        <v>196.71</v>
      </c>
      <c r="L102" s="227">
        <v>220</v>
      </c>
      <c r="M102" s="227">
        <v>139.68</v>
      </c>
      <c r="N102" s="227">
        <v>115.5</v>
      </c>
      <c r="O102" s="227">
        <v>122.04</v>
      </c>
      <c r="P102" s="227">
        <v>122.04</v>
      </c>
      <c r="Q102" s="227">
        <v>112.49</v>
      </c>
      <c r="R102" s="227">
        <v>112.49</v>
      </c>
      <c r="S102" s="227">
        <v>109.64</v>
      </c>
      <c r="T102" s="227">
        <v>109.64</v>
      </c>
      <c r="U102" s="227">
        <v>122.27</v>
      </c>
      <c r="V102" s="227">
        <v>122.27</v>
      </c>
      <c r="W102" s="227"/>
      <c r="X102" s="227">
        <v>0</v>
      </c>
      <c r="Y102" s="227">
        <v>286.05</v>
      </c>
      <c r="Z102" s="227">
        <v>286.05</v>
      </c>
      <c r="AA102" s="227">
        <v>175.54</v>
      </c>
      <c r="AB102" s="227">
        <v>175.54</v>
      </c>
      <c r="AC102" s="229">
        <f t="shared" si="9"/>
        <v>1958.798828</v>
      </c>
      <c r="AD102" s="229">
        <f t="shared" si="10"/>
        <v>1728.62</v>
      </c>
      <c r="AE102" s="101">
        <f t="shared" si="11"/>
        <v>338.810672000001</v>
      </c>
      <c r="AF102" s="222"/>
      <c r="AG102" s="222"/>
      <c r="AH102" s="222"/>
    </row>
    <row r="103" s="7" customFormat="1" ht="35" customHeight="1" spans="1:34">
      <c r="A103" s="224">
        <v>100</v>
      </c>
      <c r="B103" s="224" t="s">
        <v>233</v>
      </c>
      <c r="C103" s="51" t="s">
        <v>234</v>
      </c>
      <c r="D103" s="112">
        <v>184.323326</v>
      </c>
      <c r="E103" s="225">
        <v>95.805128</v>
      </c>
      <c r="F103" s="226">
        <v>83.98</v>
      </c>
      <c r="G103" s="226">
        <v>93.81</v>
      </c>
      <c r="H103" s="227"/>
      <c r="I103" s="227">
        <v>87.02</v>
      </c>
      <c r="J103" s="227">
        <v>192.66</v>
      </c>
      <c r="K103" s="227">
        <v>71.9</v>
      </c>
      <c r="L103" s="227">
        <v>71.9</v>
      </c>
      <c r="M103" s="227">
        <v>71.63</v>
      </c>
      <c r="N103" s="227">
        <v>71.63</v>
      </c>
      <c r="O103" s="227">
        <v>83.41</v>
      </c>
      <c r="P103" s="227">
        <v>83.41</v>
      </c>
      <c r="Q103" s="227">
        <v>77.7</v>
      </c>
      <c r="R103" s="227">
        <v>77.7</v>
      </c>
      <c r="S103" s="227">
        <v>88.86</v>
      </c>
      <c r="T103" s="227">
        <v>88.86</v>
      </c>
      <c r="U103" s="227">
        <v>130.61</v>
      </c>
      <c r="V103" s="227">
        <v>130.61</v>
      </c>
      <c r="W103" s="227"/>
      <c r="X103" s="227">
        <v>0</v>
      </c>
      <c r="Y103" s="227">
        <v>207.32</v>
      </c>
      <c r="Z103" s="227">
        <v>207.32</v>
      </c>
      <c r="AA103" s="227">
        <v>84.28</v>
      </c>
      <c r="AB103" s="227">
        <v>84.28</v>
      </c>
      <c r="AC103" s="229">
        <f t="shared" si="9"/>
        <v>1092.345128</v>
      </c>
      <c r="AD103" s="229">
        <f t="shared" si="10"/>
        <v>1092.35</v>
      </c>
      <c r="AE103" s="101">
        <f t="shared" si="11"/>
        <v>184.328198</v>
      </c>
      <c r="AF103" s="222"/>
      <c r="AG103" s="222"/>
      <c r="AH103" s="222"/>
    </row>
    <row r="104" s="7" customFormat="1" ht="35" customHeight="1" spans="1:34">
      <c r="A104" s="224">
        <v>101</v>
      </c>
      <c r="B104" s="224" t="s">
        <v>235</v>
      </c>
      <c r="C104" s="51" t="s">
        <v>236</v>
      </c>
      <c r="D104" s="112">
        <v>-706.697293999999</v>
      </c>
      <c r="E104" s="225">
        <v>340.650128</v>
      </c>
      <c r="F104" s="226"/>
      <c r="G104" s="226">
        <v>340.29</v>
      </c>
      <c r="H104" s="227"/>
      <c r="I104" s="227">
        <v>224.1</v>
      </c>
      <c r="J104" s="227">
        <v>0</v>
      </c>
      <c r="K104" s="227">
        <v>196.16</v>
      </c>
      <c r="L104" s="227">
        <v>0</v>
      </c>
      <c r="M104" s="227">
        <v>262.06</v>
      </c>
      <c r="N104" s="227">
        <v>679.35</v>
      </c>
      <c r="O104" s="227">
        <v>192.77</v>
      </c>
      <c r="P104" s="227">
        <v>0</v>
      </c>
      <c r="Q104" s="227">
        <v>151.15</v>
      </c>
      <c r="R104" s="227">
        <v>0</v>
      </c>
      <c r="S104" s="227">
        <v>180.73</v>
      </c>
      <c r="T104" s="227">
        <v>0</v>
      </c>
      <c r="U104" s="227">
        <v>217.35</v>
      </c>
      <c r="V104" s="227">
        <v>0</v>
      </c>
      <c r="W104" s="227"/>
      <c r="X104" s="227">
        <v>0</v>
      </c>
      <c r="Y104" s="227">
        <v>303.79</v>
      </c>
      <c r="Z104" s="227">
        <v>0</v>
      </c>
      <c r="AA104" s="227">
        <v>209.13</v>
      </c>
      <c r="AB104" s="227">
        <v>670.87</v>
      </c>
      <c r="AC104" s="229">
        <f t="shared" si="9"/>
        <v>2618.180128</v>
      </c>
      <c r="AD104" s="229">
        <f t="shared" si="10"/>
        <v>1350.22</v>
      </c>
      <c r="AE104" s="101">
        <f t="shared" si="11"/>
        <v>-1974.657422</v>
      </c>
      <c r="AF104" s="222"/>
      <c r="AG104" s="222"/>
      <c r="AH104" s="222"/>
    </row>
    <row r="105" s="7" customFormat="1" ht="35" customHeight="1" spans="1:34">
      <c r="A105" s="224">
        <v>102</v>
      </c>
      <c r="B105" s="224" t="s">
        <v>237</v>
      </c>
      <c r="C105" s="51" t="s">
        <v>238</v>
      </c>
      <c r="D105" s="112">
        <v>300</v>
      </c>
      <c r="E105" s="225">
        <v>0</v>
      </c>
      <c r="F105" s="226"/>
      <c r="G105" s="226"/>
      <c r="H105" s="227"/>
      <c r="I105" s="227"/>
      <c r="J105" s="227">
        <v>0</v>
      </c>
      <c r="K105" s="227">
        <v>0</v>
      </c>
      <c r="L105" s="227">
        <v>0</v>
      </c>
      <c r="M105" s="227"/>
      <c r="N105" s="227">
        <v>0</v>
      </c>
      <c r="O105" s="227"/>
      <c r="P105" s="227">
        <v>0</v>
      </c>
      <c r="Q105" s="227"/>
      <c r="R105" s="227">
        <v>0</v>
      </c>
      <c r="S105" s="227"/>
      <c r="T105" s="227">
        <v>0</v>
      </c>
      <c r="U105" s="227">
        <v>16.61</v>
      </c>
      <c r="V105" s="227">
        <v>0</v>
      </c>
      <c r="W105" s="227"/>
      <c r="X105" s="227">
        <v>0</v>
      </c>
      <c r="Y105" s="227">
        <v>29.9</v>
      </c>
      <c r="Z105" s="227">
        <v>0</v>
      </c>
      <c r="AA105" s="227">
        <v>23.81</v>
      </c>
      <c r="AB105" s="227">
        <v>0</v>
      </c>
      <c r="AC105" s="229">
        <f t="shared" si="9"/>
        <v>70.32</v>
      </c>
      <c r="AD105" s="229">
        <f t="shared" si="10"/>
        <v>0</v>
      </c>
      <c r="AE105" s="101">
        <f t="shared" si="11"/>
        <v>229.68</v>
      </c>
      <c r="AF105" s="222"/>
      <c r="AG105" s="222"/>
      <c r="AH105" s="222"/>
    </row>
    <row r="106" s="7" customFormat="1" ht="35" customHeight="1" spans="1:34">
      <c r="A106" s="224">
        <v>103</v>
      </c>
      <c r="B106" s="224" t="s">
        <v>239</v>
      </c>
      <c r="C106" s="51" t="s">
        <v>240</v>
      </c>
      <c r="D106" s="112">
        <v>467.160701</v>
      </c>
      <c r="E106" s="225">
        <v>238.903428</v>
      </c>
      <c r="F106" s="226">
        <v>238.9</v>
      </c>
      <c r="G106" s="226">
        <v>254.32</v>
      </c>
      <c r="H106" s="227"/>
      <c r="I106" s="227">
        <v>138.08</v>
      </c>
      <c r="J106" s="227">
        <v>392.4</v>
      </c>
      <c r="K106" s="227">
        <v>150.88</v>
      </c>
      <c r="L106" s="227">
        <v>150.88</v>
      </c>
      <c r="M106" s="227">
        <v>121.38</v>
      </c>
      <c r="N106" s="227">
        <v>121.38</v>
      </c>
      <c r="O106" s="227">
        <v>105.17</v>
      </c>
      <c r="P106" s="227">
        <v>105.17</v>
      </c>
      <c r="Q106" s="227">
        <v>110.83</v>
      </c>
      <c r="R106" s="227">
        <v>110.83</v>
      </c>
      <c r="S106" s="227">
        <v>131.51</v>
      </c>
      <c r="T106" s="227">
        <v>131.51</v>
      </c>
      <c r="U106" s="227">
        <v>136.17</v>
      </c>
      <c r="V106" s="227">
        <v>136.17</v>
      </c>
      <c r="W106" s="227"/>
      <c r="X106" s="227">
        <v>0</v>
      </c>
      <c r="Y106" s="227">
        <v>218.41</v>
      </c>
      <c r="Z106" s="227">
        <v>218.41</v>
      </c>
      <c r="AA106" s="227">
        <v>134.67</v>
      </c>
      <c r="AB106" s="227">
        <v>134.67</v>
      </c>
      <c r="AC106" s="229">
        <f t="shared" si="9"/>
        <v>1740.323428</v>
      </c>
      <c r="AD106" s="229">
        <f t="shared" si="10"/>
        <v>1740.32</v>
      </c>
      <c r="AE106" s="101">
        <f t="shared" si="11"/>
        <v>467.157273</v>
      </c>
      <c r="AF106" s="222"/>
      <c r="AG106" s="222"/>
      <c r="AH106" s="222"/>
    </row>
    <row r="107" s="7" customFormat="1" ht="35" customHeight="1" spans="1:34">
      <c r="A107" s="224">
        <v>104</v>
      </c>
      <c r="B107" s="224" t="s">
        <v>241</v>
      </c>
      <c r="C107" s="51" t="s">
        <v>242</v>
      </c>
      <c r="D107" s="112">
        <v>-857.555</v>
      </c>
      <c r="E107" s="225">
        <v>181.772928</v>
      </c>
      <c r="F107" s="226">
        <v>181.77</v>
      </c>
      <c r="G107" s="226">
        <v>226.57</v>
      </c>
      <c r="H107" s="227"/>
      <c r="I107" s="227">
        <v>201.35</v>
      </c>
      <c r="J107" s="227">
        <v>428.01</v>
      </c>
      <c r="K107" s="227">
        <v>286.18</v>
      </c>
      <c r="L107" s="227">
        <v>286.18</v>
      </c>
      <c r="M107" s="227">
        <v>179.14</v>
      </c>
      <c r="N107" s="227">
        <v>0</v>
      </c>
      <c r="O107" s="227">
        <v>210.19</v>
      </c>
      <c r="P107" s="227">
        <v>389.33</v>
      </c>
      <c r="Q107" s="227">
        <v>225.7</v>
      </c>
      <c r="R107" s="227">
        <v>225.7</v>
      </c>
      <c r="S107" s="227">
        <v>264.39</v>
      </c>
      <c r="T107" s="227">
        <v>0</v>
      </c>
      <c r="U107" s="227">
        <v>220.14</v>
      </c>
      <c r="V107" s="227">
        <v>484.53</v>
      </c>
      <c r="W107" s="227"/>
      <c r="X107" s="227">
        <v>0</v>
      </c>
      <c r="Y107" s="227">
        <v>389.73</v>
      </c>
      <c r="Z107" s="227">
        <v>389.73</v>
      </c>
      <c r="AA107" s="227">
        <v>159.86</v>
      </c>
      <c r="AB107" s="227">
        <v>0</v>
      </c>
      <c r="AC107" s="229">
        <f t="shared" si="9"/>
        <v>2545.022928</v>
      </c>
      <c r="AD107" s="229">
        <f t="shared" si="10"/>
        <v>2385.25</v>
      </c>
      <c r="AE107" s="101">
        <f t="shared" si="11"/>
        <v>-1017.327928</v>
      </c>
      <c r="AF107" s="222"/>
      <c r="AG107" s="222"/>
      <c r="AH107" s="222"/>
    </row>
    <row r="108" s="7" customFormat="1" ht="35" customHeight="1" spans="1:34">
      <c r="A108" s="224">
        <v>105</v>
      </c>
      <c r="B108" s="224" t="s">
        <v>243</v>
      </c>
      <c r="C108" s="51" t="s">
        <v>244</v>
      </c>
      <c r="D108" s="112">
        <v>241.460971</v>
      </c>
      <c r="E108" s="225">
        <v>27.248528</v>
      </c>
      <c r="F108" s="226">
        <v>33.14</v>
      </c>
      <c r="G108" s="226">
        <v>20.9</v>
      </c>
      <c r="H108" s="227"/>
      <c r="I108" s="227">
        <v>30.42</v>
      </c>
      <c r="J108" s="227">
        <v>45.43</v>
      </c>
      <c r="K108" s="227">
        <v>29.38</v>
      </c>
      <c r="L108" s="227">
        <v>29.38</v>
      </c>
      <c r="M108" s="227">
        <v>31.6</v>
      </c>
      <c r="N108" s="227">
        <v>31.6</v>
      </c>
      <c r="O108" s="227">
        <v>45.87</v>
      </c>
      <c r="P108" s="227">
        <v>45.87</v>
      </c>
      <c r="Q108" s="227">
        <v>57.82</v>
      </c>
      <c r="R108" s="227">
        <v>57.82</v>
      </c>
      <c r="S108" s="227">
        <v>142.45</v>
      </c>
      <c r="T108" s="227">
        <v>142.45</v>
      </c>
      <c r="U108" s="227">
        <v>229.59</v>
      </c>
      <c r="V108" s="227">
        <v>229.59</v>
      </c>
      <c r="W108" s="227"/>
      <c r="X108" s="227">
        <v>0</v>
      </c>
      <c r="Y108" s="227">
        <v>193.46</v>
      </c>
      <c r="Z108" s="227">
        <v>193.46</v>
      </c>
      <c r="AA108" s="227">
        <v>38.93</v>
      </c>
      <c r="AB108" s="227">
        <v>0</v>
      </c>
      <c r="AC108" s="229">
        <f t="shared" si="9"/>
        <v>847.668528</v>
      </c>
      <c r="AD108" s="229">
        <f t="shared" si="10"/>
        <v>808.74</v>
      </c>
      <c r="AE108" s="101">
        <f t="shared" si="11"/>
        <v>202.532443</v>
      </c>
      <c r="AF108" s="222"/>
      <c r="AG108" s="222"/>
      <c r="AH108" s="222"/>
    </row>
    <row r="109" s="7" customFormat="1" ht="35" customHeight="1" spans="1:34">
      <c r="A109" s="224">
        <v>106</v>
      </c>
      <c r="B109" s="224" t="s">
        <v>245</v>
      </c>
      <c r="C109" s="51" t="s">
        <v>246</v>
      </c>
      <c r="D109" s="112">
        <v>400.2</v>
      </c>
      <c r="E109" s="225">
        <v>331.944528</v>
      </c>
      <c r="F109" s="226">
        <v>331.94</v>
      </c>
      <c r="G109" s="226">
        <v>420.82</v>
      </c>
      <c r="H109" s="227"/>
      <c r="I109" s="227">
        <v>342.87</v>
      </c>
      <c r="J109" s="227">
        <v>469.19</v>
      </c>
      <c r="K109" s="227">
        <v>281.76</v>
      </c>
      <c r="L109" s="227">
        <v>281.76</v>
      </c>
      <c r="M109" s="227">
        <v>215.16</v>
      </c>
      <c r="N109" s="227">
        <v>215.16</v>
      </c>
      <c r="O109" s="227">
        <v>256.98</v>
      </c>
      <c r="P109" s="227">
        <v>256.98</v>
      </c>
      <c r="Q109" s="227">
        <v>274.3</v>
      </c>
      <c r="R109" s="227">
        <v>274.3</v>
      </c>
      <c r="S109" s="227">
        <v>337.12</v>
      </c>
      <c r="T109" s="227">
        <v>0</v>
      </c>
      <c r="U109" s="227">
        <v>360.82</v>
      </c>
      <c r="V109" s="227">
        <v>697.94</v>
      </c>
      <c r="W109" s="227"/>
      <c r="X109" s="227">
        <v>0</v>
      </c>
      <c r="Y109" s="227">
        <v>492.3</v>
      </c>
      <c r="Z109" s="227">
        <v>492.3</v>
      </c>
      <c r="AA109" s="227">
        <v>243.29</v>
      </c>
      <c r="AB109" s="227">
        <v>0</v>
      </c>
      <c r="AC109" s="229">
        <f t="shared" si="9"/>
        <v>3557.364528</v>
      </c>
      <c r="AD109" s="229">
        <f t="shared" si="10"/>
        <v>3019.57</v>
      </c>
      <c r="AE109" s="101">
        <f t="shared" si="11"/>
        <v>-137.594528000001</v>
      </c>
      <c r="AF109" s="222"/>
      <c r="AG109" s="222"/>
      <c r="AH109" s="222"/>
    </row>
    <row r="110" s="7" customFormat="1" ht="35" customHeight="1" spans="1:34">
      <c r="A110" s="224">
        <v>107</v>
      </c>
      <c r="B110" s="224" t="s">
        <v>247</v>
      </c>
      <c r="C110" s="51" t="s">
        <v>248</v>
      </c>
      <c r="D110" s="112">
        <v>174.6412</v>
      </c>
      <c r="E110" s="225">
        <v>147.494628</v>
      </c>
      <c r="F110" s="226">
        <v>147.49</v>
      </c>
      <c r="G110" s="226">
        <v>159.11</v>
      </c>
      <c r="H110" s="227"/>
      <c r="I110" s="227">
        <v>158.62</v>
      </c>
      <c r="J110" s="227">
        <v>317.73</v>
      </c>
      <c r="K110" s="227">
        <v>129.34</v>
      </c>
      <c r="L110" s="227">
        <v>129.34</v>
      </c>
      <c r="M110" s="227">
        <v>144.83</v>
      </c>
      <c r="N110" s="227">
        <v>144.83</v>
      </c>
      <c r="O110" s="227">
        <v>118.78</v>
      </c>
      <c r="P110" s="227">
        <v>118.78</v>
      </c>
      <c r="Q110" s="227">
        <v>131.82</v>
      </c>
      <c r="R110" s="227">
        <v>131.82</v>
      </c>
      <c r="S110" s="227">
        <v>127.14</v>
      </c>
      <c r="T110" s="227">
        <v>127.14</v>
      </c>
      <c r="U110" s="227">
        <v>158.97</v>
      </c>
      <c r="V110" s="227">
        <v>158.97</v>
      </c>
      <c r="W110" s="227"/>
      <c r="X110" s="227">
        <v>0</v>
      </c>
      <c r="Y110" s="227">
        <v>313.22</v>
      </c>
      <c r="Z110" s="227">
        <v>313.22</v>
      </c>
      <c r="AA110" s="227">
        <v>164.34</v>
      </c>
      <c r="AB110" s="227">
        <v>164.34</v>
      </c>
      <c r="AC110" s="229">
        <f t="shared" si="9"/>
        <v>1753.664628</v>
      </c>
      <c r="AD110" s="229">
        <f t="shared" si="10"/>
        <v>1753.66</v>
      </c>
      <c r="AE110" s="101">
        <f t="shared" si="11"/>
        <v>174.636572</v>
      </c>
      <c r="AF110" s="222"/>
      <c r="AG110" s="222"/>
      <c r="AH110" s="222"/>
    </row>
    <row r="111" s="7" customFormat="1" ht="35" customHeight="1" spans="1:34">
      <c r="A111" s="224">
        <v>108</v>
      </c>
      <c r="B111" s="224" t="s">
        <v>249</v>
      </c>
      <c r="C111" s="51" t="s">
        <v>250</v>
      </c>
      <c r="D111" s="112">
        <v>385.467096000001</v>
      </c>
      <c r="E111" s="225">
        <v>218.771728</v>
      </c>
      <c r="F111" s="226">
        <v>218.77</v>
      </c>
      <c r="G111" s="226">
        <v>271.73</v>
      </c>
      <c r="H111" s="227"/>
      <c r="I111" s="227">
        <v>227.99</v>
      </c>
      <c r="J111" s="227">
        <v>227.99</v>
      </c>
      <c r="K111" s="227">
        <v>140.38</v>
      </c>
      <c r="L111" s="227">
        <v>140.38</v>
      </c>
      <c r="M111" s="227">
        <v>157.41</v>
      </c>
      <c r="N111" s="227">
        <v>157.41</v>
      </c>
      <c r="O111" s="227">
        <v>131.29</v>
      </c>
      <c r="P111" s="227">
        <v>131.29</v>
      </c>
      <c r="Q111" s="227">
        <v>166.06</v>
      </c>
      <c r="R111" s="227">
        <v>166.06</v>
      </c>
      <c r="S111" s="227">
        <v>255.64</v>
      </c>
      <c r="T111" s="227">
        <v>255.64</v>
      </c>
      <c r="U111" s="227">
        <v>222.92</v>
      </c>
      <c r="V111" s="227">
        <v>222.92</v>
      </c>
      <c r="W111" s="227"/>
      <c r="X111" s="227">
        <v>0</v>
      </c>
      <c r="Y111" s="227">
        <v>295.47</v>
      </c>
      <c r="Z111" s="227">
        <v>295.47</v>
      </c>
      <c r="AA111" s="227">
        <v>166.58</v>
      </c>
      <c r="AB111" s="227">
        <v>166.58</v>
      </c>
      <c r="AC111" s="229">
        <f t="shared" si="9"/>
        <v>2254.241728</v>
      </c>
      <c r="AD111" s="229">
        <f t="shared" si="10"/>
        <v>1982.51</v>
      </c>
      <c r="AE111" s="101">
        <f t="shared" si="11"/>
        <v>113.735368000001</v>
      </c>
      <c r="AF111" s="222"/>
      <c r="AG111" s="222"/>
      <c r="AH111" s="222"/>
    </row>
    <row r="112" s="7" customFormat="1" ht="35" customHeight="1" spans="1:34">
      <c r="A112" s="224">
        <v>109</v>
      </c>
      <c r="B112" s="224" t="s">
        <v>251</v>
      </c>
      <c r="C112" s="51" t="s">
        <v>252</v>
      </c>
      <c r="D112" s="112">
        <v>-32.0644490000002</v>
      </c>
      <c r="E112" s="225">
        <v>11.469628</v>
      </c>
      <c r="F112" s="226">
        <v>35.42</v>
      </c>
      <c r="G112" s="226">
        <v>22.54</v>
      </c>
      <c r="H112" s="227"/>
      <c r="I112" s="227">
        <v>19.32</v>
      </c>
      <c r="J112" s="227">
        <v>17.91</v>
      </c>
      <c r="K112" s="227">
        <v>26.62</v>
      </c>
      <c r="L112" s="227">
        <v>26.62</v>
      </c>
      <c r="M112" s="227">
        <v>27.03</v>
      </c>
      <c r="N112" s="227">
        <v>27.03</v>
      </c>
      <c r="O112" s="227">
        <v>31.72</v>
      </c>
      <c r="P112" s="227">
        <v>31.72</v>
      </c>
      <c r="Q112" s="227">
        <v>31.86</v>
      </c>
      <c r="R112" s="227">
        <v>327.68</v>
      </c>
      <c r="S112" s="227">
        <v>70.27</v>
      </c>
      <c r="T112" s="227">
        <v>0</v>
      </c>
      <c r="U112" s="227">
        <v>189.55</v>
      </c>
      <c r="V112" s="227">
        <v>0</v>
      </c>
      <c r="W112" s="227"/>
      <c r="X112" s="227">
        <v>0</v>
      </c>
      <c r="Y112" s="227">
        <v>88.11</v>
      </c>
      <c r="Z112" s="227">
        <v>52.11</v>
      </c>
      <c r="AA112" s="227">
        <v>28.29</v>
      </c>
      <c r="AB112" s="227">
        <v>28.29</v>
      </c>
      <c r="AC112" s="229">
        <f t="shared" si="9"/>
        <v>546.779628</v>
      </c>
      <c r="AD112" s="229">
        <f t="shared" si="10"/>
        <v>546.78</v>
      </c>
      <c r="AE112" s="101">
        <f t="shared" si="11"/>
        <v>-32.0640770000002</v>
      </c>
      <c r="AF112" s="222"/>
      <c r="AG112" s="222"/>
      <c r="AH112" s="222"/>
    </row>
    <row r="113" s="7" customFormat="1" ht="35" customHeight="1" spans="1:34">
      <c r="A113" s="224">
        <v>110</v>
      </c>
      <c r="B113" s="224" t="s">
        <v>253</v>
      </c>
      <c r="C113" s="51" t="s">
        <v>254</v>
      </c>
      <c r="D113" s="112">
        <v>559.56</v>
      </c>
      <c r="E113" s="225">
        <v>122.466028</v>
      </c>
      <c r="F113" s="226">
        <v>122.47</v>
      </c>
      <c r="G113" s="226">
        <v>83.48</v>
      </c>
      <c r="H113" s="227"/>
      <c r="I113" s="227">
        <v>46.51</v>
      </c>
      <c r="J113" s="227">
        <v>0</v>
      </c>
      <c r="K113" s="227">
        <v>51.47</v>
      </c>
      <c r="L113" s="227">
        <v>47.11</v>
      </c>
      <c r="M113" s="227">
        <v>52.76</v>
      </c>
      <c r="N113" s="227">
        <v>52.76</v>
      </c>
      <c r="O113" s="227">
        <v>41.51</v>
      </c>
      <c r="P113" s="227">
        <v>41.51</v>
      </c>
      <c r="Q113" s="227">
        <v>31.31</v>
      </c>
      <c r="R113" s="227">
        <v>0</v>
      </c>
      <c r="S113" s="227">
        <v>44.02</v>
      </c>
      <c r="T113" s="227">
        <v>75.33</v>
      </c>
      <c r="U113" s="227">
        <v>50.53</v>
      </c>
      <c r="V113" s="227">
        <v>50.53</v>
      </c>
      <c r="W113" s="227"/>
      <c r="X113" s="227">
        <v>0</v>
      </c>
      <c r="Y113" s="227">
        <v>77.03</v>
      </c>
      <c r="Z113" s="227">
        <v>77.03</v>
      </c>
      <c r="AA113" s="227">
        <v>37.25</v>
      </c>
      <c r="AB113" s="227">
        <v>37.25</v>
      </c>
      <c r="AC113" s="229">
        <f t="shared" si="9"/>
        <v>638.336028</v>
      </c>
      <c r="AD113" s="229">
        <f t="shared" si="10"/>
        <v>503.99</v>
      </c>
      <c r="AE113" s="101">
        <f t="shared" si="11"/>
        <v>425.213972</v>
      </c>
      <c r="AF113" s="222"/>
      <c r="AG113" s="222"/>
      <c r="AH113" s="222"/>
    </row>
    <row r="114" s="7" customFormat="1" ht="35" customHeight="1" spans="1:34">
      <c r="A114" s="224">
        <v>111</v>
      </c>
      <c r="B114" s="224" t="s">
        <v>255</v>
      </c>
      <c r="C114" s="51" t="s">
        <v>256</v>
      </c>
      <c r="D114" s="112">
        <v>72.4574510000007</v>
      </c>
      <c r="E114" s="225">
        <v>278.622728</v>
      </c>
      <c r="F114" s="226">
        <v>278.62</v>
      </c>
      <c r="G114" s="226">
        <v>307.1</v>
      </c>
      <c r="H114" s="227"/>
      <c r="I114" s="227">
        <v>234.65</v>
      </c>
      <c r="J114" s="227">
        <v>541.75</v>
      </c>
      <c r="K114" s="227">
        <v>239.24</v>
      </c>
      <c r="L114" s="227">
        <v>239.24</v>
      </c>
      <c r="M114" s="227">
        <v>233.46</v>
      </c>
      <c r="N114" s="227">
        <v>233.46</v>
      </c>
      <c r="O114" s="227">
        <v>173.19</v>
      </c>
      <c r="P114" s="227">
        <v>173.19</v>
      </c>
      <c r="Q114" s="227">
        <v>171.58</v>
      </c>
      <c r="R114" s="227">
        <v>171.58</v>
      </c>
      <c r="S114" s="227">
        <v>180.73</v>
      </c>
      <c r="T114" s="227">
        <v>180.73</v>
      </c>
      <c r="U114" s="227">
        <v>177.32</v>
      </c>
      <c r="V114" s="227">
        <v>177.32</v>
      </c>
      <c r="W114" s="227"/>
      <c r="X114" s="227">
        <v>0</v>
      </c>
      <c r="Y114" s="227">
        <v>359.79</v>
      </c>
      <c r="Z114" s="227">
        <v>359.79</v>
      </c>
      <c r="AA114" s="227">
        <v>212.49</v>
      </c>
      <c r="AB114" s="227">
        <v>212.49</v>
      </c>
      <c r="AC114" s="229">
        <f t="shared" si="9"/>
        <v>2568.172728</v>
      </c>
      <c r="AD114" s="229">
        <f t="shared" si="10"/>
        <v>2568.17</v>
      </c>
      <c r="AE114" s="101">
        <f t="shared" si="11"/>
        <v>72.4547230000003</v>
      </c>
      <c r="AF114" s="222"/>
      <c r="AG114" s="222"/>
      <c r="AH114" s="222"/>
    </row>
    <row r="115" s="7" customFormat="1" ht="35" customHeight="1" spans="1:34">
      <c r="A115" s="224">
        <v>112</v>
      </c>
      <c r="B115" s="224" t="s">
        <v>257</v>
      </c>
      <c r="C115" s="51" t="s">
        <v>258</v>
      </c>
      <c r="D115" s="112">
        <v>3.78030600000102</v>
      </c>
      <c r="E115" s="225">
        <v>378.737128</v>
      </c>
      <c r="F115" s="226">
        <v>438.74</v>
      </c>
      <c r="G115" s="226">
        <v>445.85</v>
      </c>
      <c r="H115" s="227"/>
      <c r="I115" s="227">
        <v>293.48</v>
      </c>
      <c r="J115" s="227">
        <v>739.33</v>
      </c>
      <c r="K115" s="227">
        <v>265.19</v>
      </c>
      <c r="L115" s="227">
        <v>265.19</v>
      </c>
      <c r="M115" s="227">
        <v>260.91</v>
      </c>
      <c r="N115" s="227">
        <v>261</v>
      </c>
      <c r="O115" s="227">
        <v>268.95</v>
      </c>
      <c r="P115" s="227">
        <v>268.86</v>
      </c>
      <c r="Q115" s="227">
        <v>328.98</v>
      </c>
      <c r="R115" s="227">
        <v>328.98</v>
      </c>
      <c r="S115" s="227">
        <v>469.99</v>
      </c>
      <c r="T115" s="227">
        <v>0</v>
      </c>
      <c r="U115" s="227">
        <v>429.77</v>
      </c>
      <c r="V115" s="227">
        <v>899.76</v>
      </c>
      <c r="W115" s="227"/>
      <c r="X115" s="227">
        <v>0</v>
      </c>
      <c r="Y115" s="227">
        <v>630.91</v>
      </c>
      <c r="Z115" s="227">
        <v>630.91</v>
      </c>
      <c r="AA115" s="227">
        <v>261.76</v>
      </c>
      <c r="AB115" s="227">
        <v>261.84</v>
      </c>
      <c r="AC115" s="229">
        <f t="shared" si="9"/>
        <v>4034.527128</v>
      </c>
      <c r="AD115" s="229">
        <f t="shared" si="10"/>
        <v>4094.61</v>
      </c>
      <c r="AE115" s="101">
        <f t="shared" si="11"/>
        <v>63.8631780000023</v>
      </c>
      <c r="AF115" s="222"/>
      <c r="AG115" s="222"/>
      <c r="AH115" s="222"/>
    </row>
    <row r="116" s="7" customFormat="1" ht="35" customHeight="1" spans="1:34">
      <c r="A116" s="224">
        <v>113</v>
      </c>
      <c r="B116" s="224" t="s">
        <v>259</v>
      </c>
      <c r="C116" s="51" t="s">
        <v>260</v>
      </c>
      <c r="D116" s="112">
        <v>87.6933810000005</v>
      </c>
      <c r="E116" s="225">
        <v>225.300928</v>
      </c>
      <c r="F116" s="226">
        <v>225.3</v>
      </c>
      <c r="G116" s="226">
        <v>347.36</v>
      </c>
      <c r="H116" s="227"/>
      <c r="I116" s="227">
        <v>210.78</v>
      </c>
      <c r="J116" s="227">
        <v>558.14</v>
      </c>
      <c r="K116" s="227">
        <v>171.86</v>
      </c>
      <c r="L116" s="227">
        <v>171.86</v>
      </c>
      <c r="M116" s="227">
        <v>151.12</v>
      </c>
      <c r="N116" s="227">
        <v>151.12</v>
      </c>
      <c r="O116" s="227">
        <v>118.23</v>
      </c>
      <c r="P116" s="227">
        <v>118.23</v>
      </c>
      <c r="Q116" s="227">
        <v>107.52</v>
      </c>
      <c r="R116" s="227">
        <v>107.52</v>
      </c>
      <c r="S116" s="227">
        <v>126.59</v>
      </c>
      <c r="T116" s="227">
        <v>126.59</v>
      </c>
      <c r="U116" s="227">
        <v>231.26</v>
      </c>
      <c r="V116" s="227">
        <v>231.26</v>
      </c>
      <c r="W116" s="227"/>
      <c r="X116" s="227">
        <v>0</v>
      </c>
      <c r="Y116" s="227">
        <v>257.77</v>
      </c>
      <c r="Z116" s="227">
        <v>257.77</v>
      </c>
      <c r="AA116" s="227">
        <v>164.9</v>
      </c>
      <c r="AB116" s="227">
        <v>164.9</v>
      </c>
      <c r="AC116" s="229">
        <f t="shared" si="9"/>
        <v>2112.690928</v>
      </c>
      <c r="AD116" s="229">
        <f t="shared" si="10"/>
        <v>2112.69</v>
      </c>
      <c r="AE116" s="101">
        <f t="shared" si="11"/>
        <v>87.6924530000006</v>
      </c>
      <c r="AF116" s="222"/>
      <c r="AG116" s="222"/>
      <c r="AH116" s="222"/>
    </row>
    <row r="117" s="7" customFormat="1" ht="35" customHeight="1" spans="1:34">
      <c r="A117" s="224">
        <v>114</v>
      </c>
      <c r="B117" s="224" t="s">
        <v>261</v>
      </c>
      <c r="C117" s="51" t="s">
        <v>262</v>
      </c>
      <c r="D117" s="112">
        <v>-1330.992</v>
      </c>
      <c r="E117" s="225">
        <v>267.740728</v>
      </c>
      <c r="F117" s="226">
        <v>599.66</v>
      </c>
      <c r="G117" s="226">
        <v>286.97</v>
      </c>
      <c r="H117" s="227"/>
      <c r="I117" s="227">
        <v>213.56</v>
      </c>
      <c r="J117" s="227">
        <v>495.19</v>
      </c>
      <c r="K117" s="227">
        <v>216.6</v>
      </c>
      <c r="L117" s="227">
        <v>0</v>
      </c>
      <c r="M117" s="227">
        <v>115.66</v>
      </c>
      <c r="N117" s="227">
        <v>332.26</v>
      </c>
      <c r="O117" s="227">
        <v>211.27</v>
      </c>
      <c r="P117" s="227">
        <v>211.27</v>
      </c>
      <c r="Q117" s="227">
        <v>222.94</v>
      </c>
      <c r="R117" s="227">
        <v>0</v>
      </c>
      <c r="S117" s="227">
        <v>261.11</v>
      </c>
      <c r="T117" s="227">
        <v>484.05</v>
      </c>
      <c r="U117" s="227">
        <v>206.23</v>
      </c>
      <c r="V117" s="227">
        <v>206.23</v>
      </c>
      <c r="W117" s="227"/>
      <c r="X117" s="227">
        <v>0</v>
      </c>
      <c r="Y117" s="227">
        <v>517.8</v>
      </c>
      <c r="Z117" s="227">
        <v>517.8</v>
      </c>
      <c r="AA117" s="227">
        <v>219.77</v>
      </c>
      <c r="AB117" s="227">
        <v>219.74</v>
      </c>
      <c r="AC117" s="229">
        <f t="shared" si="9"/>
        <v>2739.650728</v>
      </c>
      <c r="AD117" s="229">
        <f t="shared" si="10"/>
        <v>3066.2</v>
      </c>
      <c r="AE117" s="101">
        <f t="shared" si="11"/>
        <v>-1004.442728</v>
      </c>
      <c r="AF117" s="222"/>
      <c r="AG117" s="222"/>
      <c r="AH117" s="222"/>
    </row>
    <row r="118" s="7" customFormat="1" ht="35" customHeight="1" spans="1:34">
      <c r="A118" s="224">
        <v>115</v>
      </c>
      <c r="B118" s="224" t="s">
        <v>263</v>
      </c>
      <c r="C118" s="51" t="s">
        <v>264</v>
      </c>
      <c r="D118" s="112">
        <v>303.570136</v>
      </c>
      <c r="E118" s="225">
        <v>265.564328</v>
      </c>
      <c r="F118" s="226"/>
      <c r="G118" s="226">
        <v>263.57</v>
      </c>
      <c r="H118" s="227">
        <v>577.65</v>
      </c>
      <c r="I118" s="227">
        <v>160.28</v>
      </c>
      <c r="J118" s="227">
        <v>0</v>
      </c>
      <c r="K118" s="227">
        <v>189.53</v>
      </c>
      <c r="L118" s="227">
        <v>0</v>
      </c>
      <c r="M118" s="227">
        <v>150.54</v>
      </c>
      <c r="N118" s="227">
        <v>0</v>
      </c>
      <c r="O118" s="227">
        <v>160.13</v>
      </c>
      <c r="P118" s="227">
        <v>1000</v>
      </c>
      <c r="Q118" s="227">
        <v>162.75</v>
      </c>
      <c r="R118" s="227">
        <v>0</v>
      </c>
      <c r="S118" s="227">
        <v>156.67</v>
      </c>
      <c r="T118" s="227">
        <v>0</v>
      </c>
      <c r="U118" s="227">
        <v>160.08</v>
      </c>
      <c r="V118" s="227">
        <v>0</v>
      </c>
      <c r="W118" s="227"/>
      <c r="X118" s="227">
        <v>0</v>
      </c>
      <c r="Y118" s="227">
        <v>316.54</v>
      </c>
      <c r="Z118" s="227">
        <v>0</v>
      </c>
      <c r="AA118" s="227">
        <v>197.38</v>
      </c>
      <c r="AB118" s="227">
        <v>670.02</v>
      </c>
      <c r="AC118" s="229">
        <f t="shared" si="9"/>
        <v>2183.034328</v>
      </c>
      <c r="AD118" s="229">
        <f t="shared" si="10"/>
        <v>2247.67</v>
      </c>
      <c r="AE118" s="101">
        <f t="shared" si="11"/>
        <v>368.205808</v>
      </c>
      <c r="AF118" s="222"/>
      <c r="AG118" s="222"/>
      <c r="AH118" s="222"/>
    </row>
    <row r="119" s="7" customFormat="1" ht="35" customHeight="1" spans="1:34">
      <c r="A119" s="224">
        <v>116</v>
      </c>
      <c r="B119" s="224" t="s">
        <v>265</v>
      </c>
      <c r="C119" s="51" t="s">
        <v>266</v>
      </c>
      <c r="D119" s="112">
        <v>299.46</v>
      </c>
      <c r="E119" s="225">
        <v>0</v>
      </c>
      <c r="F119" s="226"/>
      <c r="G119" s="226"/>
      <c r="H119" s="227"/>
      <c r="I119" s="227"/>
      <c r="J119" s="227">
        <v>0</v>
      </c>
      <c r="K119" s="227">
        <v>10.6</v>
      </c>
      <c r="L119" s="227">
        <v>0</v>
      </c>
      <c r="M119" s="227">
        <v>9.87</v>
      </c>
      <c r="N119" s="227">
        <v>0</v>
      </c>
      <c r="O119" s="227">
        <v>17.03</v>
      </c>
      <c r="P119" s="227">
        <v>0</v>
      </c>
      <c r="Q119" s="227">
        <v>11.98</v>
      </c>
      <c r="R119" s="227">
        <v>0</v>
      </c>
      <c r="S119" s="227">
        <v>10.66</v>
      </c>
      <c r="T119" s="227">
        <v>0</v>
      </c>
      <c r="U119" s="227">
        <v>9.94</v>
      </c>
      <c r="V119" s="227">
        <v>0</v>
      </c>
      <c r="W119" s="227"/>
      <c r="X119" s="227">
        <v>0</v>
      </c>
      <c r="Y119" s="227">
        <v>27.13</v>
      </c>
      <c r="Z119" s="227">
        <v>0</v>
      </c>
      <c r="AA119" s="227">
        <v>10.94</v>
      </c>
      <c r="AB119" s="227">
        <v>22.47</v>
      </c>
      <c r="AC119" s="229">
        <f t="shared" si="9"/>
        <v>108.15</v>
      </c>
      <c r="AD119" s="229">
        <f t="shared" si="10"/>
        <v>22.47</v>
      </c>
      <c r="AE119" s="101">
        <f t="shared" si="11"/>
        <v>213.78</v>
      </c>
      <c r="AF119" s="222"/>
      <c r="AG119" s="222"/>
      <c r="AH119" s="222"/>
    </row>
    <row r="120" s="7" customFormat="1" ht="35" customHeight="1" spans="1:34">
      <c r="A120" s="224">
        <v>117</v>
      </c>
      <c r="B120" s="224" t="s">
        <v>267</v>
      </c>
      <c r="C120" s="51" t="s">
        <v>268</v>
      </c>
      <c r="D120" s="112">
        <v>101.34</v>
      </c>
      <c r="E120" s="225">
        <v>54.997628</v>
      </c>
      <c r="F120" s="226">
        <v>66.84</v>
      </c>
      <c r="G120" s="226">
        <v>127.55</v>
      </c>
      <c r="H120" s="227"/>
      <c r="I120" s="227">
        <v>63.16</v>
      </c>
      <c r="J120" s="227">
        <v>178.87</v>
      </c>
      <c r="K120" s="227">
        <v>74.66</v>
      </c>
      <c r="L120" s="227">
        <v>74.66</v>
      </c>
      <c r="M120" s="227">
        <v>83.07</v>
      </c>
      <c r="N120" s="227">
        <v>83.07</v>
      </c>
      <c r="O120" s="227">
        <v>162.85</v>
      </c>
      <c r="P120" s="227">
        <v>162.85</v>
      </c>
      <c r="Q120" s="227">
        <v>184.84</v>
      </c>
      <c r="R120" s="227">
        <v>184.84</v>
      </c>
      <c r="S120" s="227">
        <v>206.97</v>
      </c>
      <c r="T120" s="227">
        <v>206.97</v>
      </c>
      <c r="U120" s="227">
        <v>238.49</v>
      </c>
      <c r="V120" s="227">
        <v>238.49</v>
      </c>
      <c r="W120" s="227"/>
      <c r="X120" s="227">
        <v>0</v>
      </c>
      <c r="Y120" s="227">
        <v>328.19</v>
      </c>
      <c r="Z120" s="227">
        <v>328.19</v>
      </c>
      <c r="AA120" s="227">
        <v>69.72</v>
      </c>
      <c r="AB120" s="227">
        <v>69.72</v>
      </c>
      <c r="AC120" s="229">
        <f t="shared" si="9"/>
        <v>1594.497628</v>
      </c>
      <c r="AD120" s="229">
        <f t="shared" si="10"/>
        <v>1594.5</v>
      </c>
      <c r="AE120" s="101">
        <f t="shared" si="11"/>
        <v>101.342372</v>
      </c>
      <c r="AF120" s="222"/>
      <c r="AG120" s="222"/>
      <c r="AH120" s="222"/>
    </row>
    <row r="121" s="7" customFormat="1" ht="35" customHeight="1" spans="1:34">
      <c r="A121" s="224">
        <v>118</v>
      </c>
      <c r="B121" s="224" t="s">
        <v>269</v>
      </c>
      <c r="C121" s="51" t="s">
        <v>270</v>
      </c>
      <c r="D121" s="112">
        <v>-147.492199999999</v>
      </c>
      <c r="E121" s="225">
        <v>370.031528</v>
      </c>
      <c r="F121" s="226">
        <v>370.03</v>
      </c>
      <c r="G121" s="226">
        <v>405.04</v>
      </c>
      <c r="H121" s="227"/>
      <c r="I121" s="227">
        <v>290.15</v>
      </c>
      <c r="J121" s="227">
        <v>695.19</v>
      </c>
      <c r="K121" s="227">
        <v>284.52</v>
      </c>
      <c r="L121" s="227">
        <v>284.52</v>
      </c>
      <c r="M121" s="227">
        <v>176.28</v>
      </c>
      <c r="N121" s="227">
        <v>176.28</v>
      </c>
      <c r="O121" s="227">
        <v>132.38</v>
      </c>
      <c r="P121" s="227">
        <v>132.38</v>
      </c>
      <c r="Q121" s="227">
        <v>140.1</v>
      </c>
      <c r="R121" s="227">
        <v>140.1</v>
      </c>
      <c r="S121" s="227">
        <v>147.92</v>
      </c>
      <c r="T121" s="227">
        <v>147.92</v>
      </c>
      <c r="U121" s="227">
        <v>170.64</v>
      </c>
      <c r="V121" s="227">
        <v>170.64</v>
      </c>
      <c r="W121" s="227"/>
      <c r="X121" s="227">
        <v>0</v>
      </c>
      <c r="Y121" s="227">
        <v>299.91</v>
      </c>
      <c r="Z121" s="227">
        <v>299.91</v>
      </c>
      <c r="AA121" s="227">
        <v>136.35</v>
      </c>
      <c r="AB121" s="227">
        <v>136.35</v>
      </c>
      <c r="AC121" s="229">
        <f t="shared" si="9"/>
        <v>2553.321528</v>
      </c>
      <c r="AD121" s="229">
        <f t="shared" si="10"/>
        <v>2553.32</v>
      </c>
      <c r="AE121" s="101">
        <f t="shared" si="11"/>
        <v>-147.493727999999</v>
      </c>
      <c r="AF121" s="222"/>
      <c r="AG121" s="222"/>
      <c r="AH121" s="222"/>
    </row>
    <row r="122" s="7" customFormat="1" ht="35" customHeight="1" spans="1:34">
      <c r="A122" s="224">
        <v>119</v>
      </c>
      <c r="B122" s="224" t="s">
        <v>271</v>
      </c>
      <c r="C122" s="51" t="s">
        <v>272</v>
      </c>
      <c r="D122" s="112">
        <v>604.202513</v>
      </c>
      <c r="E122" s="225">
        <v>13.646028</v>
      </c>
      <c r="F122" s="226">
        <v>150.85</v>
      </c>
      <c r="G122" s="226">
        <v>11.65</v>
      </c>
      <c r="H122" s="227"/>
      <c r="I122" s="227">
        <v>14.88</v>
      </c>
      <c r="J122" s="227">
        <v>75.1</v>
      </c>
      <c r="K122" s="227">
        <v>12.81</v>
      </c>
      <c r="L122" s="227">
        <v>27.69</v>
      </c>
      <c r="M122" s="227">
        <v>13.3</v>
      </c>
      <c r="N122" s="227">
        <v>13.3</v>
      </c>
      <c r="O122" s="227">
        <v>13.77</v>
      </c>
      <c r="P122" s="227">
        <v>13.77</v>
      </c>
      <c r="Q122" s="227">
        <v>21.37</v>
      </c>
      <c r="R122" s="227">
        <v>0.35</v>
      </c>
      <c r="S122" s="227">
        <v>22.69</v>
      </c>
      <c r="T122" s="227">
        <v>0</v>
      </c>
      <c r="U122" s="227">
        <v>13.28</v>
      </c>
      <c r="V122" s="227">
        <v>0</v>
      </c>
      <c r="W122" s="227"/>
      <c r="X122" s="227">
        <v>0</v>
      </c>
      <c r="Y122" s="227">
        <v>19.92</v>
      </c>
      <c r="Z122" s="227">
        <v>0</v>
      </c>
      <c r="AA122" s="227">
        <v>9.26</v>
      </c>
      <c r="AB122" s="227">
        <v>170.02</v>
      </c>
      <c r="AC122" s="229">
        <f t="shared" si="9"/>
        <v>166.576028</v>
      </c>
      <c r="AD122" s="229">
        <f t="shared" si="10"/>
        <v>451.08</v>
      </c>
      <c r="AE122" s="101">
        <f t="shared" si="11"/>
        <v>888.706485</v>
      </c>
      <c r="AF122" s="222"/>
      <c r="AG122" s="222"/>
      <c r="AH122" s="222"/>
    </row>
    <row r="123" s="7" customFormat="1" ht="35" customHeight="1" spans="1:34">
      <c r="A123" s="224">
        <v>120</v>
      </c>
      <c r="B123" s="224" t="s">
        <v>273</v>
      </c>
      <c r="C123" s="51" t="s">
        <v>274</v>
      </c>
      <c r="D123" s="112">
        <v>80.6405479999999</v>
      </c>
      <c r="E123" s="225">
        <v>404.853928</v>
      </c>
      <c r="F123" s="226"/>
      <c r="G123" s="226">
        <v>401.23</v>
      </c>
      <c r="H123" s="227"/>
      <c r="I123" s="227">
        <v>230.76</v>
      </c>
      <c r="J123" s="227">
        <v>806.35</v>
      </c>
      <c r="K123" s="227">
        <v>219.91</v>
      </c>
      <c r="L123" s="227">
        <v>450.4</v>
      </c>
      <c r="M123" s="227">
        <v>248.9</v>
      </c>
      <c r="N123" s="227">
        <v>250</v>
      </c>
      <c r="O123" s="227">
        <v>253.17</v>
      </c>
      <c r="P123" s="227">
        <v>0</v>
      </c>
      <c r="Q123" s="227">
        <v>248.35</v>
      </c>
      <c r="R123" s="227">
        <v>500.42</v>
      </c>
      <c r="S123" s="227">
        <v>554.75</v>
      </c>
      <c r="T123" s="227">
        <v>0</v>
      </c>
      <c r="U123" s="227">
        <v>136.72</v>
      </c>
      <c r="V123" s="227">
        <v>555</v>
      </c>
      <c r="W123" s="227"/>
      <c r="X123" s="227">
        <v>0</v>
      </c>
      <c r="Y123" s="227">
        <v>567.15</v>
      </c>
      <c r="Z123" s="227">
        <v>0</v>
      </c>
      <c r="AA123" s="227">
        <v>291.44</v>
      </c>
      <c r="AB123" s="227">
        <v>838.4</v>
      </c>
      <c r="AC123" s="229">
        <f t="shared" si="9"/>
        <v>3557.233928</v>
      </c>
      <c r="AD123" s="229">
        <f t="shared" si="10"/>
        <v>3400.57</v>
      </c>
      <c r="AE123" s="101">
        <f t="shared" si="11"/>
        <v>-76.0233800000001</v>
      </c>
      <c r="AF123" s="222"/>
      <c r="AG123" s="222"/>
      <c r="AH123" s="222"/>
    </row>
    <row r="124" s="7" customFormat="1" ht="35" customHeight="1" spans="1:34">
      <c r="A124" s="224">
        <v>121</v>
      </c>
      <c r="B124" s="224" t="s">
        <v>275</v>
      </c>
      <c r="C124" s="51" t="s">
        <v>276</v>
      </c>
      <c r="D124" s="112">
        <v>136.6648</v>
      </c>
      <c r="E124" s="225">
        <v>194.831328</v>
      </c>
      <c r="F124" s="226">
        <v>247.38</v>
      </c>
      <c r="G124" s="226">
        <v>236.37</v>
      </c>
      <c r="H124" s="227"/>
      <c r="I124" s="227">
        <v>190.25</v>
      </c>
      <c r="J124" s="227">
        <v>374.07</v>
      </c>
      <c r="K124" s="227">
        <v>207.21</v>
      </c>
      <c r="L124" s="227">
        <v>207.21</v>
      </c>
      <c r="M124" s="227">
        <v>204.3</v>
      </c>
      <c r="N124" s="227">
        <v>204.3</v>
      </c>
      <c r="O124" s="227">
        <v>159.58</v>
      </c>
      <c r="P124" s="227">
        <v>159.58</v>
      </c>
      <c r="Q124" s="227">
        <v>158.88</v>
      </c>
      <c r="R124" s="227">
        <v>158.88</v>
      </c>
      <c r="S124" s="227">
        <v>133.7</v>
      </c>
      <c r="T124" s="227">
        <v>133.7</v>
      </c>
      <c r="U124" s="227">
        <v>131.72</v>
      </c>
      <c r="V124" s="227">
        <v>131.72</v>
      </c>
      <c r="W124" s="227"/>
      <c r="X124" s="227">
        <v>0</v>
      </c>
      <c r="Y124" s="227">
        <v>264.43</v>
      </c>
      <c r="Z124" s="227">
        <v>264.43</v>
      </c>
      <c r="AA124" s="227">
        <v>166.58</v>
      </c>
      <c r="AB124" s="227">
        <v>166.58</v>
      </c>
      <c r="AC124" s="229">
        <f t="shared" si="9"/>
        <v>2047.851328</v>
      </c>
      <c r="AD124" s="229">
        <f t="shared" si="10"/>
        <v>2047.85</v>
      </c>
      <c r="AE124" s="101">
        <f t="shared" si="11"/>
        <v>136.663472</v>
      </c>
      <c r="AF124" s="222"/>
      <c r="AG124" s="222"/>
      <c r="AH124" s="222"/>
    </row>
    <row r="125" s="7" customFormat="1" ht="35" customHeight="1" spans="1:34">
      <c r="A125" s="224">
        <v>122</v>
      </c>
      <c r="B125" s="224" t="s">
        <v>277</v>
      </c>
      <c r="C125" s="51" t="s">
        <v>278</v>
      </c>
      <c r="D125" s="112">
        <v>340.301053000001</v>
      </c>
      <c r="E125" s="225">
        <v>239.447528</v>
      </c>
      <c r="F125" s="226">
        <v>240</v>
      </c>
      <c r="G125" s="226">
        <v>297.31</v>
      </c>
      <c r="H125" s="227"/>
      <c r="I125" s="227">
        <v>82.03</v>
      </c>
      <c r="J125" s="227">
        <v>79.85</v>
      </c>
      <c r="K125" s="227">
        <v>217.15</v>
      </c>
      <c r="L125" s="227">
        <v>220</v>
      </c>
      <c r="M125" s="227">
        <v>165.98</v>
      </c>
      <c r="N125" s="227">
        <v>160</v>
      </c>
      <c r="O125" s="227">
        <v>253.17</v>
      </c>
      <c r="P125" s="227">
        <v>260</v>
      </c>
      <c r="Q125" s="227">
        <v>321.8</v>
      </c>
      <c r="R125" s="227">
        <v>142.68</v>
      </c>
      <c r="S125" s="227">
        <v>345.87</v>
      </c>
      <c r="T125" s="227">
        <v>0</v>
      </c>
      <c r="U125" s="227">
        <v>287.42</v>
      </c>
      <c r="V125" s="227">
        <v>0</v>
      </c>
      <c r="W125" s="227"/>
      <c r="X125" s="227">
        <v>0</v>
      </c>
      <c r="Y125" s="227">
        <v>624.26</v>
      </c>
      <c r="Z125" s="227">
        <v>0</v>
      </c>
      <c r="AA125" s="227">
        <v>268.48</v>
      </c>
      <c r="AB125" s="227">
        <v>1273.34</v>
      </c>
      <c r="AC125" s="229">
        <f t="shared" si="9"/>
        <v>3102.917528</v>
      </c>
      <c r="AD125" s="229">
        <f t="shared" si="10"/>
        <v>2375.87</v>
      </c>
      <c r="AE125" s="101">
        <f t="shared" si="11"/>
        <v>-386.746474999999</v>
      </c>
      <c r="AF125" s="222"/>
      <c r="AG125" s="222"/>
      <c r="AH125" s="222"/>
    </row>
    <row r="126" s="7" customFormat="1" ht="35" customHeight="1" spans="1:34">
      <c r="A126" s="224">
        <v>123</v>
      </c>
      <c r="B126" s="224" t="s">
        <v>279</v>
      </c>
      <c r="C126" s="51" t="s">
        <v>280</v>
      </c>
      <c r="D126" s="112">
        <v>2370.217843</v>
      </c>
      <c r="E126" s="225">
        <v>137.156728</v>
      </c>
      <c r="F126" s="226"/>
      <c r="G126" s="226">
        <v>193.38</v>
      </c>
      <c r="H126" s="227">
        <v>440</v>
      </c>
      <c r="I126" s="227">
        <v>114.22</v>
      </c>
      <c r="J126" s="227">
        <v>0</v>
      </c>
      <c r="K126" s="227">
        <v>149.77</v>
      </c>
      <c r="L126" s="227">
        <v>239.35</v>
      </c>
      <c r="M126" s="227">
        <v>137.39</v>
      </c>
      <c r="N126" s="227">
        <v>0</v>
      </c>
      <c r="O126" s="227">
        <v>129.66</v>
      </c>
      <c r="P126" s="227">
        <v>0</v>
      </c>
      <c r="Q126" s="227">
        <v>126.85</v>
      </c>
      <c r="R126" s="227">
        <v>327.68</v>
      </c>
      <c r="S126" s="227">
        <v>148.46</v>
      </c>
      <c r="T126" s="227">
        <v>0</v>
      </c>
      <c r="U126" s="227">
        <v>171.76</v>
      </c>
      <c r="V126" s="227">
        <v>0</v>
      </c>
      <c r="W126" s="227"/>
      <c r="X126" s="227">
        <v>300</v>
      </c>
      <c r="Y126" s="227">
        <v>285.49</v>
      </c>
      <c r="Z126" s="227">
        <v>0</v>
      </c>
      <c r="AA126" s="227">
        <v>140.27</v>
      </c>
      <c r="AB126" s="227">
        <v>343.34</v>
      </c>
      <c r="AC126" s="229">
        <f t="shared" si="9"/>
        <v>1734.406728</v>
      </c>
      <c r="AD126" s="229">
        <f t="shared" si="10"/>
        <v>1650.37</v>
      </c>
      <c r="AE126" s="101">
        <f t="shared" si="11"/>
        <v>2286.181115</v>
      </c>
      <c r="AF126" s="222"/>
      <c r="AG126" s="222"/>
      <c r="AH126" s="222"/>
    </row>
    <row r="127" s="7" customFormat="1" ht="35" customHeight="1" spans="1:34">
      <c r="A127" s="224">
        <v>124</v>
      </c>
      <c r="B127" s="224" t="s">
        <v>281</v>
      </c>
      <c r="C127" s="51" t="s">
        <v>282</v>
      </c>
      <c r="D127" s="112">
        <v>904.585858</v>
      </c>
      <c r="E127" s="225">
        <v>21.807528</v>
      </c>
      <c r="F127" s="226"/>
      <c r="G127" s="226">
        <v>26.35</v>
      </c>
      <c r="H127" s="227"/>
      <c r="I127" s="227">
        <v>59.27</v>
      </c>
      <c r="J127" s="227">
        <v>14.88</v>
      </c>
      <c r="K127" s="227">
        <v>12.26</v>
      </c>
      <c r="L127" s="227">
        <v>0</v>
      </c>
      <c r="M127" s="227">
        <v>14.44</v>
      </c>
      <c r="N127" s="227">
        <v>14.44</v>
      </c>
      <c r="O127" s="227">
        <v>12.13</v>
      </c>
      <c r="P127" s="227">
        <v>12.13</v>
      </c>
      <c r="Q127" s="227">
        <v>15.29</v>
      </c>
      <c r="R127" s="227">
        <v>26.74</v>
      </c>
      <c r="S127" s="227">
        <v>15.59</v>
      </c>
      <c r="T127" s="227">
        <v>0</v>
      </c>
      <c r="U127" s="227">
        <v>13.83</v>
      </c>
      <c r="V127" s="227">
        <v>0</v>
      </c>
      <c r="W127" s="227"/>
      <c r="X127" s="227"/>
      <c r="Y127" s="227">
        <v>29.34</v>
      </c>
      <c r="Z127" s="227">
        <v>0</v>
      </c>
      <c r="AA127" s="227">
        <v>13.74</v>
      </c>
      <c r="AB127" s="227">
        <v>0</v>
      </c>
      <c r="AC127" s="229">
        <f t="shared" si="9"/>
        <v>234.047528</v>
      </c>
      <c r="AD127" s="229">
        <f t="shared" si="10"/>
        <v>68.19</v>
      </c>
      <c r="AE127" s="101">
        <f t="shared" si="11"/>
        <v>738.72833</v>
      </c>
      <c r="AF127" s="222"/>
      <c r="AG127" s="222"/>
      <c r="AH127" s="222"/>
    </row>
    <row r="128" s="7" customFormat="1" ht="35" customHeight="1" spans="1:34">
      <c r="A128" s="224">
        <v>125</v>
      </c>
      <c r="B128" s="224" t="s">
        <v>283</v>
      </c>
      <c r="C128" s="51" t="s">
        <v>284</v>
      </c>
      <c r="D128" s="112">
        <v>-198.630000000001</v>
      </c>
      <c r="E128" s="225">
        <v>316.709728</v>
      </c>
      <c r="F128" s="226">
        <v>316.71</v>
      </c>
      <c r="G128" s="226">
        <v>358.79</v>
      </c>
      <c r="H128" s="227"/>
      <c r="I128" s="227">
        <v>284.04</v>
      </c>
      <c r="J128" s="227">
        <v>744.53</v>
      </c>
      <c r="K128" s="227">
        <v>219.91</v>
      </c>
      <c r="L128" s="227">
        <v>219.91</v>
      </c>
      <c r="M128" s="227">
        <v>233.46</v>
      </c>
      <c r="N128" s="227">
        <v>233.46</v>
      </c>
      <c r="O128" s="227">
        <v>218.89</v>
      </c>
      <c r="P128" s="227">
        <v>218.89</v>
      </c>
      <c r="Q128" s="227">
        <v>197.54</v>
      </c>
      <c r="R128" s="227">
        <v>197.54</v>
      </c>
      <c r="S128" s="227">
        <v>231.58</v>
      </c>
      <c r="T128" s="227">
        <v>231.58</v>
      </c>
      <c r="U128" s="227">
        <v>267.4</v>
      </c>
      <c r="V128" s="227">
        <v>267.4</v>
      </c>
      <c r="W128" s="227"/>
      <c r="X128" s="227"/>
      <c r="Y128" s="227">
        <v>380.86</v>
      </c>
      <c r="Z128" s="227">
        <v>380.86</v>
      </c>
      <c r="AA128" s="227">
        <v>200.17</v>
      </c>
      <c r="AB128" s="227">
        <v>0</v>
      </c>
      <c r="AC128" s="229">
        <f t="shared" si="9"/>
        <v>2909.349728</v>
      </c>
      <c r="AD128" s="229">
        <f t="shared" si="10"/>
        <v>2810.88</v>
      </c>
      <c r="AE128" s="101">
        <f t="shared" si="11"/>
        <v>-297.099728000001</v>
      </c>
      <c r="AF128" s="222"/>
      <c r="AG128" s="222"/>
      <c r="AH128" s="222"/>
    </row>
    <row r="129" s="7" customFormat="1" ht="35" customHeight="1" spans="1:34">
      <c r="A129" s="224">
        <v>126</v>
      </c>
      <c r="B129" s="224" t="s">
        <v>285</v>
      </c>
      <c r="C129" s="51" t="s">
        <v>286</v>
      </c>
      <c r="D129" s="112">
        <v>152.3236</v>
      </c>
      <c r="E129" s="225">
        <v>94.172828</v>
      </c>
      <c r="F129" s="226">
        <v>159.97</v>
      </c>
      <c r="G129" s="226">
        <v>110.68</v>
      </c>
      <c r="H129" s="227"/>
      <c r="I129" s="227">
        <v>127.54</v>
      </c>
      <c r="J129" s="227">
        <v>172.42</v>
      </c>
      <c r="K129" s="227">
        <v>93.99</v>
      </c>
      <c r="L129" s="227">
        <v>93.99</v>
      </c>
      <c r="M129" s="227">
        <v>87.07</v>
      </c>
      <c r="N129" s="227">
        <v>87.07</v>
      </c>
      <c r="O129" s="227">
        <v>73.07</v>
      </c>
      <c r="P129" s="227">
        <v>73.07</v>
      </c>
      <c r="Q129" s="227">
        <v>56.16</v>
      </c>
      <c r="R129" s="227">
        <v>56.16</v>
      </c>
      <c r="S129" s="227">
        <v>48.94</v>
      </c>
      <c r="T129" s="227">
        <v>48.94</v>
      </c>
      <c r="U129" s="227">
        <v>48.87</v>
      </c>
      <c r="V129" s="227">
        <v>48.87</v>
      </c>
      <c r="W129" s="227"/>
      <c r="X129" s="227"/>
      <c r="Y129" s="227">
        <v>116.39</v>
      </c>
      <c r="Z129" s="227">
        <v>116.39</v>
      </c>
      <c r="AA129" s="227">
        <v>74.76</v>
      </c>
      <c r="AB129" s="227">
        <v>74.76</v>
      </c>
      <c r="AC129" s="229">
        <f t="shared" si="9"/>
        <v>931.642828</v>
      </c>
      <c r="AD129" s="229">
        <f t="shared" si="10"/>
        <v>931.64</v>
      </c>
      <c r="AE129" s="101">
        <f t="shared" si="11"/>
        <v>152.320772</v>
      </c>
      <c r="AF129" s="222"/>
      <c r="AG129" s="222"/>
      <c r="AH129" s="222"/>
    </row>
    <row r="130" s="7" customFormat="1" ht="35" customHeight="1" spans="1:34">
      <c r="A130" s="224">
        <v>127</v>
      </c>
      <c r="B130" s="224" t="s">
        <v>287</v>
      </c>
      <c r="C130" s="51" t="s">
        <v>288</v>
      </c>
      <c r="D130" s="112">
        <v>444.485693000001</v>
      </c>
      <c r="E130" s="225">
        <v>65.879628</v>
      </c>
      <c r="F130" s="226">
        <v>34.79</v>
      </c>
      <c r="G130" s="226">
        <v>74.23</v>
      </c>
      <c r="H130" s="227"/>
      <c r="I130" s="227">
        <v>108.67</v>
      </c>
      <c r="J130" s="227">
        <v>108.67</v>
      </c>
      <c r="K130" s="227">
        <v>76.32</v>
      </c>
      <c r="L130" s="227">
        <v>76.32</v>
      </c>
      <c r="M130" s="227">
        <v>69.3</v>
      </c>
      <c r="N130" s="227">
        <v>69.3</v>
      </c>
      <c r="O130" s="227">
        <v>83.4</v>
      </c>
      <c r="P130" s="227">
        <v>83.4</v>
      </c>
      <c r="Q130" s="227">
        <v>66.1</v>
      </c>
      <c r="R130" s="227">
        <v>66.1</v>
      </c>
      <c r="S130" s="227">
        <v>113.47</v>
      </c>
      <c r="T130" s="227">
        <v>113.47</v>
      </c>
      <c r="U130" s="227">
        <v>132.83</v>
      </c>
      <c r="V130" s="227">
        <v>132.83</v>
      </c>
      <c r="W130" s="227"/>
      <c r="X130" s="227"/>
      <c r="Y130" s="227">
        <v>183.43</v>
      </c>
      <c r="Z130" s="227">
        <v>183.43</v>
      </c>
      <c r="AA130" s="227">
        <v>91.56</v>
      </c>
      <c r="AB130" s="227">
        <v>91.56</v>
      </c>
      <c r="AC130" s="229">
        <f t="shared" si="9"/>
        <v>1065.189628</v>
      </c>
      <c r="AD130" s="229">
        <f t="shared" si="10"/>
        <v>959.87</v>
      </c>
      <c r="AE130" s="101">
        <f t="shared" si="11"/>
        <v>339.166065000001</v>
      </c>
      <c r="AF130" s="222"/>
      <c r="AG130" s="222"/>
      <c r="AH130" s="222"/>
    </row>
    <row r="131" s="7" customFormat="1" ht="35" customHeight="1" spans="1:34">
      <c r="A131" s="224">
        <v>128</v>
      </c>
      <c r="B131" s="224" t="s">
        <v>289</v>
      </c>
      <c r="C131" s="51" t="s">
        <v>290</v>
      </c>
      <c r="D131" s="112">
        <v>-164.775742</v>
      </c>
      <c r="E131" s="225">
        <v>281.887328</v>
      </c>
      <c r="F131" s="226"/>
      <c r="G131" s="226">
        <v>308.73</v>
      </c>
      <c r="H131" s="227"/>
      <c r="I131" s="227">
        <v>50.95</v>
      </c>
      <c r="J131" s="227"/>
      <c r="K131" s="227">
        <v>216.04</v>
      </c>
      <c r="L131" s="227"/>
      <c r="M131" s="227">
        <v>248.33</v>
      </c>
      <c r="N131" s="227">
        <v>279.35</v>
      </c>
      <c r="O131" s="227">
        <v>233.04</v>
      </c>
      <c r="P131" s="227"/>
      <c r="Q131" s="227">
        <v>223.49</v>
      </c>
      <c r="R131" s="227">
        <v>477.68</v>
      </c>
      <c r="S131" s="227">
        <v>145.73</v>
      </c>
      <c r="T131" s="227">
        <v>300</v>
      </c>
      <c r="U131" s="227">
        <v>90.57</v>
      </c>
      <c r="V131" s="227">
        <v>0</v>
      </c>
      <c r="W131" s="227"/>
      <c r="X131" s="227"/>
      <c r="Y131" s="227">
        <v>281.61</v>
      </c>
      <c r="Z131" s="227"/>
      <c r="AA131" s="227">
        <v>121.23</v>
      </c>
      <c r="AB131" s="227">
        <v>243.34</v>
      </c>
      <c r="AC131" s="229">
        <f t="shared" si="9"/>
        <v>2201.607328</v>
      </c>
      <c r="AD131" s="229">
        <f t="shared" si="10"/>
        <v>1300.37</v>
      </c>
      <c r="AE131" s="101">
        <f t="shared" si="11"/>
        <v>-1066.01307</v>
      </c>
      <c r="AF131" s="222"/>
      <c r="AG131" s="222"/>
      <c r="AH131" s="222"/>
    </row>
    <row r="132" s="7" customFormat="1" ht="35" customHeight="1" spans="1:34">
      <c r="A132" s="224">
        <v>129</v>
      </c>
      <c r="B132" s="224" t="s">
        <v>291</v>
      </c>
      <c r="C132" s="51" t="s">
        <v>292</v>
      </c>
      <c r="D132" s="112">
        <v>-314.612837</v>
      </c>
      <c r="E132" s="225">
        <v>278.078628</v>
      </c>
      <c r="F132" s="226"/>
      <c r="G132" s="226">
        <v>355.53</v>
      </c>
      <c r="H132" s="227">
        <v>940</v>
      </c>
      <c r="I132" s="227">
        <v>236.31</v>
      </c>
      <c r="J132" s="227"/>
      <c r="K132" s="227">
        <v>187.88</v>
      </c>
      <c r="L132" s="227"/>
      <c r="M132" s="227">
        <v>182</v>
      </c>
      <c r="N132" s="227">
        <v>679.35</v>
      </c>
      <c r="O132" s="227">
        <v>187.33</v>
      </c>
      <c r="P132" s="227"/>
      <c r="Q132" s="227">
        <v>224.6</v>
      </c>
      <c r="R132" s="227">
        <v>77.18</v>
      </c>
      <c r="S132" s="227">
        <v>497.88</v>
      </c>
      <c r="T132" s="227"/>
      <c r="U132" s="227">
        <v>497.05</v>
      </c>
      <c r="V132" s="227">
        <v>667.5</v>
      </c>
      <c r="W132" s="227"/>
      <c r="X132" s="227"/>
      <c r="Y132" s="227">
        <v>542.2</v>
      </c>
      <c r="Z132" s="227"/>
      <c r="AA132" s="227">
        <v>163.22</v>
      </c>
      <c r="AB132" s="227">
        <v>843.34</v>
      </c>
      <c r="AC132" s="229">
        <f t="shared" si="9"/>
        <v>3352.078628</v>
      </c>
      <c r="AD132" s="229">
        <f t="shared" si="10"/>
        <v>3207.37</v>
      </c>
      <c r="AE132" s="101">
        <f t="shared" si="11"/>
        <v>-459.321465</v>
      </c>
      <c r="AF132" s="222"/>
      <c r="AG132" s="222"/>
      <c r="AH132" s="222"/>
    </row>
    <row r="133" s="7" customFormat="1" ht="35" customHeight="1" spans="1:34">
      <c r="A133" s="224">
        <v>130</v>
      </c>
      <c r="B133" s="51"/>
      <c r="C133" s="51" t="s">
        <v>3</v>
      </c>
      <c r="D133" s="65">
        <f>SUM(D4:D132)</f>
        <v>36740.916466</v>
      </c>
      <c r="E133" s="227">
        <f t="shared" ref="E133:AE133" si="12">SUM(E4:E132)</f>
        <v>23430.451052</v>
      </c>
      <c r="F133" s="227">
        <f t="shared" si="12"/>
        <v>22509.26</v>
      </c>
      <c r="G133" s="227">
        <f t="shared" si="12"/>
        <v>27573.21</v>
      </c>
      <c r="H133" s="227">
        <f t="shared" si="12"/>
        <v>5719.9</v>
      </c>
      <c r="I133" s="227">
        <f t="shared" si="12"/>
        <v>18048.84</v>
      </c>
      <c r="J133" s="227">
        <f t="shared" si="12"/>
        <v>35949.95</v>
      </c>
      <c r="K133" s="227">
        <f t="shared" si="12"/>
        <v>18346.31</v>
      </c>
      <c r="L133" s="227">
        <f t="shared" si="12"/>
        <v>16336.57</v>
      </c>
      <c r="M133" s="227">
        <f t="shared" si="12"/>
        <v>15804.68</v>
      </c>
      <c r="N133" s="227">
        <f t="shared" si="12"/>
        <v>14970.34</v>
      </c>
      <c r="O133" s="227">
        <f t="shared" si="12"/>
        <v>17891.97</v>
      </c>
      <c r="P133" s="227">
        <f t="shared" si="12"/>
        <v>14004.47</v>
      </c>
      <c r="Q133" s="227">
        <f t="shared" si="12"/>
        <v>19488.51</v>
      </c>
      <c r="R133" s="227">
        <f t="shared" si="12"/>
        <v>17734.19</v>
      </c>
      <c r="S133" s="227">
        <f t="shared" si="12"/>
        <v>24460.8</v>
      </c>
      <c r="T133" s="227">
        <f t="shared" si="12"/>
        <v>25409.68</v>
      </c>
      <c r="U133" s="227">
        <f t="shared" si="12"/>
        <v>25018.05</v>
      </c>
      <c r="V133" s="227">
        <f t="shared" si="12"/>
        <v>20876.27</v>
      </c>
      <c r="W133" s="227">
        <f t="shared" si="12"/>
        <v>0</v>
      </c>
      <c r="X133" s="227">
        <f t="shared" si="12"/>
        <v>6007.02</v>
      </c>
      <c r="Y133" s="227">
        <f t="shared" si="12"/>
        <v>38281.94</v>
      </c>
      <c r="Z133" s="227">
        <f t="shared" si="12"/>
        <v>26049.9</v>
      </c>
      <c r="AA133" s="227">
        <f t="shared" si="12"/>
        <v>16905.43</v>
      </c>
      <c r="AB133" s="227">
        <f t="shared" si="12"/>
        <v>29513.24</v>
      </c>
      <c r="AC133" s="65">
        <f t="shared" si="12"/>
        <v>245250.191052</v>
      </c>
      <c r="AD133" s="65">
        <f t="shared" si="12"/>
        <v>235080.79</v>
      </c>
      <c r="AE133" s="65">
        <f t="shared" si="12"/>
        <v>26571.515414</v>
      </c>
      <c r="AF133" s="222"/>
      <c r="AG133" s="222"/>
      <c r="AH133" s="222"/>
    </row>
  </sheetData>
  <sheetProtection password="DE10" sheet="1" objects="1"/>
  <mergeCells count="3">
    <mergeCell ref="A1:AB1"/>
    <mergeCell ref="A2:D2"/>
    <mergeCell ref="Z2:AB2"/>
  </mergeCells>
  <conditionalFormatting sqref="C4:C67">
    <cfRule type="cellIs" dxfId="0" priority="4" operator="equal">
      <formula>0</formula>
    </cfRule>
    <cfRule type="duplicateValues" dxfId="1" priority="3"/>
  </conditionalFormatting>
  <conditionalFormatting sqref="C70:C132">
    <cfRule type="cellIs" dxfId="0" priority="2" operator="equal">
      <formula>0</formula>
    </cfRule>
  </conditionalFormatting>
  <pageMargins left="0.393055555555556" right="0.393055555555556" top="0.393055555555556" bottom="0.393055555555556" header="0.5" footer="0.5"/>
  <pageSetup paperSize="9" scale="43" fitToHeight="0" orientation="landscape" horizontalDpi="6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133"/>
  <sheetViews>
    <sheetView workbookViewId="0">
      <selection activeCell="H5" sqref="H5"/>
    </sheetView>
  </sheetViews>
  <sheetFormatPr defaultColWidth="9" defaultRowHeight="13.5"/>
  <cols>
    <col min="1" max="1" width="6.89166666666667" style="199" customWidth="1"/>
    <col min="2" max="3" width="9" style="14"/>
    <col min="4" max="4" width="11.8916666666667" style="14" customWidth="1"/>
    <col min="5" max="28" width="11.8916666666667" style="14"/>
    <col min="29" max="29" width="11.4416666666667" style="14" customWidth="1"/>
    <col min="30" max="30" width="11.8916666666667" style="14" customWidth="1"/>
    <col min="31" max="31" width="12.6666666666667" style="14" customWidth="1"/>
    <col min="32" max="32" width="9" style="14"/>
    <col min="33" max="16384" width="9" style="9"/>
  </cols>
  <sheetData>
    <row r="1" s="8" customFormat="1" ht="35" customHeight="1" spans="1:32">
      <c r="A1" s="62" t="s">
        <v>324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163"/>
      <c r="AC1" s="14"/>
      <c r="AD1" s="14"/>
      <c r="AE1" s="14"/>
      <c r="AF1" s="14"/>
    </row>
    <row r="2" s="9" customFormat="1" ht="35" customHeight="1" spans="1:32">
      <c r="A2" s="63" t="s">
        <v>1</v>
      </c>
      <c r="B2" s="46"/>
      <c r="C2" s="46"/>
      <c r="D2" s="46"/>
      <c r="E2" s="47"/>
      <c r="F2" s="47"/>
      <c r="G2" s="4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79" t="s">
        <v>2</v>
      </c>
      <c r="AA2" s="179"/>
      <c r="AB2" s="217"/>
      <c r="AC2" s="14"/>
      <c r="AD2" s="14"/>
      <c r="AE2" s="14"/>
      <c r="AF2" s="14"/>
    </row>
    <row r="3" s="10" customFormat="1" ht="48" customHeight="1" spans="1:32">
      <c r="A3" s="64" t="s">
        <v>6</v>
      </c>
      <c r="B3" s="50" t="s">
        <v>7</v>
      </c>
      <c r="C3" s="50" t="s">
        <v>8</v>
      </c>
      <c r="D3" s="49" t="s">
        <v>9</v>
      </c>
      <c r="E3" s="209" t="s">
        <v>325</v>
      </c>
      <c r="F3" s="50" t="s">
        <v>11</v>
      </c>
      <c r="G3" s="50" t="s">
        <v>12</v>
      </c>
      <c r="H3" s="50" t="s">
        <v>13</v>
      </c>
      <c r="I3" s="50" t="s">
        <v>14</v>
      </c>
      <c r="J3" s="50" t="s">
        <v>15</v>
      </c>
      <c r="K3" s="50" t="s">
        <v>16</v>
      </c>
      <c r="L3" s="50" t="s">
        <v>17</v>
      </c>
      <c r="M3" s="50" t="s">
        <v>18</v>
      </c>
      <c r="N3" s="50" t="s">
        <v>19</v>
      </c>
      <c r="O3" s="50" t="s">
        <v>20</v>
      </c>
      <c r="P3" s="50" t="s">
        <v>21</v>
      </c>
      <c r="Q3" s="50" t="s">
        <v>22</v>
      </c>
      <c r="R3" s="50" t="s">
        <v>23</v>
      </c>
      <c r="S3" s="50" t="s">
        <v>24</v>
      </c>
      <c r="T3" s="50" t="s">
        <v>25</v>
      </c>
      <c r="U3" s="50" t="s">
        <v>26</v>
      </c>
      <c r="V3" s="50" t="s">
        <v>27</v>
      </c>
      <c r="W3" s="50" t="s">
        <v>28</v>
      </c>
      <c r="X3" s="50" t="s">
        <v>29</v>
      </c>
      <c r="Y3" s="50" t="s">
        <v>30</v>
      </c>
      <c r="Z3" s="50" t="s">
        <v>31</v>
      </c>
      <c r="AA3" s="209" t="s">
        <v>326</v>
      </c>
      <c r="AB3" s="165" t="s">
        <v>33</v>
      </c>
      <c r="AC3" s="50" t="s">
        <v>32</v>
      </c>
      <c r="AD3" s="50" t="s">
        <v>314</v>
      </c>
      <c r="AE3" s="206" t="s">
        <v>36</v>
      </c>
      <c r="AF3" s="15"/>
    </row>
    <row r="4" s="8" customFormat="1" ht="35" customHeight="1" spans="1:32">
      <c r="A4" s="64">
        <v>1</v>
      </c>
      <c r="B4" s="50" t="s">
        <v>37</v>
      </c>
      <c r="C4" s="65" t="s">
        <v>38</v>
      </c>
      <c r="D4" s="50">
        <v>430.130839</v>
      </c>
      <c r="E4" s="69">
        <v>62.48</v>
      </c>
      <c r="F4" s="69">
        <v>62.51</v>
      </c>
      <c r="G4" s="69">
        <v>83.64</v>
      </c>
      <c r="H4" s="69">
        <v>0</v>
      </c>
      <c r="I4" s="69">
        <v>64.66</v>
      </c>
      <c r="J4" s="69">
        <v>58.51</v>
      </c>
      <c r="K4" s="69">
        <v>55.26</v>
      </c>
      <c r="L4" s="69">
        <v>55.26</v>
      </c>
      <c r="M4" s="69">
        <v>65.05</v>
      </c>
      <c r="N4" s="69">
        <v>65.05</v>
      </c>
      <c r="O4" s="69">
        <v>55.02</v>
      </c>
      <c r="P4" s="69">
        <v>55.02</v>
      </c>
      <c r="Q4" s="69">
        <v>63.42</v>
      </c>
      <c r="R4" s="69">
        <v>63.42</v>
      </c>
      <c r="S4" s="69">
        <v>79.94</v>
      </c>
      <c r="T4" s="69"/>
      <c r="U4" s="69">
        <v>76.52</v>
      </c>
      <c r="V4" s="69">
        <f>79.94+76.52</f>
        <v>156.46</v>
      </c>
      <c r="W4" s="69">
        <v>52.91</v>
      </c>
      <c r="X4" s="69">
        <v>52.91</v>
      </c>
      <c r="Y4" s="69">
        <v>46.12</v>
      </c>
      <c r="Z4" s="69">
        <v>46.12</v>
      </c>
      <c r="AA4" s="69">
        <v>50.68</v>
      </c>
      <c r="AB4" s="218">
        <v>50.68</v>
      </c>
      <c r="AC4" s="185">
        <f>E4+G4+I4+K4+M4+O4+Q4+S4+U4+W4+Y4+AA4</f>
        <v>755.7</v>
      </c>
      <c r="AD4" s="185">
        <f>F4+H4+J4+L4+N4+P4+R4+T4+V4+X4+Z4+AB4</f>
        <v>665.94</v>
      </c>
      <c r="AE4" s="211">
        <f>D4+AD4-AC4</f>
        <v>340.370839</v>
      </c>
      <c r="AF4" s="14"/>
    </row>
    <row r="5" s="8" customFormat="1" ht="35" customHeight="1" spans="1:32">
      <c r="A5" s="64">
        <v>2</v>
      </c>
      <c r="B5" s="50" t="s">
        <v>39</v>
      </c>
      <c r="C5" s="65" t="s">
        <v>40</v>
      </c>
      <c r="D5" s="50">
        <v>226.134904</v>
      </c>
      <c r="E5" s="69">
        <v>137.07</v>
      </c>
      <c r="F5" s="69"/>
      <c r="G5" s="69">
        <v>414.04</v>
      </c>
      <c r="H5" s="69">
        <v>137.07</v>
      </c>
      <c r="I5" s="69">
        <v>354.75</v>
      </c>
      <c r="J5" s="69">
        <v>414.04</v>
      </c>
      <c r="K5" s="69">
        <v>87.62</v>
      </c>
      <c r="L5" s="69">
        <v>442.37</v>
      </c>
      <c r="M5" s="69">
        <v>47.56</v>
      </c>
      <c r="N5" s="69"/>
      <c r="O5" s="69">
        <v>61.55</v>
      </c>
      <c r="P5" s="69">
        <v>109.11</v>
      </c>
      <c r="Q5" s="69">
        <v>105.78</v>
      </c>
      <c r="R5" s="69">
        <v>105.78</v>
      </c>
      <c r="S5" s="69">
        <v>129.65</v>
      </c>
      <c r="T5" s="69"/>
      <c r="U5" s="69">
        <v>107.13</v>
      </c>
      <c r="V5" s="69">
        <v>236.78</v>
      </c>
      <c r="W5" s="69">
        <v>73.93</v>
      </c>
      <c r="X5" s="69">
        <v>73.93</v>
      </c>
      <c r="Y5" s="69">
        <v>80.4</v>
      </c>
      <c r="Z5" s="69">
        <v>80.4</v>
      </c>
      <c r="AA5" s="69">
        <v>68.44</v>
      </c>
      <c r="AB5" s="69">
        <v>68.44</v>
      </c>
      <c r="AC5" s="185">
        <f t="shared" ref="AC5:AC36" si="0">E5+G5+I5+K5+M5+O5+Q5+S5+U5+W5+Y5+AA5</f>
        <v>1667.92</v>
      </c>
      <c r="AD5" s="185">
        <f t="shared" ref="AD5:AD36" si="1">F5+H5+J5+L5+N5+P5+R5+T5+V5+X5+Z5+AB5</f>
        <v>1667.92</v>
      </c>
      <c r="AE5" s="211">
        <f t="shared" ref="AE5:AE36" si="2">D5+AD5-AC5</f>
        <v>226.134904</v>
      </c>
      <c r="AF5" s="14"/>
    </row>
    <row r="6" s="8" customFormat="1" ht="35" customHeight="1" spans="1:32">
      <c r="A6" s="64">
        <v>3</v>
      </c>
      <c r="B6" s="50" t="s">
        <v>41</v>
      </c>
      <c r="C6" s="65" t="s">
        <v>42</v>
      </c>
      <c r="D6" s="50">
        <v>176.25247</v>
      </c>
      <c r="E6" s="69">
        <v>10.72</v>
      </c>
      <c r="F6" s="69"/>
      <c r="G6" s="69">
        <v>10.65</v>
      </c>
      <c r="H6" s="69">
        <v>0</v>
      </c>
      <c r="I6" s="69">
        <v>9.43</v>
      </c>
      <c r="J6" s="69">
        <v>0</v>
      </c>
      <c r="K6" s="69">
        <v>10.63</v>
      </c>
      <c r="L6" s="69"/>
      <c r="M6" s="69">
        <v>10.39</v>
      </c>
      <c r="N6" s="69"/>
      <c r="O6" s="69">
        <v>10.95</v>
      </c>
      <c r="P6" s="69"/>
      <c r="Q6" s="69">
        <v>11.58</v>
      </c>
      <c r="R6" s="69">
        <v>66.48</v>
      </c>
      <c r="S6" s="69">
        <v>15.96</v>
      </c>
      <c r="T6" s="69"/>
      <c r="U6" s="69">
        <v>11.54</v>
      </c>
      <c r="V6" s="69"/>
      <c r="W6" s="69">
        <v>11.37</v>
      </c>
      <c r="X6" s="69"/>
      <c r="Y6" s="69">
        <v>11.3</v>
      </c>
      <c r="Z6" s="69"/>
      <c r="AA6" s="69">
        <v>10.72</v>
      </c>
      <c r="AB6" s="69"/>
      <c r="AC6" s="185">
        <f t="shared" si="0"/>
        <v>135.24</v>
      </c>
      <c r="AD6" s="185">
        <f t="shared" si="1"/>
        <v>66.48</v>
      </c>
      <c r="AE6" s="211">
        <f t="shared" si="2"/>
        <v>107.49247</v>
      </c>
      <c r="AF6" s="14"/>
    </row>
    <row r="7" s="8" customFormat="1" ht="35" customHeight="1" spans="1:32">
      <c r="A7" s="64">
        <v>4</v>
      </c>
      <c r="B7" s="50" t="s">
        <v>43</v>
      </c>
      <c r="C7" s="65" t="s">
        <v>44</v>
      </c>
      <c r="D7" s="50">
        <v>2483.91807</v>
      </c>
      <c r="E7" s="69">
        <v>150.98</v>
      </c>
      <c r="F7" s="69"/>
      <c r="G7" s="69">
        <v>155.51</v>
      </c>
      <c r="H7" s="200"/>
      <c r="I7" s="69">
        <v>150.57</v>
      </c>
      <c r="J7" s="69">
        <v>0</v>
      </c>
      <c r="K7" s="69">
        <v>102.12</v>
      </c>
      <c r="L7" s="69"/>
      <c r="M7" s="69">
        <v>86.37</v>
      </c>
      <c r="N7" s="69"/>
      <c r="O7" s="69">
        <v>101.27</v>
      </c>
      <c r="P7" s="69"/>
      <c r="Q7" s="69">
        <v>121.59</v>
      </c>
      <c r="R7" s="69"/>
      <c r="S7" s="69">
        <v>146.79</v>
      </c>
      <c r="T7" s="69"/>
      <c r="U7" s="69">
        <v>160.83</v>
      </c>
      <c r="V7" s="69"/>
      <c r="W7" s="69">
        <v>88.29</v>
      </c>
      <c r="X7" s="69"/>
      <c r="Y7" s="69">
        <v>93.46</v>
      </c>
      <c r="Z7" s="69"/>
      <c r="AA7" s="69">
        <v>91.19</v>
      </c>
      <c r="AB7" s="69"/>
      <c r="AC7" s="185">
        <f t="shared" si="0"/>
        <v>1448.97</v>
      </c>
      <c r="AD7" s="185">
        <f t="shared" si="1"/>
        <v>0</v>
      </c>
      <c r="AE7" s="211">
        <f t="shared" si="2"/>
        <v>1034.94807</v>
      </c>
      <c r="AF7" s="14"/>
    </row>
    <row r="8" s="8" customFormat="1" ht="35" customHeight="1" spans="1:32">
      <c r="A8" s="64">
        <v>5</v>
      </c>
      <c r="B8" s="50" t="s">
        <v>45</v>
      </c>
      <c r="C8" s="65" t="s">
        <v>46</v>
      </c>
      <c r="D8" s="50">
        <v>138.32717</v>
      </c>
      <c r="E8" s="69">
        <v>83.63</v>
      </c>
      <c r="F8" s="69">
        <v>250.21</v>
      </c>
      <c r="G8" s="69">
        <v>235.75</v>
      </c>
      <c r="H8" s="69">
        <v>183.06</v>
      </c>
      <c r="I8" s="69">
        <v>243.73</v>
      </c>
      <c r="J8" s="69">
        <v>243.73</v>
      </c>
      <c r="K8" s="69">
        <v>151.22</v>
      </c>
      <c r="L8" s="69">
        <v>151.22</v>
      </c>
      <c r="M8" s="69">
        <v>126.28</v>
      </c>
      <c r="N8" s="69">
        <v>126.28</v>
      </c>
      <c r="O8" s="69">
        <v>130.65</v>
      </c>
      <c r="P8" s="69">
        <v>261.3</v>
      </c>
      <c r="Q8" s="69">
        <v>167.74</v>
      </c>
      <c r="R8" s="69">
        <v>537.09</v>
      </c>
      <c r="S8" s="69">
        <v>220.49</v>
      </c>
      <c r="T8" s="69"/>
      <c r="U8" s="69">
        <v>244.07</v>
      </c>
      <c r="V8" s="69"/>
      <c r="W8" s="69">
        <v>137</v>
      </c>
      <c r="X8" s="69">
        <v>101.56</v>
      </c>
      <c r="Y8" s="69">
        <v>129.91</v>
      </c>
      <c r="Z8" s="69">
        <v>329.91</v>
      </c>
      <c r="AA8" s="69">
        <v>130.59</v>
      </c>
      <c r="AB8" s="69"/>
      <c r="AC8" s="185">
        <f t="shared" si="0"/>
        <v>2001.06</v>
      </c>
      <c r="AD8" s="185">
        <f t="shared" si="1"/>
        <v>2184.36</v>
      </c>
      <c r="AE8" s="211">
        <f t="shared" si="2"/>
        <v>321.62717</v>
      </c>
      <c r="AF8" s="14"/>
    </row>
    <row r="9" s="8" customFormat="1" ht="35" customHeight="1" spans="1:32">
      <c r="A9" s="64">
        <v>6</v>
      </c>
      <c r="B9" s="50" t="s">
        <v>47</v>
      </c>
      <c r="C9" s="65" t="s">
        <v>48</v>
      </c>
      <c r="D9" s="50">
        <v>356.68497</v>
      </c>
      <c r="E9" s="69">
        <v>34.65</v>
      </c>
      <c r="F9" s="69"/>
      <c r="G9" s="69">
        <v>106.48</v>
      </c>
      <c r="H9" s="69">
        <v>0</v>
      </c>
      <c r="I9" s="69">
        <v>81.95</v>
      </c>
      <c r="J9" s="69">
        <v>500</v>
      </c>
      <c r="K9" s="69">
        <v>32.95</v>
      </c>
      <c r="L9" s="69"/>
      <c r="M9" s="69">
        <v>58.49</v>
      </c>
      <c r="N9" s="69"/>
      <c r="O9" s="69">
        <v>49.04</v>
      </c>
      <c r="P9" s="69"/>
      <c r="Q9" s="69">
        <v>101.35</v>
      </c>
      <c r="R9" s="69"/>
      <c r="S9" s="69">
        <v>215.34</v>
      </c>
      <c r="T9" s="69"/>
      <c r="U9" s="69">
        <v>182.85</v>
      </c>
      <c r="V9" s="69">
        <v>363.1</v>
      </c>
      <c r="W9" s="69">
        <v>47.26</v>
      </c>
      <c r="X9" s="69">
        <v>47.26</v>
      </c>
      <c r="Y9" s="69">
        <v>36.33</v>
      </c>
      <c r="Z9" s="69">
        <v>36.33</v>
      </c>
      <c r="AA9" s="69">
        <v>32.36</v>
      </c>
      <c r="AB9" s="69">
        <v>32.36</v>
      </c>
      <c r="AC9" s="185">
        <f t="shared" si="0"/>
        <v>979.05</v>
      </c>
      <c r="AD9" s="185">
        <f t="shared" si="1"/>
        <v>979.05</v>
      </c>
      <c r="AE9" s="211">
        <f t="shared" si="2"/>
        <v>356.68497</v>
      </c>
      <c r="AF9" s="14"/>
    </row>
    <row r="10" s="8" customFormat="1" ht="35" customHeight="1" spans="1:32">
      <c r="A10" s="64">
        <v>7</v>
      </c>
      <c r="B10" s="50" t="s">
        <v>49</v>
      </c>
      <c r="C10" s="65" t="s">
        <v>50</v>
      </c>
      <c r="D10" s="50">
        <v>232.610924000001</v>
      </c>
      <c r="E10" s="69">
        <v>159.89</v>
      </c>
      <c r="F10" s="69">
        <v>159.89</v>
      </c>
      <c r="G10" s="69">
        <v>157.74</v>
      </c>
      <c r="H10" s="69">
        <v>0</v>
      </c>
      <c r="I10" s="69">
        <v>176.23</v>
      </c>
      <c r="J10" s="69">
        <v>333.97</v>
      </c>
      <c r="K10" s="69">
        <v>130.58</v>
      </c>
      <c r="L10" s="69">
        <v>130.58</v>
      </c>
      <c r="M10" s="69">
        <v>115.35</v>
      </c>
      <c r="N10" s="69">
        <v>115.35</v>
      </c>
      <c r="O10" s="69">
        <v>133.92</v>
      </c>
      <c r="P10" s="69">
        <v>267.84</v>
      </c>
      <c r="Q10" s="69">
        <v>189.87</v>
      </c>
      <c r="R10" s="69">
        <v>189.87</v>
      </c>
      <c r="S10" s="69">
        <v>324.46</v>
      </c>
      <c r="T10" s="69">
        <v>200</v>
      </c>
      <c r="U10" s="69">
        <v>434.18</v>
      </c>
      <c r="V10" s="69">
        <v>424.72</v>
      </c>
      <c r="W10" s="69">
        <v>147.25</v>
      </c>
      <c r="X10" s="69">
        <v>294.5</v>
      </c>
      <c r="Y10" s="69">
        <v>127.19</v>
      </c>
      <c r="Z10" s="69"/>
      <c r="AA10" s="69">
        <v>105.07</v>
      </c>
      <c r="AB10" s="69">
        <v>190.08</v>
      </c>
      <c r="AC10" s="185">
        <f t="shared" si="0"/>
        <v>2201.73</v>
      </c>
      <c r="AD10" s="185">
        <f t="shared" si="1"/>
        <v>2306.8</v>
      </c>
      <c r="AE10" s="211">
        <f t="shared" si="2"/>
        <v>337.680924000001</v>
      </c>
      <c r="AF10" s="14"/>
    </row>
    <row r="11" s="8" customFormat="1" ht="35" customHeight="1" spans="1:32">
      <c r="A11" s="64">
        <v>8</v>
      </c>
      <c r="B11" s="50" t="s">
        <v>51</v>
      </c>
      <c r="C11" s="65" t="s">
        <v>52</v>
      </c>
      <c r="D11" s="50">
        <v>236.29027</v>
      </c>
      <c r="E11" s="69">
        <v>308.51</v>
      </c>
      <c r="F11" s="69">
        <v>309</v>
      </c>
      <c r="G11" s="69">
        <v>274.19</v>
      </c>
      <c r="H11" s="69">
        <v>274</v>
      </c>
      <c r="I11" s="69">
        <v>333.55</v>
      </c>
      <c r="J11" s="69">
        <v>500</v>
      </c>
      <c r="K11" s="69">
        <v>230.99</v>
      </c>
      <c r="L11" s="69">
        <v>500</v>
      </c>
      <c r="M11" s="69">
        <v>187.51</v>
      </c>
      <c r="N11" s="69"/>
      <c r="O11" s="69">
        <v>157.53</v>
      </c>
      <c r="P11" s="69">
        <v>66.48</v>
      </c>
      <c r="Q11" s="69">
        <v>176.59</v>
      </c>
      <c r="R11" s="69">
        <v>800</v>
      </c>
      <c r="S11" s="69">
        <v>212.49</v>
      </c>
      <c r="T11" s="69"/>
      <c r="U11" s="69">
        <v>169.96</v>
      </c>
      <c r="V11" s="69"/>
      <c r="W11" s="69">
        <v>105.72</v>
      </c>
      <c r="X11" s="69"/>
      <c r="Y11" s="69">
        <v>97.81</v>
      </c>
      <c r="Z11" s="69"/>
      <c r="AA11" s="69">
        <v>116.72</v>
      </c>
      <c r="AB11" s="69">
        <v>0</v>
      </c>
      <c r="AC11" s="185">
        <f t="shared" si="0"/>
        <v>2371.57</v>
      </c>
      <c r="AD11" s="185">
        <f t="shared" si="1"/>
        <v>2449.48</v>
      </c>
      <c r="AE11" s="211">
        <f t="shared" si="2"/>
        <v>314.200270000001</v>
      </c>
      <c r="AF11" s="14"/>
    </row>
    <row r="12" s="8" customFormat="1" ht="35" customHeight="1" spans="1:32">
      <c r="A12" s="64">
        <v>9</v>
      </c>
      <c r="B12" s="50" t="s">
        <v>53</v>
      </c>
      <c r="C12" s="65" t="s">
        <v>54</v>
      </c>
      <c r="D12" s="50">
        <v>-159.282786000001</v>
      </c>
      <c r="E12" s="69">
        <v>236.15</v>
      </c>
      <c r="F12" s="69"/>
      <c r="G12" s="69">
        <v>289.23</v>
      </c>
      <c r="H12" s="69">
        <v>1000</v>
      </c>
      <c r="I12" s="69">
        <v>315.7</v>
      </c>
      <c r="J12" s="69">
        <v>0</v>
      </c>
      <c r="K12" s="69">
        <v>175.76</v>
      </c>
      <c r="L12" s="69"/>
      <c r="M12" s="69">
        <v>152.52</v>
      </c>
      <c r="N12" s="69"/>
      <c r="O12" s="69">
        <v>151.87</v>
      </c>
      <c r="P12" s="69">
        <v>366.48</v>
      </c>
      <c r="Q12" s="69">
        <v>235.39</v>
      </c>
      <c r="R12" s="69"/>
      <c r="S12" s="69">
        <v>273.62</v>
      </c>
      <c r="T12" s="69">
        <v>500</v>
      </c>
      <c r="U12" s="69">
        <v>309.59</v>
      </c>
      <c r="V12" s="69"/>
      <c r="W12" s="69">
        <v>146.23</v>
      </c>
      <c r="X12" s="69"/>
      <c r="Y12" s="69">
        <v>148.96</v>
      </c>
      <c r="Z12" s="69">
        <f>500+500</f>
        <v>1000</v>
      </c>
      <c r="AA12" s="69">
        <v>162.78</v>
      </c>
      <c r="AB12" s="69">
        <v>0</v>
      </c>
      <c r="AC12" s="185">
        <f t="shared" si="0"/>
        <v>2597.8</v>
      </c>
      <c r="AD12" s="185">
        <f t="shared" si="1"/>
        <v>2866.48</v>
      </c>
      <c r="AE12" s="211">
        <f t="shared" si="2"/>
        <v>109.397213999999</v>
      </c>
      <c r="AF12" s="14"/>
    </row>
    <row r="13" s="8" customFormat="1" ht="35" customHeight="1" spans="1:32">
      <c r="A13" s="64">
        <v>10</v>
      </c>
      <c r="B13" s="50" t="s">
        <v>55</v>
      </c>
      <c r="C13" s="65" t="s">
        <v>56</v>
      </c>
      <c r="D13" s="50">
        <v>114.90017</v>
      </c>
      <c r="E13" s="69">
        <v>10.72</v>
      </c>
      <c r="F13" s="69"/>
      <c r="G13" s="69">
        <v>41.85</v>
      </c>
      <c r="H13" s="69">
        <v>450.21</v>
      </c>
      <c r="I13" s="69">
        <v>23.38</v>
      </c>
      <c r="J13" s="69">
        <v>0</v>
      </c>
      <c r="K13" s="69">
        <v>10.63</v>
      </c>
      <c r="L13" s="69"/>
      <c r="M13" s="69">
        <v>10.39</v>
      </c>
      <c r="N13" s="69"/>
      <c r="O13" s="69">
        <v>11.5</v>
      </c>
      <c r="P13" s="69"/>
      <c r="Q13" s="69">
        <v>12.21</v>
      </c>
      <c r="R13" s="69"/>
      <c r="S13" s="69">
        <v>11.39</v>
      </c>
      <c r="T13" s="69"/>
      <c r="U13" s="69">
        <v>22.82</v>
      </c>
      <c r="V13" s="69"/>
      <c r="W13" s="69">
        <v>11.37</v>
      </c>
      <c r="X13" s="69"/>
      <c r="Y13" s="69">
        <v>15.11</v>
      </c>
      <c r="Z13" s="69"/>
      <c r="AA13" s="69">
        <v>10.72</v>
      </c>
      <c r="AB13" s="69">
        <v>0</v>
      </c>
      <c r="AC13" s="185">
        <f t="shared" si="0"/>
        <v>192.09</v>
      </c>
      <c r="AD13" s="185">
        <f t="shared" si="1"/>
        <v>450.21</v>
      </c>
      <c r="AE13" s="211">
        <f t="shared" si="2"/>
        <v>373.02017</v>
      </c>
      <c r="AF13" s="14"/>
    </row>
    <row r="14" s="8" customFormat="1" ht="35" customHeight="1" spans="1:32">
      <c r="A14" s="64">
        <v>11</v>
      </c>
      <c r="B14" s="50" t="s">
        <v>57</v>
      </c>
      <c r="C14" s="65" t="s">
        <v>58</v>
      </c>
      <c r="D14" s="50">
        <v>121.12</v>
      </c>
      <c r="E14" s="69">
        <v>11.27</v>
      </c>
      <c r="F14" s="69">
        <v>350.21</v>
      </c>
      <c r="G14" s="69">
        <v>12.88</v>
      </c>
      <c r="H14" s="69">
        <v>0</v>
      </c>
      <c r="I14" s="69">
        <v>11.66</v>
      </c>
      <c r="J14" s="69">
        <v>0</v>
      </c>
      <c r="K14" s="69">
        <v>15.66</v>
      </c>
      <c r="L14" s="69"/>
      <c r="M14" s="69">
        <v>68.33</v>
      </c>
      <c r="N14" s="69"/>
      <c r="O14" s="69">
        <v>117.05</v>
      </c>
      <c r="P14" s="69"/>
      <c r="Q14" s="69">
        <v>177.86</v>
      </c>
      <c r="R14" s="69">
        <v>366.48</v>
      </c>
      <c r="S14" s="69">
        <v>232.48</v>
      </c>
      <c r="T14" s="69">
        <v>500</v>
      </c>
      <c r="U14" s="69">
        <v>190.37</v>
      </c>
      <c r="V14" s="69"/>
      <c r="W14" s="69">
        <v>108.8</v>
      </c>
      <c r="X14" s="69"/>
      <c r="Y14" s="69">
        <v>89.11</v>
      </c>
      <c r="Z14" s="69"/>
      <c r="AA14" s="69">
        <v>118.94</v>
      </c>
      <c r="AB14" s="69">
        <v>0</v>
      </c>
      <c r="AC14" s="185">
        <f t="shared" si="0"/>
        <v>1154.41</v>
      </c>
      <c r="AD14" s="185">
        <f t="shared" si="1"/>
        <v>1216.69</v>
      </c>
      <c r="AE14" s="211">
        <f t="shared" si="2"/>
        <v>183.4</v>
      </c>
      <c r="AF14" s="14"/>
    </row>
    <row r="15" s="8" customFormat="1" ht="35" customHeight="1" spans="1:32">
      <c r="A15" s="64">
        <v>12</v>
      </c>
      <c r="B15" s="50" t="s">
        <v>59</v>
      </c>
      <c r="C15" s="65" t="s">
        <v>60</v>
      </c>
      <c r="D15" s="50">
        <v>102.404839000002</v>
      </c>
      <c r="E15" s="69">
        <v>396.45</v>
      </c>
      <c r="F15" s="69">
        <v>400</v>
      </c>
      <c r="G15" s="69">
        <v>349.41</v>
      </c>
      <c r="H15" s="69">
        <v>400</v>
      </c>
      <c r="I15" s="69">
        <v>416.11</v>
      </c>
      <c r="J15" s="69">
        <v>400</v>
      </c>
      <c r="K15" s="69">
        <v>252.19</v>
      </c>
      <c r="L15" s="69">
        <v>300</v>
      </c>
      <c r="M15" s="69">
        <v>234.52</v>
      </c>
      <c r="N15" s="69">
        <v>300</v>
      </c>
      <c r="O15" s="69">
        <v>233.49</v>
      </c>
      <c r="P15" s="69">
        <v>166.48</v>
      </c>
      <c r="Q15" s="69">
        <v>375.75</v>
      </c>
      <c r="R15" s="69">
        <v>400</v>
      </c>
      <c r="S15" s="69">
        <v>448.44</v>
      </c>
      <c r="T15" s="69"/>
      <c r="U15" s="69">
        <v>528.16</v>
      </c>
      <c r="V15" s="69">
        <f>500+500</f>
        <v>1000</v>
      </c>
      <c r="W15" s="69">
        <v>281.6</v>
      </c>
      <c r="X15" s="69">
        <v>300</v>
      </c>
      <c r="Y15" s="69">
        <v>238.19</v>
      </c>
      <c r="Z15" s="69">
        <v>300</v>
      </c>
      <c r="AA15" s="69">
        <v>261.02</v>
      </c>
      <c r="AB15" s="69">
        <v>100</v>
      </c>
      <c r="AC15" s="185">
        <f t="shared" si="0"/>
        <v>4015.33</v>
      </c>
      <c r="AD15" s="185">
        <f t="shared" si="1"/>
        <v>4066.48</v>
      </c>
      <c r="AE15" s="211">
        <f t="shared" si="2"/>
        <v>153.554839000002</v>
      </c>
      <c r="AF15" s="14"/>
    </row>
    <row r="16" s="8" customFormat="1" ht="35" customHeight="1" spans="1:32">
      <c r="A16" s="64">
        <v>13</v>
      </c>
      <c r="B16" s="50" t="s">
        <v>61</v>
      </c>
      <c r="C16" s="65" t="s">
        <v>62</v>
      </c>
      <c r="D16" s="50">
        <v>176.612869999999</v>
      </c>
      <c r="E16" s="69">
        <v>208.31</v>
      </c>
      <c r="F16" s="69">
        <v>208.31</v>
      </c>
      <c r="G16" s="69">
        <v>335.48</v>
      </c>
      <c r="H16" s="69">
        <v>0</v>
      </c>
      <c r="I16" s="69">
        <v>304.54</v>
      </c>
      <c r="J16" s="69">
        <v>335.48</v>
      </c>
      <c r="K16" s="69">
        <v>175.76</v>
      </c>
      <c r="L16" s="69">
        <v>480.3</v>
      </c>
      <c r="M16" s="69">
        <v>156.35</v>
      </c>
      <c r="N16" s="69">
        <v>175.76</v>
      </c>
      <c r="O16" s="69">
        <v>182.89</v>
      </c>
      <c r="P16" s="69">
        <v>163.48</v>
      </c>
      <c r="Q16" s="69">
        <v>175.96</v>
      </c>
      <c r="R16" s="69">
        <v>175.96</v>
      </c>
      <c r="S16" s="69">
        <v>246.77</v>
      </c>
      <c r="T16" s="69"/>
      <c r="U16" s="69">
        <v>239.78</v>
      </c>
      <c r="V16" s="69">
        <v>486.55</v>
      </c>
      <c r="W16" s="69">
        <v>135.97</v>
      </c>
      <c r="X16" s="69">
        <v>135.97</v>
      </c>
      <c r="Y16" s="69">
        <v>154.94</v>
      </c>
      <c r="Z16" s="69">
        <v>154.94</v>
      </c>
      <c r="AA16" s="69">
        <v>157.79</v>
      </c>
      <c r="AB16" s="69">
        <v>157.79</v>
      </c>
      <c r="AC16" s="185">
        <f t="shared" si="0"/>
        <v>2474.54</v>
      </c>
      <c r="AD16" s="185">
        <f t="shared" si="1"/>
        <v>2474.54</v>
      </c>
      <c r="AE16" s="211">
        <f t="shared" si="2"/>
        <v>176.612869999999</v>
      </c>
      <c r="AF16" s="14"/>
    </row>
    <row r="17" s="8" customFormat="1" ht="35" customHeight="1" spans="1:32">
      <c r="A17" s="64">
        <v>14</v>
      </c>
      <c r="B17" s="50" t="s">
        <v>63</v>
      </c>
      <c r="C17" s="65" t="s">
        <v>64</v>
      </c>
      <c r="D17" s="50">
        <v>300</v>
      </c>
      <c r="E17" s="69"/>
      <c r="F17" s="69"/>
      <c r="G17" s="69"/>
      <c r="H17" s="69">
        <v>0</v>
      </c>
      <c r="I17" s="69"/>
      <c r="J17" s="69">
        <v>0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>
        <v>0</v>
      </c>
      <c r="AC17" s="185">
        <f t="shared" si="0"/>
        <v>0</v>
      </c>
      <c r="AD17" s="185">
        <f t="shared" si="1"/>
        <v>0</v>
      </c>
      <c r="AE17" s="211">
        <f t="shared" si="2"/>
        <v>300</v>
      </c>
      <c r="AF17" s="14"/>
    </row>
    <row r="18" s="8" customFormat="1" ht="35" customHeight="1" spans="1:32">
      <c r="A18" s="64">
        <v>15</v>
      </c>
      <c r="B18" s="50" t="s">
        <v>65</v>
      </c>
      <c r="C18" s="65" t="s">
        <v>66</v>
      </c>
      <c r="D18" s="50">
        <v>300</v>
      </c>
      <c r="E18" s="69"/>
      <c r="F18" s="69"/>
      <c r="G18" s="69"/>
      <c r="H18" s="69">
        <v>0</v>
      </c>
      <c r="I18" s="69"/>
      <c r="J18" s="69">
        <v>0</v>
      </c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>
        <v>0</v>
      </c>
      <c r="AC18" s="185">
        <f t="shared" si="0"/>
        <v>0</v>
      </c>
      <c r="AD18" s="185">
        <f t="shared" si="1"/>
        <v>0</v>
      </c>
      <c r="AE18" s="211">
        <f t="shared" si="2"/>
        <v>300</v>
      </c>
      <c r="AF18" s="14"/>
    </row>
    <row r="19" s="8" customFormat="1" ht="35" customHeight="1" spans="1:32">
      <c r="A19" s="64">
        <v>16</v>
      </c>
      <c r="B19" s="50" t="s">
        <v>67</v>
      </c>
      <c r="C19" s="65" t="s">
        <v>68</v>
      </c>
      <c r="D19" s="50">
        <v>231.53637</v>
      </c>
      <c r="E19" s="69">
        <v>216.66</v>
      </c>
      <c r="F19" s="69">
        <v>216.66</v>
      </c>
      <c r="G19" s="69">
        <v>362.22</v>
      </c>
      <c r="H19" s="69">
        <v>0</v>
      </c>
      <c r="I19" s="69">
        <v>287.25</v>
      </c>
      <c r="J19" s="69">
        <v>362.22</v>
      </c>
      <c r="K19" s="69">
        <v>105.47</v>
      </c>
      <c r="L19" s="69">
        <v>392.72</v>
      </c>
      <c r="M19" s="69">
        <v>153.07</v>
      </c>
      <c r="N19" s="69"/>
      <c r="O19" s="69">
        <v>123.58</v>
      </c>
      <c r="P19" s="69">
        <v>276.65</v>
      </c>
      <c r="Q19" s="69">
        <v>136.13</v>
      </c>
      <c r="R19" s="69">
        <v>136.13</v>
      </c>
      <c r="S19" s="69">
        <v>236.48</v>
      </c>
      <c r="T19" s="69"/>
      <c r="U19" s="69">
        <v>197.35</v>
      </c>
      <c r="V19" s="69">
        <v>433.83</v>
      </c>
      <c r="W19" s="69">
        <v>131.36</v>
      </c>
      <c r="X19" s="69">
        <v>131.36</v>
      </c>
      <c r="Y19" s="69">
        <v>152.22</v>
      </c>
      <c r="Z19" s="69">
        <v>152.22</v>
      </c>
      <c r="AA19" s="69">
        <v>85.09</v>
      </c>
      <c r="AB19" s="69">
        <v>85.09</v>
      </c>
      <c r="AC19" s="185">
        <f t="shared" si="0"/>
        <v>2186.88</v>
      </c>
      <c r="AD19" s="185">
        <f t="shared" si="1"/>
        <v>2186.88</v>
      </c>
      <c r="AE19" s="211">
        <f t="shared" si="2"/>
        <v>231.53637</v>
      </c>
      <c r="AF19" s="14"/>
    </row>
    <row r="20" s="8" customFormat="1" ht="35" customHeight="1" spans="1:32">
      <c r="A20" s="64">
        <v>17</v>
      </c>
      <c r="B20" s="50" t="s">
        <v>69</v>
      </c>
      <c r="C20" s="65" t="s">
        <v>70</v>
      </c>
      <c r="D20" s="50">
        <v>-341.303325999999</v>
      </c>
      <c r="E20" s="69">
        <v>1091.1</v>
      </c>
      <c r="F20" s="69">
        <v>1600</v>
      </c>
      <c r="G20" s="69">
        <v>1353.41</v>
      </c>
      <c r="H20" s="69">
        <v>0</v>
      </c>
      <c r="I20" s="69">
        <v>1375.64</v>
      </c>
      <c r="J20" s="69">
        <v>1400</v>
      </c>
      <c r="K20" s="69">
        <v>702.95</v>
      </c>
      <c r="L20" s="69"/>
      <c r="M20" s="69">
        <v>276.61</v>
      </c>
      <c r="N20" s="69">
        <v>2500</v>
      </c>
      <c r="O20" s="69">
        <v>264.5</v>
      </c>
      <c r="P20" s="69"/>
      <c r="Q20" s="69">
        <v>437.71</v>
      </c>
      <c r="R20" s="69">
        <v>316.48</v>
      </c>
      <c r="S20" s="69">
        <v>644.97</v>
      </c>
      <c r="T20" s="69"/>
      <c r="U20" s="69">
        <v>616.77</v>
      </c>
      <c r="V20" s="69">
        <v>1000</v>
      </c>
      <c r="W20" s="69">
        <v>293.39</v>
      </c>
      <c r="X20" s="69"/>
      <c r="Y20" s="69">
        <v>240.37</v>
      </c>
      <c r="Z20" s="69">
        <v>1000</v>
      </c>
      <c r="AA20" s="69">
        <v>263.79</v>
      </c>
      <c r="AB20" s="69">
        <v>300</v>
      </c>
      <c r="AC20" s="185">
        <f t="shared" si="0"/>
        <v>7561.21</v>
      </c>
      <c r="AD20" s="185">
        <f t="shared" si="1"/>
        <v>8116.48</v>
      </c>
      <c r="AE20" s="211">
        <f t="shared" si="2"/>
        <v>213.966674</v>
      </c>
      <c r="AF20" s="14"/>
    </row>
    <row r="21" s="8" customFormat="1" ht="35" customHeight="1" spans="1:32">
      <c r="A21" s="64">
        <v>18</v>
      </c>
      <c r="B21" s="50" t="s">
        <v>71</v>
      </c>
      <c r="C21" s="65" t="s">
        <v>72</v>
      </c>
      <c r="D21" s="50">
        <v>448.932589</v>
      </c>
      <c r="E21" s="69">
        <v>39.1</v>
      </c>
      <c r="F21" s="69"/>
      <c r="G21" s="69">
        <v>78.07</v>
      </c>
      <c r="H21" s="69">
        <v>100</v>
      </c>
      <c r="I21" s="69">
        <v>55.73</v>
      </c>
      <c r="J21" s="69">
        <v>0</v>
      </c>
      <c r="K21" s="69">
        <v>19</v>
      </c>
      <c r="L21" s="69">
        <v>44.49</v>
      </c>
      <c r="M21" s="69">
        <v>12.03</v>
      </c>
      <c r="N21" s="69"/>
      <c r="O21" s="69">
        <v>21.29</v>
      </c>
      <c r="P21" s="69">
        <v>33.3200000000001</v>
      </c>
      <c r="Q21" s="69">
        <v>12.21</v>
      </c>
      <c r="R21" s="69">
        <v>12.21</v>
      </c>
      <c r="S21" s="69">
        <v>13.67</v>
      </c>
      <c r="T21" s="69"/>
      <c r="U21" s="69">
        <v>15.84</v>
      </c>
      <c r="V21" s="69">
        <v>29.51</v>
      </c>
      <c r="W21" s="69">
        <v>19.06</v>
      </c>
      <c r="X21" s="69">
        <v>19.06</v>
      </c>
      <c r="Y21" s="69">
        <v>18.37</v>
      </c>
      <c r="Z21" s="69">
        <v>18.37</v>
      </c>
      <c r="AA21" s="69">
        <v>10.72</v>
      </c>
      <c r="AB21" s="69">
        <v>10.72</v>
      </c>
      <c r="AC21" s="185">
        <f t="shared" si="0"/>
        <v>315.09</v>
      </c>
      <c r="AD21" s="185">
        <f t="shared" si="1"/>
        <v>267.68</v>
      </c>
      <c r="AE21" s="211">
        <f t="shared" si="2"/>
        <v>401.522589</v>
      </c>
      <c r="AF21" s="14"/>
    </row>
    <row r="22" s="8" customFormat="1" ht="35" customHeight="1" spans="1:32">
      <c r="A22" s="64">
        <v>19</v>
      </c>
      <c r="B22" s="50" t="s">
        <v>73</v>
      </c>
      <c r="C22" s="65" t="s">
        <v>74</v>
      </c>
      <c r="D22" s="50">
        <v>-167.88443</v>
      </c>
      <c r="E22" s="69">
        <v>226.13</v>
      </c>
      <c r="F22" s="69">
        <v>850.21</v>
      </c>
      <c r="G22" s="69">
        <v>326.56</v>
      </c>
      <c r="H22" s="69">
        <v>0</v>
      </c>
      <c r="I22" s="69">
        <v>325.74</v>
      </c>
      <c r="J22" s="69">
        <v>0</v>
      </c>
      <c r="K22" s="69">
        <v>190.27</v>
      </c>
      <c r="L22" s="69">
        <v>1000</v>
      </c>
      <c r="M22" s="69">
        <v>157.44</v>
      </c>
      <c r="N22" s="69"/>
      <c r="O22" s="69">
        <v>170.37</v>
      </c>
      <c r="P22" s="69"/>
      <c r="Q22" s="69">
        <v>239.82</v>
      </c>
      <c r="R22" s="69"/>
      <c r="S22" s="69">
        <v>289.61</v>
      </c>
      <c r="T22" s="69">
        <v>866.48</v>
      </c>
      <c r="U22" s="69">
        <v>329.46</v>
      </c>
      <c r="V22" s="69"/>
      <c r="W22" s="69">
        <v>185.71</v>
      </c>
      <c r="X22" s="69"/>
      <c r="Y22" s="69">
        <v>149.5</v>
      </c>
      <c r="Z22" s="69">
        <v>1000</v>
      </c>
      <c r="AA22" s="69">
        <v>176.66</v>
      </c>
      <c r="AB22" s="69">
        <v>0</v>
      </c>
      <c r="AC22" s="185">
        <f t="shared" si="0"/>
        <v>2767.27</v>
      </c>
      <c r="AD22" s="185">
        <f t="shared" si="1"/>
        <v>3716.69</v>
      </c>
      <c r="AE22" s="211">
        <f t="shared" si="2"/>
        <v>781.53557</v>
      </c>
      <c r="AF22" s="14"/>
    </row>
    <row r="23" s="8" customFormat="1" ht="35" customHeight="1" spans="1:32">
      <c r="A23" s="64">
        <v>20</v>
      </c>
      <c r="B23" s="50" t="s">
        <v>75</v>
      </c>
      <c r="C23" s="65" t="s">
        <v>76</v>
      </c>
      <c r="D23" s="50">
        <v>20.9469699999991</v>
      </c>
      <c r="E23" s="69">
        <v>127.61</v>
      </c>
      <c r="F23" s="69">
        <v>350.21</v>
      </c>
      <c r="G23" s="69">
        <v>155.51</v>
      </c>
      <c r="H23" s="69">
        <v>300</v>
      </c>
      <c r="I23" s="69">
        <v>131.04</v>
      </c>
      <c r="J23" s="69">
        <v>0</v>
      </c>
      <c r="K23" s="69">
        <v>122.77</v>
      </c>
      <c r="L23" s="69"/>
      <c r="M23" s="69">
        <v>104.41</v>
      </c>
      <c r="N23" s="69">
        <v>300</v>
      </c>
      <c r="O23" s="69">
        <v>115.96</v>
      </c>
      <c r="P23" s="69"/>
      <c r="Q23" s="69">
        <v>267</v>
      </c>
      <c r="R23" s="69">
        <v>166.48</v>
      </c>
      <c r="S23" s="69">
        <v>312.47</v>
      </c>
      <c r="T23" s="69">
        <v>300</v>
      </c>
      <c r="U23" s="69">
        <v>291.87</v>
      </c>
      <c r="V23" s="69"/>
      <c r="W23" s="69">
        <v>157</v>
      </c>
      <c r="X23" s="69">
        <v>500</v>
      </c>
      <c r="Y23" s="69">
        <v>289.34</v>
      </c>
      <c r="Z23" s="69">
        <v>500</v>
      </c>
      <c r="AA23" s="69">
        <v>10.72</v>
      </c>
      <c r="AB23" s="69">
        <v>0</v>
      </c>
      <c r="AC23" s="185">
        <f t="shared" si="0"/>
        <v>2085.7</v>
      </c>
      <c r="AD23" s="185">
        <f t="shared" si="1"/>
        <v>2416.69</v>
      </c>
      <c r="AE23" s="211">
        <f t="shared" si="2"/>
        <v>351.936969999999</v>
      </c>
      <c r="AF23" s="14"/>
    </row>
    <row r="24" s="8" customFormat="1" ht="35" customHeight="1" spans="1:32">
      <c r="A24" s="64">
        <v>21</v>
      </c>
      <c r="B24" s="50" t="s">
        <v>77</v>
      </c>
      <c r="C24" s="65" t="s">
        <v>78</v>
      </c>
      <c r="D24" s="50">
        <v>170.18067</v>
      </c>
      <c r="E24" s="69">
        <v>10.72</v>
      </c>
      <c r="F24" s="69"/>
      <c r="G24" s="69">
        <v>10.65</v>
      </c>
      <c r="H24" s="69">
        <v>0</v>
      </c>
      <c r="I24" s="69">
        <v>9.43</v>
      </c>
      <c r="J24" s="69">
        <v>21.37</v>
      </c>
      <c r="K24" s="69">
        <v>10.63</v>
      </c>
      <c r="L24" s="69">
        <v>20.06</v>
      </c>
      <c r="M24" s="69">
        <v>10.39</v>
      </c>
      <c r="N24" s="69"/>
      <c r="O24" s="69">
        <v>26.19</v>
      </c>
      <c r="P24" s="69">
        <v>36.58</v>
      </c>
      <c r="Q24" s="69">
        <v>11.58</v>
      </c>
      <c r="R24" s="69">
        <v>11.58</v>
      </c>
      <c r="S24" s="69">
        <v>10.82</v>
      </c>
      <c r="T24" s="69"/>
      <c r="U24" s="69">
        <v>11.54</v>
      </c>
      <c r="V24" s="69">
        <v>22.36</v>
      </c>
      <c r="W24" s="69">
        <v>11.37</v>
      </c>
      <c r="X24" s="69">
        <v>11.37</v>
      </c>
      <c r="Y24" s="69">
        <v>11.3</v>
      </c>
      <c r="Z24" s="69">
        <v>11.3</v>
      </c>
      <c r="AA24" s="69">
        <v>10.72</v>
      </c>
      <c r="AB24" s="69">
        <v>10.72</v>
      </c>
      <c r="AC24" s="185">
        <f t="shared" si="0"/>
        <v>145.34</v>
      </c>
      <c r="AD24" s="185">
        <f t="shared" si="1"/>
        <v>145.34</v>
      </c>
      <c r="AE24" s="211">
        <f t="shared" si="2"/>
        <v>170.18067</v>
      </c>
      <c r="AF24" s="14"/>
    </row>
    <row r="25" s="8" customFormat="1" ht="35" customHeight="1" spans="1:32">
      <c r="A25" s="64">
        <v>22</v>
      </c>
      <c r="B25" s="50" t="s">
        <v>79</v>
      </c>
      <c r="C25" s="65" t="s">
        <v>80</v>
      </c>
      <c r="D25" s="50">
        <v>299.560773999999</v>
      </c>
      <c r="E25" s="69">
        <v>69.16</v>
      </c>
      <c r="F25" s="69"/>
      <c r="G25" s="69">
        <v>65.26</v>
      </c>
      <c r="H25" s="69">
        <v>1000</v>
      </c>
      <c r="I25" s="69">
        <v>91.99</v>
      </c>
      <c r="J25" s="69">
        <v>0</v>
      </c>
      <c r="K25" s="69">
        <v>71.44</v>
      </c>
      <c r="L25" s="69"/>
      <c r="M25" s="69">
        <v>66.69</v>
      </c>
      <c r="N25" s="69"/>
      <c r="O25" s="69">
        <v>70.8</v>
      </c>
      <c r="P25" s="69"/>
      <c r="Q25" s="69">
        <v>82.39</v>
      </c>
      <c r="R25" s="69"/>
      <c r="S25" s="69">
        <v>306.75</v>
      </c>
      <c r="T25" s="69">
        <v>1866.48</v>
      </c>
      <c r="U25" s="69">
        <v>275.22</v>
      </c>
      <c r="V25" s="69"/>
      <c r="W25" s="69">
        <v>62.65</v>
      </c>
      <c r="X25" s="69"/>
      <c r="Y25" s="69">
        <v>61.36</v>
      </c>
      <c r="Z25" s="69"/>
      <c r="AA25" s="69">
        <v>64</v>
      </c>
      <c r="AB25" s="69">
        <v>0</v>
      </c>
      <c r="AC25" s="185">
        <f t="shared" si="0"/>
        <v>1287.71</v>
      </c>
      <c r="AD25" s="185">
        <f t="shared" si="1"/>
        <v>2866.48</v>
      </c>
      <c r="AE25" s="211">
        <f t="shared" si="2"/>
        <v>1878.330774</v>
      </c>
      <c r="AF25" s="14"/>
    </row>
    <row r="26" s="8" customFormat="1" ht="35" customHeight="1" spans="1:32">
      <c r="A26" s="64">
        <v>23</v>
      </c>
      <c r="B26" s="50" t="s">
        <v>81</v>
      </c>
      <c r="C26" s="65" t="s">
        <v>82</v>
      </c>
      <c r="D26" s="50">
        <v>374.667944</v>
      </c>
      <c r="E26" s="69">
        <v>102</v>
      </c>
      <c r="F26" s="69"/>
      <c r="G26" s="69">
        <v>125.43</v>
      </c>
      <c r="H26" s="69">
        <v>0</v>
      </c>
      <c r="I26" s="69">
        <v>144.43</v>
      </c>
      <c r="J26" s="69">
        <v>0</v>
      </c>
      <c r="K26" s="69">
        <v>110.49</v>
      </c>
      <c r="L26" s="69">
        <v>1063.5</v>
      </c>
      <c r="M26" s="69">
        <v>102.23</v>
      </c>
      <c r="N26" s="69"/>
      <c r="O26" s="69">
        <v>123.58</v>
      </c>
      <c r="P26" s="69"/>
      <c r="Q26" s="69">
        <v>160.15</v>
      </c>
      <c r="R26" s="69"/>
      <c r="S26" s="69">
        <v>162.78</v>
      </c>
      <c r="T26" s="69"/>
      <c r="U26" s="69">
        <v>174.8</v>
      </c>
      <c r="V26" s="69"/>
      <c r="W26" s="69">
        <v>125.2</v>
      </c>
      <c r="X26" s="69"/>
      <c r="Y26" s="69">
        <v>136.99</v>
      </c>
      <c r="Z26" s="69"/>
      <c r="AA26" s="69">
        <v>111.73</v>
      </c>
      <c r="AB26" s="69">
        <v>97.46</v>
      </c>
      <c r="AC26" s="185">
        <f t="shared" si="0"/>
        <v>1579.81</v>
      </c>
      <c r="AD26" s="185">
        <f t="shared" si="1"/>
        <v>1160.96</v>
      </c>
      <c r="AE26" s="211">
        <f t="shared" si="2"/>
        <v>-44.1820560000001</v>
      </c>
      <c r="AF26" s="14"/>
    </row>
    <row r="27" s="8" customFormat="1" ht="35" customHeight="1" spans="1:32">
      <c r="A27" s="64">
        <v>24</v>
      </c>
      <c r="B27" s="50" t="s">
        <v>83</v>
      </c>
      <c r="C27" s="65" t="s">
        <v>84</v>
      </c>
      <c r="D27" s="50">
        <v>-5.43494099999998</v>
      </c>
      <c r="E27" s="69">
        <v>160.45</v>
      </c>
      <c r="F27" s="69"/>
      <c r="G27" s="69">
        <v>233.52</v>
      </c>
      <c r="H27" s="69">
        <v>1000</v>
      </c>
      <c r="I27" s="69">
        <v>254.89</v>
      </c>
      <c r="J27" s="69">
        <v>0</v>
      </c>
      <c r="K27" s="69">
        <v>160.14</v>
      </c>
      <c r="L27" s="69"/>
      <c r="M27" s="69">
        <v>180.95</v>
      </c>
      <c r="N27" s="69"/>
      <c r="O27" s="69">
        <v>150.24</v>
      </c>
      <c r="P27" s="69">
        <v>866.48</v>
      </c>
      <c r="Q27" s="69">
        <v>164.58</v>
      </c>
      <c r="R27" s="69"/>
      <c r="S27" s="69">
        <v>407.87</v>
      </c>
      <c r="T27" s="69"/>
      <c r="U27" s="69">
        <v>439.55</v>
      </c>
      <c r="V27" s="69"/>
      <c r="W27" s="69">
        <v>149.3</v>
      </c>
      <c r="X27" s="69"/>
      <c r="Y27" s="69">
        <v>105.97</v>
      </c>
      <c r="Z27" s="69"/>
      <c r="AA27" s="69">
        <v>127.26</v>
      </c>
      <c r="AB27" s="69">
        <v>2000</v>
      </c>
      <c r="AC27" s="185">
        <f t="shared" si="0"/>
        <v>2534.72</v>
      </c>
      <c r="AD27" s="185">
        <f t="shared" si="1"/>
        <v>3866.48</v>
      </c>
      <c r="AE27" s="211">
        <f t="shared" si="2"/>
        <v>1326.325059</v>
      </c>
      <c r="AF27" s="14"/>
    </row>
    <row r="28" s="8" customFormat="1" ht="35" customHeight="1" spans="1:32">
      <c r="A28" s="64">
        <v>25</v>
      </c>
      <c r="B28" s="50" t="s">
        <v>85</v>
      </c>
      <c r="C28" s="65" t="s">
        <v>86</v>
      </c>
      <c r="D28" s="50">
        <v>-798.617871</v>
      </c>
      <c r="E28" s="69">
        <v>162.12</v>
      </c>
      <c r="F28" s="69"/>
      <c r="G28" s="69">
        <v>170.56</v>
      </c>
      <c r="H28" s="69">
        <v>162.12</v>
      </c>
      <c r="I28" s="69">
        <v>161.73</v>
      </c>
      <c r="J28" s="69">
        <v>170.56</v>
      </c>
      <c r="K28" s="69">
        <v>97.1</v>
      </c>
      <c r="L28" s="69">
        <v>258.83</v>
      </c>
      <c r="M28" s="69">
        <v>53.57</v>
      </c>
      <c r="N28" s="69"/>
      <c r="O28" s="69">
        <v>83.32</v>
      </c>
      <c r="P28" s="69">
        <v>136.89</v>
      </c>
      <c r="Q28" s="69">
        <v>100.09</v>
      </c>
      <c r="R28" s="69">
        <v>100.09</v>
      </c>
      <c r="S28" s="69">
        <v>123.94</v>
      </c>
      <c r="T28" s="69"/>
      <c r="U28" s="69">
        <v>100.69</v>
      </c>
      <c r="V28" s="69">
        <v>224.63</v>
      </c>
      <c r="W28" s="69">
        <v>66.24</v>
      </c>
      <c r="X28" s="69">
        <v>66.24</v>
      </c>
      <c r="Y28" s="69">
        <v>72.24</v>
      </c>
      <c r="Z28" s="69">
        <v>72.24</v>
      </c>
      <c r="AA28" s="69">
        <v>67.88</v>
      </c>
      <c r="AB28" s="69">
        <v>67.88</v>
      </c>
      <c r="AC28" s="185">
        <f t="shared" si="0"/>
        <v>1259.48</v>
      </c>
      <c r="AD28" s="185">
        <f t="shared" si="1"/>
        <v>1259.48</v>
      </c>
      <c r="AE28" s="211">
        <f t="shared" si="2"/>
        <v>-798.617871</v>
      </c>
      <c r="AF28" s="14"/>
    </row>
    <row r="29" s="8" customFormat="1" ht="35" customHeight="1" spans="1:32">
      <c r="A29" s="64">
        <v>26</v>
      </c>
      <c r="B29" s="50" t="s">
        <v>87</v>
      </c>
      <c r="C29" s="193" t="s">
        <v>327</v>
      </c>
      <c r="D29" s="50">
        <v>715.737134</v>
      </c>
      <c r="E29" s="69">
        <v>212.21</v>
      </c>
      <c r="F29" s="69"/>
      <c r="G29" s="69">
        <v>181.7</v>
      </c>
      <c r="H29" s="69">
        <v>0</v>
      </c>
      <c r="I29" s="69">
        <v>208.59</v>
      </c>
      <c r="J29" s="69">
        <v>0</v>
      </c>
      <c r="K29" s="69">
        <v>133.36</v>
      </c>
      <c r="L29" s="69">
        <v>824.67</v>
      </c>
      <c r="M29" s="69">
        <v>138.85</v>
      </c>
      <c r="N29" s="69"/>
      <c r="O29" s="69">
        <v>102.36</v>
      </c>
      <c r="P29" s="69"/>
      <c r="Q29" s="69">
        <v>208.84</v>
      </c>
      <c r="R29" s="69"/>
      <c r="S29" s="69">
        <v>366.17</v>
      </c>
      <c r="T29" s="69">
        <v>500</v>
      </c>
      <c r="U29" s="69">
        <v>430.42</v>
      </c>
      <c r="V29" s="69">
        <v>246.64</v>
      </c>
      <c r="W29" s="69">
        <v>174.94</v>
      </c>
      <c r="X29" s="69">
        <v>174.94</v>
      </c>
      <c r="Y29" s="69">
        <v>107.61</v>
      </c>
      <c r="Z29" s="69">
        <v>107.61</v>
      </c>
      <c r="AA29" s="69">
        <v>112.28</v>
      </c>
      <c r="AB29" s="69">
        <v>112.28</v>
      </c>
      <c r="AC29" s="185">
        <f t="shared" si="0"/>
        <v>2377.33</v>
      </c>
      <c r="AD29" s="185">
        <f t="shared" si="1"/>
        <v>1966.14</v>
      </c>
      <c r="AE29" s="211">
        <f t="shared" si="2"/>
        <v>304.547134</v>
      </c>
      <c r="AF29" s="14"/>
    </row>
    <row r="30" s="8" customFormat="1" ht="35" customHeight="1" spans="1:32">
      <c r="A30" s="64">
        <v>27</v>
      </c>
      <c r="B30" s="50" t="s">
        <v>89</v>
      </c>
      <c r="C30" s="193" t="s">
        <v>328</v>
      </c>
      <c r="D30" s="50">
        <v>331.841570000001</v>
      </c>
      <c r="E30" s="69">
        <v>162.12</v>
      </c>
      <c r="F30" s="69"/>
      <c r="G30" s="69">
        <v>195.07</v>
      </c>
      <c r="H30" s="69">
        <v>162.12</v>
      </c>
      <c r="I30" s="69">
        <v>256.56</v>
      </c>
      <c r="J30" s="69">
        <v>1000</v>
      </c>
      <c r="K30" s="69">
        <v>170.18</v>
      </c>
      <c r="L30" s="69"/>
      <c r="M30" s="69">
        <v>165.09</v>
      </c>
      <c r="N30" s="69"/>
      <c r="O30" s="69">
        <v>209.55</v>
      </c>
      <c r="P30" s="69"/>
      <c r="Q30" s="69">
        <v>372.59</v>
      </c>
      <c r="R30" s="69">
        <v>369.04</v>
      </c>
      <c r="S30" s="69">
        <v>635.25</v>
      </c>
      <c r="T30" s="69"/>
      <c r="U30" s="69">
        <v>871.86</v>
      </c>
      <c r="V30" s="69">
        <v>1507.11</v>
      </c>
      <c r="W30" s="69">
        <v>333.9</v>
      </c>
      <c r="X30" s="69">
        <v>333.9</v>
      </c>
      <c r="Y30" s="69">
        <v>264.31</v>
      </c>
      <c r="Z30" s="69">
        <v>264.31</v>
      </c>
      <c r="AA30" s="69">
        <v>168.33</v>
      </c>
      <c r="AB30" s="69">
        <v>168.33</v>
      </c>
      <c r="AC30" s="185">
        <f t="shared" si="0"/>
        <v>3804.81</v>
      </c>
      <c r="AD30" s="185">
        <f t="shared" si="1"/>
        <v>3804.81</v>
      </c>
      <c r="AE30" s="211">
        <f t="shared" si="2"/>
        <v>331.841570000001</v>
      </c>
      <c r="AF30" s="14"/>
    </row>
    <row r="31" s="8" customFormat="1" ht="35" customHeight="1" spans="1:32">
      <c r="A31" s="64">
        <v>28</v>
      </c>
      <c r="B31" s="50" t="s">
        <v>91</v>
      </c>
      <c r="C31" s="65" t="s">
        <v>92</v>
      </c>
      <c r="D31" s="50">
        <v>687.394609</v>
      </c>
      <c r="E31" s="69">
        <v>45.78</v>
      </c>
      <c r="F31" s="69"/>
      <c r="G31" s="69">
        <v>133.23</v>
      </c>
      <c r="H31" s="69">
        <v>0</v>
      </c>
      <c r="I31" s="69">
        <v>149.45</v>
      </c>
      <c r="J31" s="69">
        <v>0</v>
      </c>
      <c r="K31" s="69">
        <v>77.02</v>
      </c>
      <c r="L31" s="69"/>
      <c r="M31" s="69">
        <v>81.45</v>
      </c>
      <c r="N31" s="69"/>
      <c r="O31" s="69">
        <v>56.11</v>
      </c>
      <c r="P31" s="69">
        <v>866.48</v>
      </c>
      <c r="Q31" s="69">
        <v>77.33</v>
      </c>
      <c r="R31" s="69"/>
      <c r="S31" s="69">
        <v>154.21</v>
      </c>
      <c r="T31" s="69"/>
      <c r="U31" s="69">
        <v>229.57</v>
      </c>
      <c r="V31" s="69"/>
      <c r="W31" s="69">
        <v>176.99</v>
      </c>
      <c r="X31" s="69"/>
      <c r="Y31" s="69">
        <v>100.53</v>
      </c>
      <c r="Z31" s="69"/>
      <c r="AA31" s="69">
        <v>87.31</v>
      </c>
      <c r="AB31" s="69">
        <v>0</v>
      </c>
      <c r="AC31" s="185">
        <f t="shared" si="0"/>
        <v>1368.98</v>
      </c>
      <c r="AD31" s="185">
        <f t="shared" si="1"/>
        <v>866.48</v>
      </c>
      <c r="AE31" s="211">
        <f t="shared" si="2"/>
        <v>184.894609</v>
      </c>
      <c r="AF31" s="14"/>
    </row>
    <row r="32" s="8" customFormat="1" ht="35" customHeight="1" spans="1:32">
      <c r="A32" s="64">
        <v>29</v>
      </c>
      <c r="B32" s="50" t="s">
        <v>93</v>
      </c>
      <c r="C32" s="193" t="s">
        <v>329</v>
      </c>
      <c r="D32" s="50">
        <v>-88.4511299999999</v>
      </c>
      <c r="E32" s="69">
        <v>80.29</v>
      </c>
      <c r="F32" s="69"/>
      <c r="G32" s="69">
        <v>79.74</v>
      </c>
      <c r="H32" s="69">
        <v>1000</v>
      </c>
      <c r="I32" s="69">
        <v>290.59</v>
      </c>
      <c r="J32" s="69">
        <v>0</v>
      </c>
      <c r="K32" s="69">
        <v>306.86</v>
      </c>
      <c r="L32" s="69"/>
      <c r="M32" s="69">
        <v>228.51</v>
      </c>
      <c r="N32" s="69"/>
      <c r="O32" s="69">
        <v>291.16</v>
      </c>
      <c r="P32" s="69">
        <v>277.15</v>
      </c>
      <c r="Q32" s="69">
        <v>297.35</v>
      </c>
      <c r="R32" s="69">
        <v>297.35</v>
      </c>
      <c r="S32" s="69">
        <v>380.45</v>
      </c>
      <c r="T32" s="69"/>
      <c r="U32" s="69">
        <v>365.44</v>
      </c>
      <c r="V32" s="69">
        <v>745.89</v>
      </c>
      <c r="W32" s="69">
        <v>172.38</v>
      </c>
      <c r="X32" s="69">
        <v>472.38</v>
      </c>
      <c r="Y32" s="69">
        <v>202.82</v>
      </c>
      <c r="Z32" s="69"/>
      <c r="AA32" s="69">
        <v>198.86</v>
      </c>
      <c r="AB32" s="69">
        <v>300</v>
      </c>
      <c r="AC32" s="185">
        <f t="shared" si="0"/>
        <v>2894.45</v>
      </c>
      <c r="AD32" s="185">
        <f t="shared" si="1"/>
        <v>3092.77</v>
      </c>
      <c r="AE32" s="211">
        <f t="shared" si="2"/>
        <v>109.86887</v>
      </c>
      <c r="AF32" s="14"/>
    </row>
    <row r="33" s="8" customFormat="1" ht="35" customHeight="1" spans="1:32">
      <c r="A33" s="64">
        <v>30</v>
      </c>
      <c r="B33" s="50" t="s">
        <v>95</v>
      </c>
      <c r="C33" s="65" t="s">
        <v>96</v>
      </c>
      <c r="D33" s="50">
        <v>157.232609</v>
      </c>
      <c r="E33" s="69">
        <v>10.72</v>
      </c>
      <c r="F33" s="69"/>
      <c r="G33" s="69">
        <v>10.65</v>
      </c>
      <c r="H33" s="69">
        <v>0</v>
      </c>
      <c r="I33" s="69">
        <v>9.43</v>
      </c>
      <c r="J33" s="69">
        <v>197.21</v>
      </c>
      <c r="K33" s="69">
        <v>10.63</v>
      </c>
      <c r="L33" s="69"/>
      <c r="M33" s="69">
        <v>25.7</v>
      </c>
      <c r="N33" s="69"/>
      <c r="O33" s="69">
        <v>10.95</v>
      </c>
      <c r="P33" s="69"/>
      <c r="Q33" s="69">
        <v>11.58</v>
      </c>
      <c r="R33" s="69">
        <v>66.48</v>
      </c>
      <c r="S33" s="69">
        <v>10.82</v>
      </c>
      <c r="T33" s="69"/>
      <c r="U33" s="69">
        <v>29.8</v>
      </c>
      <c r="V33" s="69"/>
      <c r="W33" s="69">
        <v>11.37</v>
      </c>
      <c r="X33" s="69"/>
      <c r="Y33" s="69">
        <v>11.3</v>
      </c>
      <c r="Z33" s="69"/>
      <c r="AA33" s="69">
        <v>10.72</v>
      </c>
      <c r="AB33" s="69">
        <v>0</v>
      </c>
      <c r="AC33" s="185">
        <f t="shared" si="0"/>
        <v>163.67</v>
      </c>
      <c r="AD33" s="185">
        <f t="shared" si="1"/>
        <v>263.69</v>
      </c>
      <c r="AE33" s="211">
        <f t="shared" si="2"/>
        <v>257.252609</v>
      </c>
      <c r="AF33" s="14"/>
    </row>
    <row r="34" s="8" customFormat="1" ht="35" customHeight="1" spans="1:32">
      <c r="A34" s="64">
        <v>31</v>
      </c>
      <c r="B34" s="50" t="s">
        <v>97</v>
      </c>
      <c r="C34" s="65" t="s">
        <v>98</v>
      </c>
      <c r="D34" s="50">
        <v>0.69040899999959</v>
      </c>
      <c r="E34" s="69">
        <v>138.74</v>
      </c>
      <c r="F34" s="69">
        <f>200.24+101</f>
        <v>301.24</v>
      </c>
      <c r="G34" s="69">
        <v>176.69</v>
      </c>
      <c r="H34" s="69">
        <v>451</v>
      </c>
      <c r="I34" s="69">
        <v>148.9</v>
      </c>
      <c r="J34" s="69">
        <v>0</v>
      </c>
      <c r="K34" s="69">
        <v>161.82</v>
      </c>
      <c r="L34" s="69"/>
      <c r="M34" s="69">
        <v>109.88</v>
      </c>
      <c r="N34" s="69">
        <v>175</v>
      </c>
      <c r="O34" s="69">
        <v>141.54</v>
      </c>
      <c r="P34" s="69">
        <v>0</v>
      </c>
      <c r="Q34" s="69">
        <v>262.58</v>
      </c>
      <c r="R34" s="69">
        <v>275</v>
      </c>
      <c r="S34" s="69">
        <v>253.62</v>
      </c>
      <c r="T34" s="69"/>
      <c r="U34" s="69">
        <v>180.7</v>
      </c>
      <c r="V34" s="69">
        <v>263</v>
      </c>
      <c r="W34" s="69">
        <v>106.75</v>
      </c>
      <c r="X34" s="69"/>
      <c r="Y34" s="69">
        <v>125.56</v>
      </c>
      <c r="Z34" s="69">
        <v>700</v>
      </c>
      <c r="AA34" s="69">
        <v>123.38</v>
      </c>
      <c r="AB34" s="69">
        <v>0</v>
      </c>
      <c r="AC34" s="185">
        <f t="shared" si="0"/>
        <v>1930.16</v>
      </c>
      <c r="AD34" s="185">
        <f t="shared" si="1"/>
        <v>2165.24</v>
      </c>
      <c r="AE34" s="211">
        <f t="shared" si="2"/>
        <v>235.770409</v>
      </c>
      <c r="AF34" s="14"/>
    </row>
    <row r="35" s="8" customFormat="1" ht="35" customHeight="1" spans="1:32">
      <c r="A35" s="64">
        <v>32</v>
      </c>
      <c r="B35" s="50" t="s">
        <v>99</v>
      </c>
      <c r="C35" s="65" t="s">
        <v>100</v>
      </c>
      <c r="D35" s="50">
        <v>-99.9167810000001</v>
      </c>
      <c r="E35" s="69">
        <v>148.76</v>
      </c>
      <c r="F35" s="69"/>
      <c r="G35" s="69">
        <v>129.33</v>
      </c>
      <c r="H35" s="69">
        <v>353.8</v>
      </c>
      <c r="I35" s="69">
        <v>201.89</v>
      </c>
      <c r="J35" s="69">
        <v>332</v>
      </c>
      <c r="K35" s="69">
        <v>116.63</v>
      </c>
      <c r="L35" s="69"/>
      <c r="M35" s="69">
        <v>97.31</v>
      </c>
      <c r="N35" s="69"/>
      <c r="O35" s="69">
        <v>110.52</v>
      </c>
      <c r="P35" s="69">
        <v>16.48</v>
      </c>
      <c r="Q35" s="69">
        <v>163.31</v>
      </c>
      <c r="R35" s="69"/>
      <c r="S35" s="69">
        <v>202.78</v>
      </c>
      <c r="T35" s="69">
        <v>674</v>
      </c>
      <c r="U35" s="69">
        <v>214.54</v>
      </c>
      <c r="V35" s="69"/>
      <c r="W35" s="69">
        <v>110.85</v>
      </c>
      <c r="X35" s="69"/>
      <c r="Y35" s="69">
        <v>93.46</v>
      </c>
      <c r="Z35" s="69">
        <v>420</v>
      </c>
      <c r="AA35" s="69">
        <v>88.42</v>
      </c>
      <c r="AB35" s="69">
        <v>100</v>
      </c>
      <c r="AC35" s="185">
        <f t="shared" si="0"/>
        <v>1677.8</v>
      </c>
      <c r="AD35" s="185">
        <f t="shared" si="1"/>
        <v>1896.28</v>
      </c>
      <c r="AE35" s="211">
        <f t="shared" si="2"/>
        <v>118.563219</v>
      </c>
      <c r="AF35" s="14"/>
    </row>
    <row r="36" s="8" customFormat="1" ht="35" customHeight="1" spans="1:32">
      <c r="A36" s="64">
        <v>33</v>
      </c>
      <c r="B36" s="50" t="s">
        <v>101</v>
      </c>
      <c r="C36" s="65" t="s">
        <v>102</v>
      </c>
      <c r="D36" s="50">
        <v>300</v>
      </c>
      <c r="E36" s="69"/>
      <c r="F36" s="69"/>
      <c r="G36" s="69"/>
      <c r="H36" s="69">
        <v>0</v>
      </c>
      <c r="I36" s="69"/>
      <c r="J36" s="69">
        <v>0</v>
      </c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>
        <v>0</v>
      </c>
      <c r="AC36" s="185">
        <f t="shared" si="0"/>
        <v>0</v>
      </c>
      <c r="AD36" s="185">
        <f t="shared" si="1"/>
        <v>0</v>
      </c>
      <c r="AE36" s="211">
        <f t="shared" si="2"/>
        <v>300</v>
      </c>
      <c r="AF36" s="14"/>
    </row>
    <row r="37" s="8" customFormat="1" ht="35" customHeight="1" spans="1:32">
      <c r="A37" s="64">
        <v>34</v>
      </c>
      <c r="B37" s="50" t="s">
        <v>103</v>
      </c>
      <c r="C37" s="65" t="s">
        <v>104</v>
      </c>
      <c r="D37" s="50">
        <v>173.194858999999</v>
      </c>
      <c r="E37" s="69">
        <v>199.79</v>
      </c>
      <c r="F37" s="69"/>
      <c r="G37" s="69">
        <v>273.63</v>
      </c>
      <c r="H37" s="69">
        <v>3000</v>
      </c>
      <c r="I37" s="69">
        <v>303.98</v>
      </c>
      <c r="J37" s="69">
        <v>0</v>
      </c>
      <c r="K37" s="69">
        <v>184.69</v>
      </c>
      <c r="L37" s="69"/>
      <c r="M37" s="69">
        <v>168.92</v>
      </c>
      <c r="N37" s="69"/>
      <c r="O37" s="69">
        <v>170.37</v>
      </c>
      <c r="P37" s="69"/>
      <c r="Q37" s="69">
        <v>224.64</v>
      </c>
      <c r="R37" s="69"/>
      <c r="S37" s="69">
        <v>390.16</v>
      </c>
      <c r="T37" s="69"/>
      <c r="U37" s="69">
        <v>363.29</v>
      </c>
      <c r="V37" s="69"/>
      <c r="W37" s="69">
        <v>178.02</v>
      </c>
      <c r="X37" s="69"/>
      <c r="Y37" s="69">
        <v>218.06</v>
      </c>
      <c r="Z37" s="69"/>
      <c r="AA37" s="69">
        <v>173.88</v>
      </c>
      <c r="AB37" s="69">
        <v>0</v>
      </c>
      <c r="AC37" s="185">
        <f t="shared" ref="AC37:AC68" si="3">E37+G37+I37+K37+M37+O37+Q37+S37+U37+W37+Y37+AA37</f>
        <v>2849.43</v>
      </c>
      <c r="AD37" s="185">
        <f t="shared" ref="AD37:AD68" si="4">F37+H37+J37+L37+N37+P37+R37+T37+V37+X37+Z37+AB37</f>
        <v>3000</v>
      </c>
      <c r="AE37" s="211">
        <f t="shared" ref="AE37:AE68" si="5">D37+AD37-AC37</f>
        <v>323.764858999999</v>
      </c>
      <c r="AF37" s="14"/>
    </row>
    <row r="38" s="8" customFormat="1" ht="35" customHeight="1" spans="1:32">
      <c r="A38" s="64">
        <v>35</v>
      </c>
      <c r="B38" s="50" t="s">
        <v>105</v>
      </c>
      <c r="C38" s="193" t="s">
        <v>330</v>
      </c>
      <c r="D38" s="50">
        <v>88.2783190000005</v>
      </c>
      <c r="E38" s="69">
        <v>188.83</v>
      </c>
      <c r="F38" s="69"/>
      <c r="G38" s="69">
        <v>231.29</v>
      </c>
      <c r="H38" s="69">
        <v>0</v>
      </c>
      <c r="I38" s="69">
        <v>246.52</v>
      </c>
      <c r="J38" s="69">
        <v>420.12</v>
      </c>
      <c r="K38" s="69">
        <v>164.61</v>
      </c>
      <c r="L38" s="69">
        <v>411.13</v>
      </c>
      <c r="M38" s="69">
        <v>96.21</v>
      </c>
      <c r="N38" s="69"/>
      <c r="O38" s="69">
        <v>52.3</v>
      </c>
      <c r="P38" s="69">
        <v>148.51</v>
      </c>
      <c r="Q38" s="69">
        <v>78.59</v>
      </c>
      <c r="R38" s="69">
        <v>78.59</v>
      </c>
      <c r="S38" s="69">
        <v>86.23</v>
      </c>
      <c r="T38" s="69"/>
      <c r="U38" s="69">
        <v>134.52</v>
      </c>
      <c r="V38" s="69">
        <v>220.75</v>
      </c>
      <c r="W38" s="69">
        <v>175.45</v>
      </c>
      <c r="X38" s="69">
        <v>175.45</v>
      </c>
      <c r="Y38" s="69">
        <v>219.69</v>
      </c>
      <c r="Z38" s="69">
        <v>219.69</v>
      </c>
      <c r="AA38" s="69">
        <v>167.22</v>
      </c>
      <c r="AB38" s="69">
        <v>167.22</v>
      </c>
      <c r="AC38" s="185">
        <f t="shared" si="3"/>
        <v>1841.46</v>
      </c>
      <c r="AD38" s="185">
        <f t="shared" si="4"/>
        <v>1841.46</v>
      </c>
      <c r="AE38" s="211">
        <f t="shared" si="5"/>
        <v>88.2783190000005</v>
      </c>
      <c r="AF38" s="14"/>
    </row>
    <row r="39" s="8" customFormat="1" ht="35" customHeight="1" spans="1:32">
      <c r="A39" s="64">
        <v>36</v>
      </c>
      <c r="B39" s="50" t="s">
        <v>107</v>
      </c>
      <c r="C39" s="65" t="s">
        <v>108</v>
      </c>
      <c r="D39" s="50">
        <v>250.446214</v>
      </c>
      <c r="E39" s="69">
        <v>187.16</v>
      </c>
      <c r="F39" s="69">
        <v>187.16</v>
      </c>
      <c r="G39" s="69">
        <v>197.86</v>
      </c>
      <c r="H39" s="69">
        <v>1000</v>
      </c>
      <c r="I39" s="69">
        <v>247.08</v>
      </c>
      <c r="J39" s="69">
        <v>0</v>
      </c>
      <c r="K39" s="69">
        <v>94.87</v>
      </c>
      <c r="L39" s="69"/>
      <c r="M39" s="69">
        <v>84.73</v>
      </c>
      <c r="N39" s="69"/>
      <c r="O39" s="69">
        <v>94.2</v>
      </c>
      <c r="P39" s="69">
        <v>866.48</v>
      </c>
      <c r="Q39" s="69">
        <v>132.97</v>
      </c>
      <c r="R39" s="69"/>
      <c r="S39" s="69">
        <v>157.64</v>
      </c>
      <c r="T39" s="69"/>
      <c r="U39" s="69">
        <v>188.76</v>
      </c>
      <c r="V39" s="69">
        <v>540</v>
      </c>
      <c r="W39" s="69">
        <v>140.59</v>
      </c>
      <c r="X39" s="69"/>
      <c r="Y39" s="69">
        <v>127.19</v>
      </c>
      <c r="Z39" s="69"/>
      <c r="AA39" s="69">
        <v>103.96</v>
      </c>
      <c r="AB39" s="69">
        <v>0</v>
      </c>
      <c r="AC39" s="185">
        <f t="shared" si="3"/>
        <v>1757.01</v>
      </c>
      <c r="AD39" s="185">
        <f t="shared" si="4"/>
        <v>2593.64</v>
      </c>
      <c r="AE39" s="211">
        <f t="shared" si="5"/>
        <v>1087.076214</v>
      </c>
      <c r="AF39" s="14"/>
    </row>
    <row r="40" s="8" customFormat="1" ht="35" customHeight="1" spans="1:32">
      <c r="A40" s="64">
        <v>37</v>
      </c>
      <c r="B40" s="50" t="s">
        <v>109</v>
      </c>
      <c r="C40" s="65" t="s">
        <v>110</v>
      </c>
      <c r="D40" s="50">
        <v>19.9329189999999</v>
      </c>
      <c r="E40" s="69">
        <v>222.79</v>
      </c>
      <c r="F40" s="69">
        <v>500</v>
      </c>
      <c r="G40" s="69">
        <v>206.22</v>
      </c>
      <c r="H40" s="69">
        <v>0</v>
      </c>
      <c r="I40" s="69">
        <v>176.23</v>
      </c>
      <c r="J40" s="69">
        <v>0</v>
      </c>
      <c r="K40" s="69">
        <v>132.81</v>
      </c>
      <c r="L40" s="69">
        <v>600</v>
      </c>
      <c r="M40" s="69">
        <v>136.67</v>
      </c>
      <c r="N40" s="69"/>
      <c r="O40" s="69">
        <v>139.9</v>
      </c>
      <c r="P40" s="69">
        <v>366.48</v>
      </c>
      <c r="Q40" s="69">
        <v>242.98</v>
      </c>
      <c r="R40" s="69"/>
      <c r="S40" s="69">
        <v>261.05</v>
      </c>
      <c r="T40" s="69">
        <v>300</v>
      </c>
      <c r="U40" s="69">
        <v>413.24</v>
      </c>
      <c r="V40" s="69"/>
      <c r="W40" s="69">
        <v>186.22</v>
      </c>
      <c r="X40" s="69"/>
      <c r="Y40" s="69">
        <v>158.21</v>
      </c>
      <c r="Z40" s="69">
        <v>159</v>
      </c>
      <c r="AA40" s="69">
        <v>128.37</v>
      </c>
      <c r="AB40" s="69">
        <v>500</v>
      </c>
      <c r="AC40" s="185">
        <f t="shared" si="3"/>
        <v>2404.69</v>
      </c>
      <c r="AD40" s="185">
        <f t="shared" si="4"/>
        <v>2425.48</v>
      </c>
      <c r="AE40" s="211">
        <f t="shared" si="5"/>
        <v>40.7229190000003</v>
      </c>
      <c r="AF40" s="14"/>
    </row>
    <row r="41" s="8" customFormat="1" ht="35" customHeight="1" spans="1:32">
      <c r="A41" s="64">
        <v>38</v>
      </c>
      <c r="B41" s="50" t="s">
        <v>111</v>
      </c>
      <c r="C41" s="65" t="s">
        <v>112</v>
      </c>
      <c r="D41" s="50">
        <v>185.14617</v>
      </c>
      <c r="E41" s="69">
        <v>166.01</v>
      </c>
      <c r="F41" s="69"/>
      <c r="G41" s="69">
        <v>173.34</v>
      </c>
      <c r="H41" s="69">
        <v>400</v>
      </c>
      <c r="I41" s="69">
        <v>169.54</v>
      </c>
      <c r="J41" s="69">
        <v>0</v>
      </c>
      <c r="K41" s="69">
        <v>89.29</v>
      </c>
      <c r="L41" s="69">
        <v>204.48</v>
      </c>
      <c r="M41" s="69">
        <v>107.69</v>
      </c>
      <c r="N41" s="69"/>
      <c r="O41" s="69">
        <v>81.14</v>
      </c>
      <c r="P41" s="69">
        <v>366.48</v>
      </c>
      <c r="Q41" s="69">
        <v>119.06</v>
      </c>
      <c r="R41" s="69"/>
      <c r="S41" s="69">
        <v>183.92</v>
      </c>
      <c r="T41" s="69"/>
      <c r="U41" s="69">
        <v>236.55</v>
      </c>
      <c r="V41" s="69"/>
      <c r="W41" s="69">
        <v>98.03</v>
      </c>
      <c r="X41" s="69">
        <v>300</v>
      </c>
      <c r="Y41" s="69">
        <v>81.49</v>
      </c>
      <c r="Z41" s="69"/>
      <c r="AA41" s="69">
        <v>90.64</v>
      </c>
      <c r="AB41" s="69">
        <v>500</v>
      </c>
      <c r="AC41" s="185">
        <f t="shared" si="3"/>
        <v>1596.7</v>
      </c>
      <c r="AD41" s="185">
        <f t="shared" si="4"/>
        <v>1770.96</v>
      </c>
      <c r="AE41" s="211">
        <f t="shared" si="5"/>
        <v>359.40617</v>
      </c>
      <c r="AF41" s="14"/>
    </row>
    <row r="42" s="8" customFormat="1" ht="35" customHeight="1" spans="1:32">
      <c r="A42" s="64">
        <v>39</v>
      </c>
      <c r="B42" s="50" t="s">
        <v>113</v>
      </c>
      <c r="C42" s="65" t="s">
        <v>114</v>
      </c>
      <c r="D42" s="50">
        <v>-163.63533</v>
      </c>
      <c r="E42" s="69">
        <v>296.82</v>
      </c>
      <c r="F42" s="69"/>
      <c r="G42" s="69">
        <v>235.19</v>
      </c>
      <c r="H42" s="69">
        <v>850.21</v>
      </c>
      <c r="I42" s="69">
        <v>317.93</v>
      </c>
      <c r="J42" s="69">
        <v>500</v>
      </c>
      <c r="K42" s="69">
        <v>229.32</v>
      </c>
      <c r="L42" s="69"/>
      <c r="M42" s="69">
        <v>187.51</v>
      </c>
      <c r="N42" s="69">
        <v>500</v>
      </c>
      <c r="O42" s="69">
        <v>214.99</v>
      </c>
      <c r="P42" s="69"/>
      <c r="Q42" s="69">
        <v>214.53</v>
      </c>
      <c r="R42" s="69">
        <v>266.48</v>
      </c>
      <c r="S42" s="69">
        <v>195.92</v>
      </c>
      <c r="T42" s="69"/>
      <c r="U42" s="69">
        <v>169.96</v>
      </c>
      <c r="V42" s="69">
        <v>366.48</v>
      </c>
      <c r="W42" s="69">
        <v>141.61</v>
      </c>
      <c r="X42" s="69"/>
      <c r="Y42" s="69">
        <v>152.22</v>
      </c>
      <c r="Z42" s="69"/>
      <c r="AA42" s="69">
        <v>170</v>
      </c>
      <c r="AB42" s="69">
        <v>200</v>
      </c>
      <c r="AC42" s="185">
        <f t="shared" si="3"/>
        <v>2526</v>
      </c>
      <c r="AD42" s="185">
        <f t="shared" si="4"/>
        <v>2683.17</v>
      </c>
      <c r="AE42" s="211">
        <f t="shared" si="5"/>
        <v>-6.46532999999954</v>
      </c>
      <c r="AF42" s="14"/>
    </row>
    <row r="43" s="8" customFormat="1" ht="35" customHeight="1" spans="1:32">
      <c r="A43" s="64">
        <v>40</v>
      </c>
      <c r="B43" s="50" t="s">
        <v>115</v>
      </c>
      <c r="C43" s="65" t="s">
        <v>331</v>
      </c>
      <c r="D43" s="50">
        <v>464.625809</v>
      </c>
      <c r="E43" s="69">
        <v>215.55</v>
      </c>
      <c r="F43" s="69"/>
      <c r="G43" s="69">
        <v>179.47</v>
      </c>
      <c r="H43" s="69">
        <v>1000</v>
      </c>
      <c r="I43" s="69">
        <v>216.96</v>
      </c>
      <c r="J43" s="69">
        <v>0</v>
      </c>
      <c r="K43" s="69">
        <v>114.4</v>
      </c>
      <c r="L43" s="69"/>
      <c r="M43" s="69">
        <v>101.68</v>
      </c>
      <c r="N43" s="69"/>
      <c r="O43" s="69">
        <v>115.96</v>
      </c>
      <c r="P43" s="69"/>
      <c r="Q43" s="69">
        <v>162.68</v>
      </c>
      <c r="R43" s="69"/>
      <c r="S43" s="69">
        <v>209.06</v>
      </c>
      <c r="T43" s="69"/>
      <c r="U43" s="69">
        <v>211.85</v>
      </c>
      <c r="V43" s="69">
        <v>527.61</v>
      </c>
      <c r="W43" s="69">
        <v>131.36</v>
      </c>
      <c r="X43" s="69">
        <v>131.36</v>
      </c>
      <c r="Y43" s="69">
        <v>133.18</v>
      </c>
      <c r="Z43" s="69">
        <v>133.18</v>
      </c>
      <c r="AA43" s="69">
        <v>153.9</v>
      </c>
      <c r="AB43" s="69">
        <v>153.9</v>
      </c>
      <c r="AC43" s="185">
        <f t="shared" si="3"/>
        <v>1946.05</v>
      </c>
      <c r="AD43" s="185">
        <f t="shared" si="4"/>
        <v>1946.05</v>
      </c>
      <c r="AE43" s="211">
        <f t="shared" si="5"/>
        <v>464.625809</v>
      </c>
      <c r="AF43" s="14"/>
    </row>
    <row r="44" s="8" customFormat="1" ht="35" customHeight="1" spans="1:32">
      <c r="A44" s="64">
        <v>41</v>
      </c>
      <c r="B44" s="50" t="s">
        <v>117</v>
      </c>
      <c r="C44" s="65" t="s">
        <v>118</v>
      </c>
      <c r="D44" s="50">
        <v>310.115889</v>
      </c>
      <c r="E44" s="69">
        <v>41.33</v>
      </c>
      <c r="F44" s="69">
        <f>36.63+41.33</f>
        <v>77.96</v>
      </c>
      <c r="G44" s="69">
        <v>40.18</v>
      </c>
      <c r="H44" s="69">
        <v>40.18</v>
      </c>
      <c r="I44" s="69">
        <v>44.02</v>
      </c>
      <c r="J44" s="69">
        <v>0</v>
      </c>
      <c r="K44" s="69">
        <v>31.28</v>
      </c>
      <c r="L44" s="69">
        <v>44.02</v>
      </c>
      <c r="M44" s="69">
        <v>30.62</v>
      </c>
      <c r="N44" s="69">
        <v>61.9</v>
      </c>
      <c r="O44" s="69">
        <v>35.98</v>
      </c>
      <c r="P44" s="69">
        <v>35.98</v>
      </c>
      <c r="Q44" s="69">
        <v>51.41</v>
      </c>
      <c r="R44" s="69"/>
      <c r="S44" s="69">
        <v>48.52</v>
      </c>
      <c r="T44" s="69">
        <f>51.41+48.52</f>
        <v>99.93</v>
      </c>
      <c r="U44" s="69">
        <v>51.82</v>
      </c>
      <c r="V44" s="69">
        <v>51.82</v>
      </c>
      <c r="W44" s="69">
        <v>37.52</v>
      </c>
      <c r="X44" s="69"/>
      <c r="Y44" s="69">
        <v>37.42</v>
      </c>
      <c r="Z44" s="69">
        <v>37.52</v>
      </c>
      <c r="AA44" s="69">
        <v>30.7</v>
      </c>
      <c r="AB44" s="69">
        <v>68.12</v>
      </c>
      <c r="AC44" s="185">
        <f t="shared" si="3"/>
        <v>480.8</v>
      </c>
      <c r="AD44" s="185">
        <f t="shared" si="4"/>
        <v>517.43</v>
      </c>
      <c r="AE44" s="211">
        <f t="shared" si="5"/>
        <v>346.745889</v>
      </c>
      <c r="AF44" s="14"/>
    </row>
    <row r="45" s="8" customFormat="1" ht="35" customHeight="1" spans="1:32">
      <c r="A45" s="64">
        <v>42</v>
      </c>
      <c r="B45" s="50" t="s">
        <v>119</v>
      </c>
      <c r="C45" s="65" t="s">
        <v>120</v>
      </c>
      <c r="D45" s="50">
        <v>66.9963700000003</v>
      </c>
      <c r="E45" s="69">
        <v>282.9</v>
      </c>
      <c r="F45" s="69"/>
      <c r="G45" s="69">
        <v>235.19</v>
      </c>
      <c r="H45" s="69">
        <v>600</v>
      </c>
      <c r="I45" s="69">
        <v>343.03</v>
      </c>
      <c r="J45" s="69">
        <v>0</v>
      </c>
      <c r="K45" s="69">
        <v>218.72</v>
      </c>
      <c r="L45" s="69">
        <v>500</v>
      </c>
      <c r="M45" s="69">
        <v>159.63</v>
      </c>
      <c r="N45" s="69">
        <v>150</v>
      </c>
      <c r="O45" s="69">
        <v>188.33</v>
      </c>
      <c r="P45" s="69">
        <v>266.48</v>
      </c>
      <c r="Q45" s="69">
        <v>227.17</v>
      </c>
      <c r="R45" s="69">
        <v>200</v>
      </c>
      <c r="S45" s="69">
        <v>246.77</v>
      </c>
      <c r="T45" s="69"/>
      <c r="U45" s="69">
        <v>201.65</v>
      </c>
      <c r="V45" s="69">
        <v>200</v>
      </c>
      <c r="W45" s="69">
        <v>148.79</v>
      </c>
      <c r="X45" s="69">
        <v>350</v>
      </c>
      <c r="Y45" s="69">
        <v>177.25</v>
      </c>
      <c r="Z45" s="69">
        <v>200</v>
      </c>
      <c r="AA45" s="69">
        <v>178.32</v>
      </c>
      <c r="AB45" s="69">
        <v>200</v>
      </c>
      <c r="AC45" s="185">
        <f t="shared" si="3"/>
        <v>2607.75</v>
      </c>
      <c r="AD45" s="185">
        <f t="shared" si="4"/>
        <v>2666.48</v>
      </c>
      <c r="AE45" s="211">
        <f t="shared" si="5"/>
        <v>125.72637</v>
      </c>
      <c r="AF45" s="14"/>
    </row>
    <row r="46" s="8" customFormat="1" ht="35" customHeight="1" spans="1:32">
      <c r="A46" s="64">
        <v>43</v>
      </c>
      <c r="B46" s="50" t="s">
        <v>121</v>
      </c>
      <c r="C46" s="65" t="s">
        <v>122</v>
      </c>
      <c r="D46" s="50">
        <v>1291.266464</v>
      </c>
      <c r="E46" s="69">
        <v>181.6</v>
      </c>
      <c r="F46" s="69"/>
      <c r="G46" s="69">
        <v>245.77</v>
      </c>
      <c r="H46" s="69">
        <v>0</v>
      </c>
      <c r="I46" s="69">
        <v>224.21</v>
      </c>
      <c r="J46" s="69">
        <v>0</v>
      </c>
      <c r="K46" s="69">
        <v>162.37</v>
      </c>
      <c r="L46" s="69"/>
      <c r="M46" s="69">
        <v>135.03</v>
      </c>
      <c r="N46" s="69">
        <v>2000</v>
      </c>
      <c r="O46" s="69">
        <v>143.71</v>
      </c>
      <c r="P46" s="69"/>
      <c r="Q46" s="69">
        <v>163.31</v>
      </c>
      <c r="R46" s="69"/>
      <c r="S46" s="69">
        <v>141.65</v>
      </c>
      <c r="T46" s="69"/>
      <c r="U46" s="69">
        <v>188.76</v>
      </c>
      <c r="V46" s="69"/>
      <c r="W46" s="69">
        <v>129.31</v>
      </c>
      <c r="X46" s="69"/>
      <c r="Y46" s="69">
        <v>130.46</v>
      </c>
      <c r="Z46" s="69"/>
      <c r="AA46" s="69">
        <v>158.9</v>
      </c>
      <c r="AB46" s="69">
        <v>0</v>
      </c>
      <c r="AC46" s="185">
        <f t="shared" si="3"/>
        <v>2005.08</v>
      </c>
      <c r="AD46" s="185">
        <f t="shared" si="4"/>
        <v>2000</v>
      </c>
      <c r="AE46" s="211">
        <f t="shared" si="5"/>
        <v>1286.186464</v>
      </c>
      <c r="AF46" s="14"/>
    </row>
    <row r="47" s="8" customFormat="1" ht="35" customHeight="1" spans="1:32">
      <c r="A47" s="64">
        <v>44</v>
      </c>
      <c r="B47" s="50" t="s">
        <v>123</v>
      </c>
      <c r="C47" s="65" t="s">
        <v>124</v>
      </c>
      <c r="D47" s="50">
        <v>423.751189</v>
      </c>
      <c r="E47" s="69">
        <v>113.13</v>
      </c>
      <c r="F47" s="69"/>
      <c r="G47" s="69">
        <v>104.81</v>
      </c>
      <c r="H47" s="69">
        <v>0</v>
      </c>
      <c r="I47" s="69">
        <v>113.19</v>
      </c>
      <c r="J47" s="69">
        <v>0</v>
      </c>
      <c r="K47" s="69">
        <v>92.08</v>
      </c>
      <c r="L47" s="69">
        <v>1000</v>
      </c>
      <c r="M47" s="69">
        <v>73.25</v>
      </c>
      <c r="N47" s="69"/>
      <c r="O47" s="69">
        <v>70.8</v>
      </c>
      <c r="P47" s="69"/>
      <c r="Q47" s="69">
        <v>102.62</v>
      </c>
      <c r="R47" s="69"/>
      <c r="S47" s="69">
        <v>87.94</v>
      </c>
      <c r="T47" s="69"/>
      <c r="U47" s="69">
        <v>98</v>
      </c>
      <c r="V47" s="69"/>
      <c r="W47" s="69">
        <v>92.39</v>
      </c>
      <c r="X47" s="69"/>
      <c r="Y47" s="69">
        <v>98.36</v>
      </c>
      <c r="Z47" s="69"/>
      <c r="AA47" s="69">
        <v>117.28</v>
      </c>
      <c r="AB47" s="69">
        <v>0</v>
      </c>
      <c r="AC47" s="185">
        <f t="shared" si="3"/>
        <v>1163.85</v>
      </c>
      <c r="AD47" s="185">
        <f t="shared" si="4"/>
        <v>1000</v>
      </c>
      <c r="AE47" s="211">
        <f t="shared" si="5"/>
        <v>259.901189</v>
      </c>
      <c r="AF47" s="14"/>
    </row>
    <row r="48" s="8" customFormat="1" ht="35" customHeight="1" spans="1:32">
      <c r="A48" s="64">
        <v>45</v>
      </c>
      <c r="B48" s="50" t="s">
        <v>125</v>
      </c>
      <c r="C48" s="65" t="s">
        <v>126</v>
      </c>
      <c r="D48" s="50">
        <v>-101.491996</v>
      </c>
      <c r="E48" s="69">
        <v>174.36</v>
      </c>
      <c r="F48" s="69">
        <v>174.36</v>
      </c>
      <c r="G48" s="69">
        <v>211.79</v>
      </c>
      <c r="H48" s="69">
        <v>211.79</v>
      </c>
      <c r="I48" s="69">
        <v>232.02</v>
      </c>
      <c r="J48" s="69">
        <v>232.02</v>
      </c>
      <c r="K48" s="69">
        <v>176.88</v>
      </c>
      <c r="L48" s="69">
        <v>176.88</v>
      </c>
      <c r="M48" s="69">
        <v>161.27</v>
      </c>
      <c r="N48" s="69">
        <v>161.27</v>
      </c>
      <c r="O48" s="69">
        <v>182.34</v>
      </c>
      <c r="P48" s="69">
        <v>182.34</v>
      </c>
      <c r="Q48" s="69">
        <v>206.94</v>
      </c>
      <c r="R48" s="69">
        <v>206.94</v>
      </c>
      <c r="S48" s="69">
        <v>239.91</v>
      </c>
      <c r="T48" s="69">
        <v>239.91</v>
      </c>
      <c r="U48" s="69">
        <v>255.35</v>
      </c>
      <c r="V48" s="69">
        <v>255.35</v>
      </c>
      <c r="W48" s="69">
        <v>129.31</v>
      </c>
      <c r="X48" s="69">
        <v>129.31</v>
      </c>
      <c r="Y48" s="69">
        <v>167.46</v>
      </c>
      <c r="Z48" s="69">
        <v>167.46</v>
      </c>
      <c r="AA48" s="69">
        <v>160.56</v>
      </c>
      <c r="AB48" s="69">
        <v>160.56</v>
      </c>
      <c r="AC48" s="185">
        <f t="shared" si="3"/>
        <v>2298.19</v>
      </c>
      <c r="AD48" s="185">
        <f t="shared" si="4"/>
        <v>2298.19</v>
      </c>
      <c r="AE48" s="211">
        <f t="shared" si="5"/>
        <v>-101.491996</v>
      </c>
      <c r="AF48" s="14"/>
    </row>
    <row r="49" s="8" customFormat="1" ht="35" customHeight="1" spans="1:32">
      <c r="A49" s="64">
        <v>46</v>
      </c>
      <c r="B49" s="50" t="s">
        <v>127</v>
      </c>
      <c r="C49" s="65" t="s">
        <v>128</v>
      </c>
      <c r="D49" s="50">
        <v>150.793474</v>
      </c>
      <c r="E49" s="69">
        <v>206.64</v>
      </c>
      <c r="F49" s="69"/>
      <c r="G49" s="69">
        <v>186.72</v>
      </c>
      <c r="H49" s="69">
        <v>0</v>
      </c>
      <c r="I49" s="69">
        <v>216.4</v>
      </c>
      <c r="J49" s="69">
        <v>609.76</v>
      </c>
      <c r="K49" s="69">
        <v>186.36</v>
      </c>
      <c r="L49" s="69">
        <v>200</v>
      </c>
      <c r="M49" s="69">
        <v>154.71</v>
      </c>
      <c r="N49" s="69">
        <v>200</v>
      </c>
      <c r="O49" s="69">
        <v>169.29</v>
      </c>
      <c r="P49" s="69">
        <v>166.48</v>
      </c>
      <c r="Q49" s="69">
        <v>252.46</v>
      </c>
      <c r="R49" s="69">
        <v>200</v>
      </c>
      <c r="S49" s="69">
        <v>217.63</v>
      </c>
      <c r="T49" s="69">
        <v>200</v>
      </c>
      <c r="U49" s="69">
        <v>240.31</v>
      </c>
      <c r="V49" s="69">
        <v>300</v>
      </c>
      <c r="W49" s="69">
        <v>154.94</v>
      </c>
      <c r="X49" s="69">
        <v>200</v>
      </c>
      <c r="Y49" s="69">
        <v>155.49</v>
      </c>
      <c r="Z49" s="69">
        <v>200</v>
      </c>
      <c r="AA49" s="69">
        <v>142.25</v>
      </c>
      <c r="AB49" s="69">
        <v>200</v>
      </c>
      <c r="AC49" s="185">
        <f t="shared" si="3"/>
        <v>2283.2</v>
      </c>
      <c r="AD49" s="185">
        <f t="shared" si="4"/>
        <v>2476.24</v>
      </c>
      <c r="AE49" s="211">
        <f t="shared" si="5"/>
        <v>343.833474</v>
      </c>
      <c r="AF49" s="14"/>
    </row>
    <row r="50" s="8" customFormat="1" ht="35" customHeight="1" spans="1:32">
      <c r="A50" s="64">
        <v>47</v>
      </c>
      <c r="B50" s="50" t="s">
        <v>129</v>
      </c>
      <c r="C50" s="65" t="s">
        <v>130</v>
      </c>
      <c r="D50" s="50">
        <v>184.281389</v>
      </c>
      <c r="E50" s="69">
        <v>116.47</v>
      </c>
      <c r="F50" s="69"/>
      <c r="G50" s="69">
        <v>150.5</v>
      </c>
      <c r="H50" s="69">
        <v>0</v>
      </c>
      <c r="I50" s="69">
        <v>150.57</v>
      </c>
      <c r="J50" s="69">
        <v>0</v>
      </c>
      <c r="K50" s="69">
        <v>74.79</v>
      </c>
      <c r="L50" s="69"/>
      <c r="M50" s="69">
        <v>84.19</v>
      </c>
      <c r="N50" s="69">
        <v>1000</v>
      </c>
      <c r="O50" s="69">
        <v>114.88</v>
      </c>
      <c r="P50" s="69"/>
      <c r="Q50" s="69">
        <v>174.69</v>
      </c>
      <c r="R50" s="69"/>
      <c r="S50" s="69">
        <v>204.49</v>
      </c>
      <c r="T50" s="69"/>
      <c r="U50" s="69">
        <v>203.26</v>
      </c>
      <c r="V50" s="69"/>
      <c r="W50" s="69">
        <v>143.66</v>
      </c>
      <c r="X50" s="69"/>
      <c r="Y50" s="69">
        <v>118.49</v>
      </c>
      <c r="Z50" s="69"/>
      <c r="AA50" s="69">
        <v>96.19</v>
      </c>
      <c r="AB50" s="69">
        <v>1366.48</v>
      </c>
      <c r="AC50" s="185">
        <f t="shared" si="3"/>
        <v>1632.18</v>
      </c>
      <c r="AD50" s="185">
        <f t="shared" si="4"/>
        <v>2366.48</v>
      </c>
      <c r="AE50" s="211">
        <f t="shared" si="5"/>
        <v>918.581389</v>
      </c>
      <c r="AF50" s="14"/>
    </row>
    <row r="51" s="8" customFormat="1" ht="35" customHeight="1" spans="1:32">
      <c r="A51" s="64">
        <v>48</v>
      </c>
      <c r="B51" s="50" t="s">
        <v>131</v>
      </c>
      <c r="C51" s="65" t="s">
        <v>132</v>
      </c>
      <c r="D51" s="50">
        <v>-105.843046</v>
      </c>
      <c r="E51" s="69">
        <v>209.98</v>
      </c>
      <c r="F51" s="69">
        <v>210</v>
      </c>
      <c r="G51" s="69">
        <v>369.46</v>
      </c>
      <c r="H51" s="69">
        <v>400</v>
      </c>
      <c r="I51" s="69">
        <v>392.68</v>
      </c>
      <c r="J51" s="69">
        <v>0</v>
      </c>
      <c r="K51" s="69">
        <v>196.96</v>
      </c>
      <c r="L51" s="69">
        <f>400+200</f>
        <v>600</v>
      </c>
      <c r="M51" s="69">
        <v>170.56</v>
      </c>
      <c r="N51" s="69">
        <v>200</v>
      </c>
      <c r="O51" s="69">
        <v>182.89</v>
      </c>
      <c r="P51" s="69">
        <v>166.48</v>
      </c>
      <c r="Q51" s="69">
        <v>214.53</v>
      </c>
      <c r="R51" s="69">
        <v>300</v>
      </c>
      <c r="S51" s="69">
        <v>254.19</v>
      </c>
      <c r="T51" s="69"/>
      <c r="U51" s="69">
        <v>278.98</v>
      </c>
      <c r="V51" s="69">
        <f>200+200</f>
        <v>400</v>
      </c>
      <c r="W51" s="69">
        <v>147.77</v>
      </c>
      <c r="X51" s="69">
        <v>200</v>
      </c>
      <c r="Y51" s="69">
        <v>162.56</v>
      </c>
      <c r="Z51" s="69">
        <v>200</v>
      </c>
      <c r="AA51" s="69">
        <v>188.31</v>
      </c>
      <c r="AB51" s="69">
        <v>200</v>
      </c>
      <c r="AC51" s="185">
        <f t="shared" si="3"/>
        <v>2768.87</v>
      </c>
      <c r="AD51" s="185">
        <f t="shared" si="4"/>
        <v>2876.48</v>
      </c>
      <c r="AE51" s="211">
        <f t="shared" si="5"/>
        <v>1.76695400000017</v>
      </c>
      <c r="AF51" s="14"/>
    </row>
    <row r="52" s="8" customFormat="1" ht="35" customHeight="1" spans="1:32">
      <c r="A52" s="64">
        <v>49</v>
      </c>
      <c r="B52" s="50" t="s">
        <v>133</v>
      </c>
      <c r="C52" s="65" t="s">
        <v>332</v>
      </c>
      <c r="D52" s="50">
        <v>2979.760419</v>
      </c>
      <c r="E52" s="69">
        <v>292.92</v>
      </c>
      <c r="F52" s="69"/>
      <c r="G52" s="69">
        <v>317.09</v>
      </c>
      <c r="H52" s="200"/>
      <c r="I52" s="69">
        <v>328.53</v>
      </c>
      <c r="J52" s="69">
        <v>2000</v>
      </c>
      <c r="K52" s="69">
        <v>209.23</v>
      </c>
      <c r="L52" s="69"/>
      <c r="M52" s="69">
        <v>218.12</v>
      </c>
      <c r="N52" s="69"/>
      <c r="O52" s="69">
        <v>211.18</v>
      </c>
      <c r="P52" s="69"/>
      <c r="Q52" s="69">
        <v>235.39</v>
      </c>
      <c r="R52" s="69"/>
      <c r="S52" s="69">
        <v>185.06</v>
      </c>
      <c r="T52" s="69"/>
      <c r="U52" s="69">
        <v>200.57</v>
      </c>
      <c r="V52" s="69"/>
      <c r="W52" s="69">
        <v>156.48</v>
      </c>
      <c r="X52" s="69"/>
      <c r="Y52" s="69">
        <v>187.05</v>
      </c>
      <c r="Z52" s="69"/>
      <c r="AA52" s="69">
        <v>188.87</v>
      </c>
      <c r="AB52" s="69">
        <v>0</v>
      </c>
      <c r="AC52" s="185">
        <f t="shared" si="3"/>
        <v>2730.49</v>
      </c>
      <c r="AD52" s="185">
        <f t="shared" si="4"/>
        <v>2000</v>
      </c>
      <c r="AE52" s="211">
        <f t="shared" si="5"/>
        <v>2249.270419</v>
      </c>
      <c r="AF52" s="14"/>
    </row>
    <row r="53" s="8" customFormat="1" ht="35" customHeight="1" spans="1:32">
      <c r="A53" s="64">
        <v>50</v>
      </c>
      <c r="B53" s="50" t="s">
        <v>135</v>
      </c>
      <c r="C53" s="65" t="s">
        <v>136</v>
      </c>
      <c r="D53" s="50">
        <v>250.565249000001</v>
      </c>
      <c r="E53" s="69">
        <v>117.59</v>
      </c>
      <c r="F53" s="69"/>
      <c r="G53" s="69">
        <v>65.26</v>
      </c>
      <c r="H53" s="69">
        <v>117.59</v>
      </c>
      <c r="I53" s="69">
        <v>45.69</v>
      </c>
      <c r="J53" s="69">
        <v>65.26</v>
      </c>
      <c r="K53" s="69">
        <v>51.36</v>
      </c>
      <c r="L53" s="69">
        <v>97.05</v>
      </c>
      <c r="M53" s="69">
        <v>91.29</v>
      </c>
      <c r="N53" s="69"/>
      <c r="O53" s="69">
        <v>151.33</v>
      </c>
      <c r="P53" s="69">
        <v>242.62</v>
      </c>
      <c r="Q53" s="69">
        <v>291.66</v>
      </c>
      <c r="R53" s="69">
        <v>291.66</v>
      </c>
      <c r="S53" s="69">
        <v>414.16</v>
      </c>
      <c r="T53" s="69"/>
      <c r="U53" s="69">
        <v>462.64</v>
      </c>
      <c r="V53" s="69">
        <v>876.8</v>
      </c>
      <c r="W53" s="69">
        <v>276.98</v>
      </c>
      <c r="X53" s="69">
        <v>276.98</v>
      </c>
      <c r="Y53" s="69">
        <v>226.76</v>
      </c>
      <c r="Z53" s="69">
        <v>226.76</v>
      </c>
      <c r="AA53" s="69">
        <v>224.39</v>
      </c>
      <c r="AB53" s="69">
        <v>224.39</v>
      </c>
      <c r="AC53" s="185">
        <f t="shared" si="3"/>
        <v>2419.11</v>
      </c>
      <c r="AD53" s="185">
        <f t="shared" si="4"/>
        <v>2419.11</v>
      </c>
      <c r="AE53" s="211">
        <f t="shared" si="5"/>
        <v>250.565249000001</v>
      </c>
      <c r="AF53" s="14"/>
    </row>
    <row r="54" s="8" customFormat="1" ht="35" customHeight="1" spans="1:32">
      <c r="A54" s="64">
        <v>51</v>
      </c>
      <c r="B54" s="50" t="s">
        <v>137</v>
      </c>
      <c r="C54" s="65" t="s">
        <v>138</v>
      </c>
      <c r="D54" s="50">
        <v>183.45857</v>
      </c>
      <c r="E54" s="69">
        <v>118.7</v>
      </c>
      <c r="F54" s="69"/>
      <c r="G54" s="69">
        <v>128.21</v>
      </c>
      <c r="H54" s="69">
        <v>1000</v>
      </c>
      <c r="I54" s="69">
        <v>192.41</v>
      </c>
      <c r="J54" s="69">
        <v>0</v>
      </c>
      <c r="K54" s="69">
        <v>135.04</v>
      </c>
      <c r="L54" s="69"/>
      <c r="M54" s="69">
        <v>94.03</v>
      </c>
      <c r="N54" s="69"/>
      <c r="O54" s="69">
        <v>138.27</v>
      </c>
      <c r="P54" s="69">
        <v>866.48</v>
      </c>
      <c r="Q54" s="69">
        <v>191.13</v>
      </c>
      <c r="R54" s="69"/>
      <c r="S54" s="69">
        <v>354.74</v>
      </c>
      <c r="T54" s="69"/>
      <c r="U54" s="69">
        <v>436.33</v>
      </c>
      <c r="V54" s="69">
        <v>1000</v>
      </c>
      <c r="W54" s="69">
        <v>169.81</v>
      </c>
      <c r="X54" s="69"/>
      <c r="Y54" s="69">
        <v>110.87</v>
      </c>
      <c r="Z54" s="69"/>
      <c r="AA54" s="69">
        <v>96.74</v>
      </c>
      <c r="AB54" s="69">
        <v>0</v>
      </c>
      <c r="AC54" s="185">
        <f t="shared" si="3"/>
        <v>2166.28</v>
      </c>
      <c r="AD54" s="185">
        <f t="shared" si="4"/>
        <v>2866.48</v>
      </c>
      <c r="AE54" s="211">
        <f t="shared" si="5"/>
        <v>883.658570000001</v>
      </c>
      <c r="AF54" s="14"/>
    </row>
    <row r="55" s="8" customFormat="1" ht="35" customHeight="1" spans="1:32">
      <c r="A55" s="64">
        <v>52</v>
      </c>
      <c r="B55" s="50" t="s">
        <v>139</v>
      </c>
      <c r="C55" s="65" t="s">
        <v>140</v>
      </c>
      <c r="D55" s="50">
        <v>203.302014000001</v>
      </c>
      <c r="E55" s="69">
        <v>123.15</v>
      </c>
      <c r="F55" s="69"/>
      <c r="G55" s="69">
        <v>173.34</v>
      </c>
      <c r="H55" s="69">
        <v>0</v>
      </c>
      <c r="I55" s="69">
        <v>201.89</v>
      </c>
      <c r="J55" s="69">
        <v>850.21</v>
      </c>
      <c r="K55" s="69">
        <v>92.08</v>
      </c>
      <c r="L55" s="69"/>
      <c r="M55" s="69">
        <v>84.73</v>
      </c>
      <c r="N55" s="69">
        <v>180</v>
      </c>
      <c r="O55" s="69">
        <v>99.64</v>
      </c>
      <c r="P55" s="69">
        <v>106.48</v>
      </c>
      <c r="Q55" s="69">
        <v>158.89</v>
      </c>
      <c r="R55" s="69"/>
      <c r="S55" s="69">
        <v>265.05</v>
      </c>
      <c r="T55" s="69">
        <f>200</f>
        <v>200</v>
      </c>
      <c r="U55" s="69">
        <v>264.48</v>
      </c>
      <c r="V55" s="69">
        <f>200+300</f>
        <v>500</v>
      </c>
      <c r="W55" s="69">
        <v>74.95</v>
      </c>
      <c r="X55" s="69">
        <v>100</v>
      </c>
      <c r="Y55" s="69">
        <v>97.81</v>
      </c>
      <c r="Z55" s="69">
        <v>100</v>
      </c>
      <c r="AA55" s="69">
        <v>76.21</v>
      </c>
      <c r="AB55" s="69">
        <v>200</v>
      </c>
      <c r="AC55" s="185">
        <f t="shared" si="3"/>
        <v>1712.22</v>
      </c>
      <c r="AD55" s="185">
        <f t="shared" si="4"/>
        <v>2236.69</v>
      </c>
      <c r="AE55" s="211">
        <f t="shared" si="5"/>
        <v>727.772014</v>
      </c>
      <c r="AF55" s="14"/>
    </row>
    <row r="56" s="8" customFormat="1" ht="35" customHeight="1" spans="1:32">
      <c r="A56" s="64">
        <v>53</v>
      </c>
      <c r="B56" s="50" t="s">
        <v>141</v>
      </c>
      <c r="C56" s="65" t="s">
        <v>142</v>
      </c>
      <c r="D56" s="50">
        <v>-68.4801239999999</v>
      </c>
      <c r="E56" s="69">
        <v>128.16</v>
      </c>
      <c r="F56" s="69">
        <v>247.44</v>
      </c>
      <c r="G56" s="69">
        <v>299.26</v>
      </c>
      <c r="H56" s="69">
        <v>128.16</v>
      </c>
      <c r="I56" s="69">
        <v>255.45</v>
      </c>
      <c r="J56" s="69">
        <v>299.26</v>
      </c>
      <c r="K56" s="69">
        <v>141.73</v>
      </c>
      <c r="L56" s="69">
        <v>397.18</v>
      </c>
      <c r="M56" s="69">
        <v>106.6</v>
      </c>
      <c r="N56" s="69"/>
      <c r="O56" s="69">
        <v>72.98</v>
      </c>
      <c r="P56" s="69">
        <v>179.58</v>
      </c>
      <c r="Q56" s="69">
        <v>132.33</v>
      </c>
      <c r="R56" s="69">
        <v>132.33</v>
      </c>
      <c r="S56" s="69">
        <v>301.61</v>
      </c>
      <c r="T56" s="69">
        <v>301.61</v>
      </c>
      <c r="U56" s="69">
        <v>128.61</v>
      </c>
      <c r="V56" s="69">
        <v>128.61</v>
      </c>
      <c r="W56" s="69">
        <v>79.57</v>
      </c>
      <c r="X56" s="69">
        <v>79.57</v>
      </c>
      <c r="Y56" s="69">
        <v>101.62</v>
      </c>
      <c r="Z56" s="69">
        <v>101.62</v>
      </c>
      <c r="AA56" s="69">
        <v>90.08</v>
      </c>
      <c r="AB56" s="69">
        <v>90.08</v>
      </c>
      <c r="AC56" s="185">
        <f t="shared" si="3"/>
        <v>1838</v>
      </c>
      <c r="AD56" s="185">
        <f t="shared" si="4"/>
        <v>2085.44</v>
      </c>
      <c r="AE56" s="211">
        <f t="shared" si="5"/>
        <v>178.959876</v>
      </c>
      <c r="AF56" s="14"/>
    </row>
    <row r="57" s="8" customFormat="1" ht="35" customHeight="1" spans="1:32">
      <c r="A57" s="64">
        <v>54</v>
      </c>
      <c r="B57" s="50" t="s">
        <v>143</v>
      </c>
      <c r="C57" s="65" t="s">
        <v>144</v>
      </c>
      <c r="D57" s="50">
        <v>-1016.329259</v>
      </c>
      <c r="E57" s="69">
        <v>187.72</v>
      </c>
      <c r="F57" s="69">
        <v>188</v>
      </c>
      <c r="G57" s="69">
        <v>165.54</v>
      </c>
      <c r="H57" s="69">
        <v>0</v>
      </c>
      <c r="I57" s="69">
        <v>195.2</v>
      </c>
      <c r="J57" s="69">
        <v>400</v>
      </c>
      <c r="K57" s="69">
        <v>162.93</v>
      </c>
      <c r="L57" s="69"/>
      <c r="M57" s="69">
        <v>151.43</v>
      </c>
      <c r="N57" s="69">
        <f>200+200</f>
        <v>400</v>
      </c>
      <c r="O57" s="69">
        <v>155.14</v>
      </c>
      <c r="P57" s="69">
        <v>66.48</v>
      </c>
      <c r="Q57" s="69">
        <v>210.1</v>
      </c>
      <c r="R57" s="69">
        <v>200</v>
      </c>
      <c r="S57" s="69">
        <v>226.2</v>
      </c>
      <c r="T57" s="69">
        <v>300</v>
      </c>
      <c r="U57" s="69">
        <v>231.18</v>
      </c>
      <c r="V57" s="69">
        <v>200</v>
      </c>
      <c r="W57" s="69">
        <v>145.71</v>
      </c>
      <c r="X57" s="69">
        <v>200</v>
      </c>
      <c r="Y57" s="69">
        <v>195.21</v>
      </c>
      <c r="Z57" s="69">
        <v>200</v>
      </c>
      <c r="AA57" s="69">
        <v>187.76</v>
      </c>
      <c r="AB57" s="69">
        <v>200</v>
      </c>
      <c r="AC57" s="185">
        <f t="shared" si="3"/>
        <v>2214.12</v>
      </c>
      <c r="AD57" s="185">
        <f t="shared" si="4"/>
        <v>2354.48</v>
      </c>
      <c r="AE57" s="211">
        <f t="shared" si="5"/>
        <v>-875.969259</v>
      </c>
      <c r="AF57" s="14"/>
    </row>
    <row r="58" s="8" customFormat="1" ht="35" customHeight="1" spans="1:32">
      <c r="A58" s="64">
        <v>55</v>
      </c>
      <c r="B58" s="50" t="s">
        <v>145</v>
      </c>
      <c r="C58" s="65" t="s">
        <v>146</v>
      </c>
      <c r="D58" s="50">
        <v>-609.208604</v>
      </c>
      <c r="E58" s="69">
        <v>297.37</v>
      </c>
      <c r="F58" s="69">
        <v>714.34</v>
      </c>
      <c r="G58" s="69">
        <v>451.92</v>
      </c>
      <c r="H58" s="69">
        <v>500</v>
      </c>
      <c r="I58" s="69">
        <v>422.81</v>
      </c>
      <c r="J58" s="69">
        <v>672.1</v>
      </c>
      <c r="K58" s="69">
        <v>210.91</v>
      </c>
      <c r="L58" s="69">
        <v>210.91</v>
      </c>
      <c r="M58" s="69">
        <v>211.01</v>
      </c>
      <c r="N58" s="69">
        <v>210.91</v>
      </c>
      <c r="O58" s="69">
        <v>229.14</v>
      </c>
      <c r="P58" s="69">
        <v>458.38</v>
      </c>
      <c r="Q58" s="69">
        <v>183.55</v>
      </c>
      <c r="R58" s="69"/>
      <c r="S58" s="69">
        <v>182.78</v>
      </c>
      <c r="T58" s="69"/>
      <c r="U58" s="69">
        <v>227.43</v>
      </c>
      <c r="V58" s="69">
        <v>592.05</v>
      </c>
      <c r="W58" s="69">
        <v>184.68</v>
      </c>
      <c r="X58" s="69"/>
      <c r="Y58" s="69">
        <v>220.24</v>
      </c>
      <c r="Z58" s="69">
        <v>177.49</v>
      </c>
      <c r="AA58" s="69">
        <v>203.3</v>
      </c>
      <c r="AB58" s="69">
        <v>203.3</v>
      </c>
      <c r="AC58" s="185">
        <f t="shared" si="3"/>
        <v>3025.14</v>
      </c>
      <c r="AD58" s="185">
        <f t="shared" si="4"/>
        <v>3739.48</v>
      </c>
      <c r="AE58" s="211">
        <f t="shared" si="5"/>
        <v>105.131396</v>
      </c>
      <c r="AF58" s="14"/>
    </row>
    <row r="59" s="8" customFormat="1" ht="35" customHeight="1" spans="1:32">
      <c r="A59" s="64">
        <v>56</v>
      </c>
      <c r="B59" s="50" t="s">
        <v>147</v>
      </c>
      <c r="C59" s="65" t="s">
        <v>148</v>
      </c>
      <c r="D59" s="50">
        <v>409.31817</v>
      </c>
      <c r="E59" s="69">
        <v>181.04</v>
      </c>
      <c r="F59" s="69"/>
      <c r="G59" s="69">
        <v>201.76</v>
      </c>
      <c r="H59" s="69">
        <v>181.04</v>
      </c>
      <c r="I59" s="69">
        <v>239.27</v>
      </c>
      <c r="J59" s="69">
        <v>201.76</v>
      </c>
      <c r="K59" s="69">
        <v>195.85</v>
      </c>
      <c r="L59" s="69">
        <v>435.12</v>
      </c>
      <c r="M59" s="69">
        <v>95.67</v>
      </c>
      <c r="N59" s="69"/>
      <c r="O59" s="69">
        <v>185.61</v>
      </c>
      <c r="P59" s="69">
        <v>281.28</v>
      </c>
      <c r="Q59" s="69">
        <v>187.34</v>
      </c>
      <c r="R59" s="69">
        <v>187.34</v>
      </c>
      <c r="S59" s="69">
        <v>211.92</v>
      </c>
      <c r="T59" s="69"/>
      <c r="U59" s="69">
        <v>232.26</v>
      </c>
      <c r="V59" s="69">
        <v>444.18</v>
      </c>
      <c r="W59" s="69">
        <v>115.46</v>
      </c>
      <c r="X59" s="69">
        <v>115.46</v>
      </c>
      <c r="Y59" s="69">
        <v>132.64</v>
      </c>
      <c r="Z59" s="69">
        <v>132.64</v>
      </c>
      <c r="AA59" s="69">
        <v>141.14</v>
      </c>
      <c r="AB59" s="69">
        <v>141.14</v>
      </c>
      <c r="AC59" s="185">
        <f t="shared" si="3"/>
        <v>2119.96</v>
      </c>
      <c r="AD59" s="185">
        <f t="shared" si="4"/>
        <v>2119.96</v>
      </c>
      <c r="AE59" s="211">
        <f t="shared" si="5"/>
        <v>409.31817</v>
      </c>
      <c r="AF59" s="14"/>
    </row>
    <row r="60" s="8" customFormat="1" ht="35" customHeight="1" spans="1:32">
      <c r="A60" s="64">
        <v>57</v>
      </c>
      <c r="B60" s="50" t="s">
        <v>149</v>
      </c>
      <c r="C60" s="65" t="s">
        <v>333</v>
      </c>
      <c r="D60" s="50">
        <v>653.910411</v>
      </c>
      <c r="E60" s="69">
        <v>349.14</v>
      </c>
      <c r="F60" s="69">
        <v>850.21</v>
      </c>
      <c r="G60" s="69">
        <v>483.12</v>
      </c>
      <c r="H60" s="69">
        <v>0</v>
      </c>
      <c r="I60" s="69">
        <v>494.77</v>
      </c>
      <c r="J60" s="69">
        <v>0</v>
      </c>
      <c r="K60" s="69">
        <v>261.12</v>
      </c>
      <c r="L60" s="69">
        <v>1000</v>
      </c>
      <c r="M60" s="69">
        <v>182.04</v>
      </c>
      <c r="N60" s="69"/>
      <c r="O60" s="69">
        <v>228.59</v>
      </c>
      <c r="P60" s="69"/>
      <c r="Q60" s="69">
        <v>260.68</v>
      </c>
      <c r="R60" s="69"/>
      <c r="S60" s="69">
        <v>183.35</v>
      </c>
      <c r="T60" s="69">
        <v>866.48</v>
      </c>
      <c r="U60" s="69">
        <v>197.35</v>
      </c>
      <c r="V60" s="69"/>
      <c r="W60" s="69">
        <v>158.02</v>
      </c>
      <c r="X60" s="69"/>
      <c r="Y60" s="69">
        <v>226.76</v>
      </c>
      <c r="Z60" s="69"/>
      <c r="AA60" s="69">
        <v>257.13</v>
      </c>
      <c r="AB60" s="69">
        <v>500</v>
      </c>
      <c r="AC60" s="185">
        <f t="shared" si="3"/>
        <v>3282.07</v>
      </c>
      <c r="AD60" s="185">
        <f t="shared" si="4"/>
        <v>3216.69</v>
      </c>
      <c r="AE60" s="211">
        <f t="shared" si="5"/>
        <v>588.530411</v>
      </c>
      <c r="AF60" s="14"/>
    </row>
    <row r="61" s="8" customFormat="1" ht="35" customHeight="1" spans="1:32">
      <c r="A61" s="64">
        <v>58</v>
      </c>
      <c r="B61" s="50" t="s">
        <v>151</v>
      </c>
      <c r="C61" s="65" t="s">
        <v>152</v>
      </c>
      <c r="D61" s="50">
        <v>593.061156</v>
      </c>
      <c r="E61" s="69">
        <v>20.74</v>
      </c>
      <c r="F61" s="69">
        <v>20.74</v>
      </c>
      <c r="G61" s="69">
        <v>29.6</v>
      </c>
      <c r="H61" s="69">
        <v>0</v>
      </c>
      <c r="I61" s="69">
        <v>23.38</v>
      </c>
      <c r="J61" s="69">
        <v>0</v>
      </c>
      <c r="K61" s="69">
        <v>26.81</v>
      </c>
      <c r="L61" s="69"/>
      <c r="M61" s="69">
        <v>13.67</v>
      </c>
      <c r="N61" s="69">
        <v>300</v>
      </c>
      <c r="O61" s="69">
        <v>11.5</v>
      </c>
      <c r="P61" s="69"/>
      <c r="Q61" s="69">
        <v>11.58</v>
      </c>
      <c r="R61" s="69"/>
      <c r="S61" s="69">
        <v>12.53</v>
      </c>
      <c r="T61" s="69"/>
      <c r="U61" s="69">
        <v>11.54</v>
      </c>
      <c r="V61" s="69"/>
      <c r="W61" s="69">
        <v>23.68</v>
      </c>
      <c r="X61" s="69"/>
      <c r="Y61" s="69">
        <v>57.01</v>
      </c>
      <c r="Z61" s="69"/>
      <c r="AA61" s="69">
        <v>60.67</v>
      </c>
      <c r="AB61" s="69">
        <v>0</v>
      </c>
      <c r="AC61" s="185">
        <f t="shared" si="3"/>
        <v>302.71</v>
      </c>
      <c r="AD61" s="185">
        <f t="shared" si="4"/>
        <v>320.74</v>
      </c>
      <c r="AE61" s="211">
        <f t="shared" si="5"/>
        <v>611.091156</v>
      </c>
      <c r="AF61" s="14"/>
    </row>
    <row r="62" s="8" customFormat="1" ht="35" customHeight="1" spans="1:32">
      <c r="A62" s="64">
        <v>59</v>
      </c>
      <c r="B62" s="50" t="s">
        <v>153</v>
      </c>
      <c r="C62" s="65" t="s">
        <v>154</v>
      </c>
      <c r="D62" s="50">
        <v>1288.721056</v>
      </c>
      <c r="E62" s="69">
        <v>34.09</v>
      </c>
      <c r="F62" s="69"/>
      <c r="G62" s="69">
        <v>253.57</v>
      </c>
      <c r="H62" s="69">
        <v>300</v>
      </c>
      <c r="I62" s="69">
        <v>164.52</v>
      </c>
      <c r="J62" s="69">
        <v>0</v>
      </c>
      <c r="K62" s="69">
        <v>172.97</v>
      </c>
      <c r="L62" s="69">
        <v>325.15</v>
      </c>
      <c r="M62" s="69">
        <v>143.23</v>
      </c>
      <c r="N62" s="69"/>
      <c r="O62" s="69">
        <v>187.79</v>
      </c>
      <c r="P62" s="69">
        <v>331.02</v>
      </c>
      <c r="Q62" s="69">
        <v>324.54</v>
      </c>
      <c r="R62" s="69">
        <v>324.54</v>
      </c>
      <c r="S62" s="69">
        <v>374.17</v>
      </c>
      <c r="T62" s="69"/>
      <c r="U62" s="69">
        <v>428.81</v>
      </c>
      <c r="V62" s="69">
        <v>802.98</v>
      </c>
      <c r="W62" s="69">
        <v>205.71</v>
      </c>
      <c r="X62" s="69">
        <v>205.71</v>
      </c>
      <c r="Y62" s="69">
        <v>157.12</v>
      </c>
      <c r="Z62" s="69">
        <v>157.12</v>
      </c>
      <c r="AA62" s="69">
        <v>132.26</v>
      </c>
      <c r="AB62" s="69">
        <v>132.26</v>
      </c>
      <c r="AC62" s="185">
        <f t="shared" si="3"/>
        <v>2578.78</v>
      </c>
      <c r="AD62" s="185">
        <f t="shared" si="4"/>
        <v>2578.78</v>
      </c>
      <c r="AE62" s="211">
        <f t="shared" si="5"/>
        <v>1288.721056</v>
      </c>
      <c r="AF62" s="14"/>
    </row>
    <row r="63" s="14" customFormat="1" ht="35" customHeight="1" spans="1:31">
      <c r="A63" s="64">
        <v>60</v>
      </c>
      <c r="B63" s="50" t="s">
        <v>155</v>
      </c>
      <c r="C63" s="193" t="s">
        <v>334</v>
      </c>
      <c r="D63" s="50">
        <v>-156.508429999999</v>
      </c>
      <c r="E63" s="69">
        <v>150.43</v>
      </c>
      <c r="F63" s="69"/>
      <c r="G63" s="69">
        <v>300.38</v>
      </c>
      <c r="H63" s="69">
        <v>2000</v>
      </c>
      <c r="I63" s="69">
        <v>309</v>
      </c>
      <c r="J63" s="69">
        <v>0</v>
      </c>
      <c r="K63" s="69">
        <v>151.77</v>
      </c>
      <c r="L63" s="69"/>
      <c r="M63" s="69">
        <v>112.61</v>
      </c>
      <c r="N63" s="69"/>
      <c r="O63" s="69">
        <v>146.98</v>
      </c>
      <c r="P63" s="69"/>
      <c r="Q63" s="69">
        <v>227.17</v>
      </c>
      <c r="R63" s="69"/>
      <c r="S63" s="69">
        <v>214.77</v>
      </c>
      <c r="T63" s="69"/>
      <c r="U63" s="69">
        <v>182.31</v>
      </c>
      <c r="V63" s="69"/>
      <c r="W63" s="69">
        <v>121.62</v>
      </c>
      <c r="X63" s="69"/>
      <c r="Y63" s="69">
        <v>144.61</v>
      </c>
      <c r="Z63" s="69"/>
      <c r="AA63" s="69">
        <v>121.16</v>
      </c>
      <c r="AB63" s="69">
        <v>49.29</v>
      </c>
      <c r="AC63" s="185">
        <f t="shared" si="3"/>
        <v>2182.81</v>
      </c>
      <c r="AD63" s="185">
        <f t="shared" si="4"/>
        <v>2049.29</v>
      </c>
      <c r="AE63" s="211">
        <f t="shared" si="5"/>
        <v>-290.028429999999</v>
      </c>
    </row>
    <row r="64" s="8" customFormat="1" ht="35" customHeight="1" spans="1:32">
      <c r="A64" s="64">
        <v>61</v>
      </c>
      <c r="B64" s="50" t="s">
        <v>157</v>
      </c>
      <c r="C64" s="193" t="s">
        <v>158</v>
      </c>
      <c r="D64" s="50">
        <v>299.558996</v>
      </c>
      <c r="E64" s="69">
        <v>127.61</v>
      </c>
      <c r="F64" s="69">
        <v>150.21</v>
      </c>
      <c r="G64" s="69">
        <v>107.04</v>
      </c>
      <c r="H64" s="69">
        <v>500</v>
      </c>
      <c r="I64" s="69">
        <v>136.62</v>
      </c>
      <c r="J64" s="69">
        <v>0</v>
      </c>
      <c r="K64" s="69">
        <v>125.55</v>
      </c>
      <c r="L64" s="69"/>
      <c r="M64" s="69">
        <v>102.23</v>
      </c>
      <c r="N64" s="69"/>
      <c r="O64" s="69">
        <v>117.6</v>
      </c>
      <c r="P64" s="69">
        <v>466.48</v>
      </c>
      <c r="Q64" s="69">
        <v>89.97</v>
      </c>
      <c r="R64" s="69"/>
      <c r="S64" s="69">
        <v>123.36</v>
      </c>
      <c r="T64" s="69"/>
      <c r="U64" s="69">
        <v>84.58</v>
      </c>
      <c r="V64" s="69"/>
      <c r="W64" s="69">
        <v>98.03</v>
      </c>
      <c r="X64" s="69"/>
      <c r="Y64" s="69">
        <v>105.43</v>
      </c>
      <c r="Z64" s="69"/>
      <c r="AA64" s="69">
        <v>121.72</v>
      </c>
      <c r="AB64" s="69">
        <v>500</v>
      </c>
      <c r="AC64" s="185">
        <f t="shared" si="3"/>
        <v>1339.74</v>
      </c>
      <c r="AD64" s="185">
        <f t="shared" si="4"/>
        <v>1616.69</v>
      </c>
      <c r="AE64" s="211">
        <f t="shared" si="5"/>
        <v>576.508996</v>
      </c>
      <c r="AF64" s="14"/>
    </row>
    <row r="65" s="8" customFormat="1" ht="35" customHeight="1" spans="1:32">
      <c r="A65" s="64">
        <v>62</v>
      </c>
      <c r="B65" s="50" t="s">
        <v>159</v>
      </c>
      <c r="C65" s="65" t="s">
        <v>160</v>
      </c>
      <c r="D65" s="50">
        <v>401.429391000001</v>
      </c>
      <c r="E65" s="69">
        <v>164.9</v>
      </c>
      <c r="F65" s="69">
        <v>165</v>
      </c>
      <c r="G65" s="69">
        <v>279.76</v>
      </c>
      <c r="H65" s="69">
        <v>280</v>
      </c>
      <c r="I65" s="69">
        <v>297.29</v>
      </c>
      <c r="J65" s="69">
        <v>300</v>
      </c>
      <c r="K65" s="69">
        <v>184.13</v>
      </c>
      <c r="L65" s="69">
        <v>182</v>
      </c>
      <c r="M65" s="69">
        <v>155.25</v>
      </c>
      <c r="N65" s="69">
        <f>156</f>
        <v>156</v>
      </c>
      <c r="O65" s="69">
        <v>154.6</v>
      </c>
      <c r="P65" s="69">
        <v>153.48</v>
      </c>
      <c r="Q65" s="69">
        <v>263.84</v>
      </c>
      <c r="R65" s="69">
        <v>264</v>
      </c>
      <c r="S65" s="69">
        <v>253.62</v>
      </c>
      <c r="T65" s="69">
        <v>253</v>
      </c>
      <c r="U65" s="69">
        <v>405.72</v>
      </c>
      <c r="V65" s="69">
        <v>406</v>
      </c>
      <c r="W65" s="69">
        <v>186.22</v>
      </c>
      <c r="X65" s="69">
        <v>186</v>
      </c>
      <c r="Y65" s="69">
        <v>150.05</v>
      </c>
      <c r="Z65" s="69">
        <v>151</v>
      </c>
      <c r="AA65" s="69">
        <v>125.6</v>
      </c>
      <c r="AB65" s="69">
        <v>125</v>
      </c>
      <c r="AC65" s="185">
        <f t="shared" si="3"/>
        <v>2620.98</v>
      </c>
      <c r="AD65" s="185">
        <f t="shared" si="4"/>
        <v>2621.48</v>
      </c>
      <c r="AE65" s="211">
        <f t="shared" si="5"/>
        <v>401.929391000001</v>
      </c>
      <c r="AF65" s="14"/>
    </row>
    <row r="66" s="8" customFormat="1" ht="35" customHeight="1" spans="1:32">
      <c r="A66" s="64">
        <v>63</v>
      </c>
      <c r="B66" s="50" t="s">
        <v>161</v>
      </c>
      <c r="C66" s="65" t="s">
        <v>162</v>
      </c>
      <c r="D66" s="50">
        <v>1070.722181</v>
      </c>
      <c r="E66" s="69">
        <v>259.52</v>
      </c>
      <c r="F66" s="69"/>
      <c r="G66" s="69">
        <v>294.25</v>
      </c>
      <c r="H66" s="69">
        <v>259.52</v>
      </c>
      <c r="I66" s="69">
        <v>332.43</v>
      </c>
      <c r="J66" s="69">
        <v>294.25</v>
      </c>
      <c r="K66" s="69">
        <v>189.15</v>
      </c>
      <c r="L66" s="69">
        <v>521.58</v>
      </c>
      <c r="M66" s="69">
        <v>155.25</v>
      </c>
      <c r="N66" s="112"/>
      <c r="O66" s="69">
        <v>150.24</v>
      </c>
      <c r="P66" s="69">
        <v>305.49</v>
      </c>
      <c r="Q66" s="69">
        <v>217.05</v>
      </c>
      <c r="R66" s="69">
        <v>217.05</v>
      </c>
      <c r="S66" s="69">
        <v>248.42</v>
      </c>
      <c r="T66" s="69"/>
      <c r="U66" s="69">
        <v>307.44</v>
      </c>
      <c r="V66" s="69">
        <v>555.86</v>
      </c>
      <c r="W66" s="69">
        <v>205.19</v>
      </c>
      <c r="X66" s="69">
        <v>205.19</v>
      </c>
      <c r="Y66" s="69">
        <v>191.94</v>
      </c>
      <c r="Z66" s="69">
        <v>191.94</v>
      </c>
      <c r="AA66" s="69">
        <v>166.11</v>
      </c>
      <c r="AB66" s="69">
        <v>166.11</v>
      </c>
      <c r="AC66" s="185">
        <f t="shared" si="3"/>
        <v>2716.99</v>
      </c>
      <c r="AD66" s="185">
        <f t="shared" si="4"/>
        <v>2716.99</v>
      </c>
      <c r="AE66" s="211">
        <f t="shared" si="5"/>
        <v>1070.722181</v>
      </c>
      <c r="AF66" s="14"/>
    </row>
    <row r="67" s="8" customFormat="1" ht="35" customHeight="1" spans="1:32">
      <c r="A67" s="64">
        <v>64</v>
      </c>
      <c r="B67" s="50" t="s">
        <v>163</v>
      </c>
      <c r="C67" s="65" t="s">
        <v>164</v>
      </c>
      <c r="D67" s="50">
        <v>-318.979944</v>
      </c>
      <c r="E67" s="69">
        <v>263.42</v>
      </c>
      <c r="F67" s="69"/>
      <c r="G67" s="69">
        <v>390.64</v>
      </c>
      <c r="H67" s="69">
        <v>2000</v>
      </c>
      <c r="I67" s="69">
        <v>386.55</v>
      </c>
      <c r="J67" s="112"/>
      <c r="K67" s="69">
        <v>198.08</v>
      </c>
      <c r="L67" s="112"/>
      <c r="M67" s="69">
        <v>201.72</v>
      </c>
      <c r="N67" s="112"/>
      <c r="O67" s="69">
        <v>225.87</v>
      </c>
      <c r="P67" s="112"/>
      <c r="Q67" s="69">
        <v>202.51</v>
      </c>
      <c r="R67" s="112"/>
      <c r="S67" s="69">
        <v>189.64</v>
      </c>
      <c r="T67" s="69"/>
      <c r="U67" s="69">
        <v>194.67</v>
      </c>
      <c r="V67" s="69">
        <v>253.1</v>
      </c>
      <c r="W67" s="69">
        <v>130.33</v>
      </c>
      <c r="X67" s="69">
        <v>130.33</v>
      </c>
      <c r="Y67" s="69">
        <v>141.34</v>
      </c>
      <c r="Z67" s="69">
        <v>141.34</v>
      </c>
      <c r="AA67" s="69">
        <v>224.91</v>
      </c>
      <c r="AB67" s="69">
        <v>224.91</v>
      </c>
      <c r="AC67" s="185">
        <f t="shared" si="3"/>
        <v>2749.68</v>
      </c>
      <c r="AD67" s="185">
        <f t="shared" si="4"/>
        <v>2749.68</v>
      </c>
      <c r="AE67" s="211">
        <f t="shared" si="5"/>
        <v>-318.979944</v>
      </c>
      <c r="AF67" s="14"/>
    </row>
    <row r="68" s="8" customFormat="1" ht="35" customHeight="1" spans="1:32">
      <c r="A68" s="64">
        <v>65</v>
      </c>
      <c r="B68" s="112"/>
      <c r="C68" s="112" t="s">
        <v>165</v>
      </c>
      <c r="D68" s="50">
        <v>126.4663</v>
      </c>
      <c r="E68" s="69">
        <f>32.84+0.21</f>
        <v>33.05</v>
      </c>
      <c r="F68" s="69"/>
      <c r="G68" s="69">
        <v>30.64</v>
      </c>
      <c r="H68" s="112"/>
      <c r="I68" s="69">
        <v>29.57</v>
      </c>
      <c r="J68" s="69">
        <v>63.69</v>
      </c>
      <c r="K68" s="69">
        <v>52.44</v>
      </c>
      <c r="L68" s="69">
        <v>82.01</v>
      </c>
      <c r="M68" s="69">
        <v>42.09</v>
      </c>
      <c r="N68" s="112"/>
      <c r="O68" s="69">
        <f>52.78-0.13</f>
        <v>52.65</v>
      </c>
      <c r="P68" s="69">
        <v>228.26</v>
      </c>
      <c r="Q68" s="69">
        <v>74.29</v>
      </c>
      <c r="R68" s="69">
        <v>74.29</v>
      </c>
      <c r="S68" s="69">
        <v>89.12</v>
      </c>
      <c r="T68" s="112"/>
      <c r="U68" s="69">
        <v>87.54</v>
      </c>
      <c r="V68" s="69">
        <v>176.66</v>
      </c>
      <c r="W68" s="69">
        <v>56.95</v>
      </c>
      <c r="X68" s="69">
        <v>200</v>
      </c>
      <c r="Y68" s="69">
        <v>48.42</v>
      </c>
      <c r="Z68" s="112"/>
      <c r="AA68" s="69">
        <v>49.94</v>
      </c>
      <c r="AB68" s="221"/>
      <c r="AC68" s="185">
        <f t="shared" si="3"/>
        <v>646.7</v>
      </c>
      <c r="AD68" s="185">
        <f t="shared" si="4"/>
        <v>824.91</v>
      </c>
      <c r="AE68" s="211">
        <f t="shared" si="5"/>
        <v>304.6763</v>
      </c>
      <c r="AF68" s="14"/>
    </row>
    <row r="69" s="8" customFormat="1" ht="35" customHeight="1" spans="1:32">
      <c r="A69" s="64">
        <v>66</v>
      </c>
      <c r="B69" s="112"/>
      <c r="C69" s="112" t="s">
        <v>315</v>
      </c>
      <c r="D69" s="50">
        <v>-552.28</v>
      </c>
      <c r="E69" s="69">
        <f>57.8</f>
        <v>57.8</v>
      </c>
      <c r="F69" s="69">
        <v>540.6</v>
      </c>
      <c r="G69" s="69">
        <v>62.05</v>
      </c>
      <c r="H69" s="112"/>
      <c r="I69" s="69">
        <v>30.6</v>
      </c>
      <c r="J69" s="112"/>
      <c r="K69" s="69">
        <v>47.6</v>
      </c>
      <c r="L69" s="112"/>
      <c r="M69" s="69">
        <v>45.9</v>
      </c>
      <c r="N69" s="112"/>
      <c r="O69" s="69">
        <v>52.7</v>
      </c>
      <c r="P69" s="112"/>
      <c r="Q69" s="69">
        <v>49.3</v>
      </c>
      <c r="R69" s="112"/>
      <c r="S69" s="69">
        <v>46.75</v>
      </c>
      <c r="T69" s="112"/>
      <c r="U69" s="69">
        <v>53.55</v>
      </c>
      <c r="V69" s="112"/>
      <c r="W69" s="69">
        <v>48.45</v>
      </c>
      <c r="X69" s="112">
        <v>1465.82</v>
      </c>
      <c r="Y69" s="69">
        <v>50.15</v>
      </c>
      <c r="Z69" s="112"/>
      <c r="AA69" s="69">
        <v>49.3</v>
      </c>
      <c r="AB69" s="221"/>
      <c r="AC69" s="185">
        <f t="shared" ref="AC69:AC100" si="6">E69+G69+I69+K69+M69+O69+Q69+S69+U69+W69+Y69+AA69</f>
        <v>594.15</v>
      </c>
      <c r="AD69" s="185">
        <f t="shared" ref="AD69:AD100" si="7">F69+H69+J69+L69+N69+P69+R69+T69+V69+X69+Z69+AB69</f>
        <v>2006.42</v>
      </c>
      <c r="AE69" s="211">
        <f t="shared" ref="AE69:AE100" si="8">D69+AD69-AC69</f>
        <v>859.99</v>
      </c>
      <c r="AF69" s="14"/>
    </row>
    <row r="70" s="8" customFormat="1" ht="35" customHeight="1" spans="1:32">
      <c r="A70" s="64">
        <v>67</v>
      </c>
      <c r="B70" s="50" t="s">
        <v>167</v>
      </c>
      <c r="C70" s="65" t="s">
        <v>168</v>
      </c>
      <c r="D70" s="50">
        <v>150.260772</v>
      </c>
      <c r="E70" s="69">
        <v>178.26</v>
      </c>
      <c r="F70" s="69"/>
      <c r="G70" s="69">
        <v>226.69</v>
      </c>
      <c r="H70" s="69">
        <v>178.26</v>
      </c>
      <c r="I70" s="69">
        <v>239.31</v>
      </c>
      <c r="J70" s="69">
        <v>226.69</v>
      </c>
      <c r="K70" s="69">
        <v>139.11</v>
      </c>
      <c r="L70" s="69">
        <v>800</v>
      </c>
      <c r="M70" s="69">
        <v>158.45</v>
      </c>
      <c r="N70" s="69"/>
      <c r="O70" s="69">
        <v>164.19</v>
      </c>
      <c r="P70" s="69">
        <v>16.38</v>
      </c>
      <c r="Q70" s="69">
        <v>216.23</v>
      </c>
      <c r="R70" s="69">
        <v>100.91</v>
      </c>
      <c r="S70" s="69">
        <v>314.03</v>
      </c>
      <c r="T70" s="69"/>
      <c r="U70" s="69">
        <v>326.31</v>
      </c>
      <c r="V70" s="220">
        <v>640.34</v>
      </c>
      <c r="W70" s="69">
        <v>228.62</v>
      </c>
      <c r="X70" s="220">
        <v>228.62</v>
      </c>
      <c r="Y70" s="69">
        <v>179.69</v>
      </c>
      <c r="Z70" s="220">
        <v>179.69</v>
      </c>
      <c r="AA70" s="69">
        <v>163.8</v>
      </c>
      <c r="AB70" s="220">
        <v>163.8</v>
      </c>
      <c r="AC70" s="185">
        <f t="shared" si="6"/>
        <v>2534.69</v>
      </c>
      <c r="AD70" s="185">
        <f t="shared" si="7"/>
        <v>2534.69</v>
      </c>
      <c r="AE70" s="211">
        <f t="shared" si="8"/>
        <v>150.260772000001</v>
      </c>
      <c r="AF70" s="14"/>
    </row>
    <row r="71" s="8" customFormat="1" ht="35" customHeight="1" spans="1:32">
      <c r="A71" s="64">
        <v>68</v>
      </c>
      <c r="B71" s="50" t="s">
        <v>169</v>
      </c>
      <c r="C71" s="65" t="s">
        <v>170</v>
      </c>
      <c r="D71" s="50">
        <v>331.742253</v>
      </c>
      <c r="E71" s="69">
        <v>44.11</v>
      </c>
      <c r="F71" s="69"/>
      <c r="G71" s="69">
        <v>46.17</v>
      </c>
      <c r="H71" s="69">
        <v>0</v>
      </c>
      <c r="I71" s="69">
        <v>54.66</v>
      </c>
      <c r="J71" s="69">
        <v>0</v>
      </c>
      <c r="K71" s="69">
        <v>45.39</v>
      </c>
      <c r="L71" s="69"/>
      <c r="M71" s="69">
        <v>50.21</v>
      </c>
      <c r="N71" s="69"/>
      <c r="O71" s="69">
        <v>66.26</v>
      </c>
      <c r="P71" s="69"/>
      <c r="Q71" s="69">
        <v>64.49</v>
      </c>
      <c r="R71" s="69"/>
      <c r="S71" s="69">
        <v>61.52</v>
      </c>
      <c r="T71" s="69"/>
      <c r="U71" s="69">
        <v>114.19</v>
      </c>
      <c r="V71" s="69"/>
      <c r="W71" s="69">
        <v>47.61</v>
      </c>
      <c r="X71" s="69">
        <v>484.78</v>
      </c>
      <c r="Y71" s="69">
        <v>52.37</v>
      </c>
      <c r="Z71" s="69"/>
      <c r="AA71" s="69">
        <v>52.24</v>
      </c>
      <c r="AB71" s="69"/>
      <c r="AC71" s="185">
        <f t="shared" si="6"/>
        <v>699.22</v>
      </c>
      <c r="AD71" s="185">
        <f t="shared" si="7"/>
        <v>484.78</v>
      </c>
      <c r="AE71" s="211">
        <f t="shared" si="8"/>
        <v>117.302253</v>
      </c>
      <c r="AF71" s="14"/>
    </row>
    <row r="72" s="8" customFormat="1" ht="35" customHeight="1" spans="1:32">
      <c r="A72" s="64">
        <v>69</v>
      </c>
      <c r="B72" s="50" t="s">
        <v>171</v>
      </c>
      <c r="C72" s="65" t="s">
        <v>172</v>
      </c>
      <c r="D72" s="50">
        <v>115.167418</v>
      </c>
      <c r="E72" s="69">
        <f>265.65</f>
        <v>265.65</v>
      </c>
      <c r="F72" s="69"/>
      <c r="G72" s="69">
        <v>425.04</v>
      </c>
      <c r="H72" s="69">
        <v>2000</v>
      </c>
      <c r="I72" s="69">
        <v>473.61</v>
      </c>
      <c r="J72" s="69">
        <v>0</v>
      </c>
      <c r="K72" s="69">
        <v>148.59</v>
      </c>
      <c r="L72" s="69"/>
      <c r="M72" s="69">
        <v>158.45</v>
      </c>
      <c r="N72" s="69"/>
      <c r="O72" s="69">
        <v>142.97</v>
      </c>
      <c r="P72" s="69"/>
      <c r="Q72" s="69">
        <v>201.69</v>
      </c>
      <c r="R72" s="69"/>
      <c r="S72" s="69">
        <v>396.87</v>
      </c>
      <c r="T72" s="69"/>
      <c r="U72" s="69">
        <v>502.99</v>
      </c>
      <c r="V72" s="220">
        <v>831.18</v>
      </c>
      <c r="W72" s="69">
        <v>168.11</v>
      </c>
      <c r="X72" s="220">
        <v>168.11</v>
      </c>
      <c r="Y72" s="69">
        <v>124.19</v>
      </c>
      <c r="Z72" s="220">
        <v>124.19</v>
      </c>
      <c r="AA72" s="69">
        <v>121.62</v>
      </c>
      <c r="AB72" s="220">
        <v>121.62</v>
      </c>
      <c r="AC72" s="185">
        <f t="shared" si="6"/>
        <v>3129.78</v>
      </c>
      <c r="AD72" s="185">
        <f t="shared" si="7"/>
        <v>3245.1</v>
      </c>
      <c r="AE72" s="211">
        <f t="shared" si="8"/>
        <v>230.487418</v>
      </c>
      <c r="AF72" s="14"/>
    </row>
    <row r="73" s="8" customFormat="1" ht="35" customHeight="1" spans="1:32">
      <c r="A73" s="64">
        <v>70</v>
      </c>
      <c r="B73" s="50" t="s">
        <v>173</v>
      </c>
      <c r="C73" s="65" t="s">
        <v>174</v>
      </c>
      <c r="D73" s="50">
        <v>109.518872</v>
      </c>
      <c r="E73" s="69">
        <v>247.28</v>
      </c>
      <c r="F73" s="69">
        <v>186</v>
      </c>
      <c r="G73" s="69">
        <v>307.48</v>
      </c>
      <c r="H73" s="69">
        <v>310</v>
      </c>
      <c r="I73" s="69">
        <v>397.74</v>
      </c>
      <c r="J73" s="69">
        <v>400</v>
      </c>
      <c r="K73" s="69">
        <v>229.48</v>
      </c>
      <c r="L73" s="69">
        <v>300</v>
      </c>
      <c r="M73" s="69">
        <v>146.97</v>
      </c>
      <c r="N73" s="69"/>
      <c r="O73" s="69">
        <v>149.5</v>
      </c>
      <c r="P73" s="69">
        <v>284.68</v>
      </c>
      <c r="Q73" s="69">
        <v>175.41</v>
      </c>
      <c r="R73" s="69"/>
      <c r="S73" s="69">
        <v>132.36</v>
      </c>
      <c r="T73" s="69">
        <v>250</v>
      </c>
      <c r="U73" s="69">
        <v>231.26</v>
      </c>
      <c r="V73" s="69">
        <v>300</v>
      </c>
      <c r="W73" s="69">
        <v>168.63</v>
      </c>
      <c r="X73" s="69">
        <v>200</v>
      </c>
      <c r="Y73" s="69">
        <v>153.03</v>
      </c>
      <c r="Z73" s="69"/>
      <c r="AA73" s="69">
        <v>144.37</v>
      </c>
      <c r="AB73" s="69">
        <f>100+100</f>
        <v>200</v>
      </c>
      <c r="AC73" s="185">
        <f t="shared" si="6"/>
        <v>2483.51</v>
      </c>
      <c r="AD73" s="185">
        <f t="shared" si="7"/>
        <v>2430.68</v>
      </c>
      <c r="AE73" s="211">
        <f t="shared" si="8"/>
        <v>56.6888720000002</v>
      </c>
      <c r="AF73" s="14"/>
    </row>
    <row r="74" s="8" customFormat="1" ht="35" customHeight="1" spans="1:32">
      <c r="A74" s="64">
        <v>71</v>
      </c>
      <c r="B74" s="50" t="s">
        <v>175</v>
      </c>
      <c r="C74" s="65" t="s">
        <v>176</v>
      </c>
      <c r="D74" s="50">
        <v>463.484872</v>
      </c>
      <c r="E74" s="69">
        <v>211.1</v>
      </c>
      <c r="F74" s="69"/>
      <c r="G74" s="69">
        <v>218.89</v>
      </c>
      <c r="H74" s="69">
        <v>211.1</v>
      </c>
      <c r="I74" s="69">
        <v>240.42</v>
      </c>
      <c r="J74" s="69">
        <v>218.89</v>
      </c>
      <c r="K74" s="69">
        <v>176.48</v>
      </c>
      <c r="L74" s="69">
        <v>416.9</v>
      </c>
      <c r="M74" s="69">
        <v>188.51</v>
      </c>
      <c r="N74" s="69"/>
      <c r="O74" s="69">
        <v>184.32</v>
      </c>
      <c r="P74" s="69">
        <v>372.83</v>
      </c>
      <c r="Q74" s="69">
        <v>175.14</v>
      </c>
      <c r="R74" s="69">
        <v>175.14</v>
      </c>
      <c r="S74" s="69">
        <v>188.35</v>
      </c>
      <c r="T74" s="69"/>
      <c r="U74" s="69">
        <v>136.21</v>
      </c>
      <c r="V74" s="69">
        <v>324.56</v>
      </c>
      <c r="W74" s="69">
        <v>158.37</v>
      </c>
      <c r="X74" s="220">
        <v>158.37</v>
      </c>
      <c r="Y74" s="69">
        <v>151.94</v>
      </c>
      <c r="Z74" s="220">
        <v>151.94</v>
      </c>
      <c r="AA74" s="69">
        <v>134.94</v>
      </c>
      <c r="AB74" s="220">
        <v>134.94</v>
      </c>
      <c r="AC74" s="185">
        <f t="shared" si="6"/>
        <v>2164.67</v>
      </c>
      <c r="AD74" s="185">
        <f t="shared" si="7"/>
        <v>2164.67</v>
      </c>
      <c r="AE74" s="211">
        <f t="shared" si="8"/>
        <v>463.484872</v>
      </c>
      <c r="AF74" s="14"/>
    </row>
    <row r="75" s="8" customFormat="1" ht="35" customHeight="1" spans="1:32">
      <c r="A75" s="64">
        <v>72</v>
      </c>
      <c r="B75" s="50" t="s">
        <v>177</v>
      </c>
      <c r="C75" s="65" t="s">
        <v>178</v>
      </c>
      <c r="D75" s="50">
        <v>849.335973</v>
      </c>
      <c r="E75" s="69">
        <v>182.71</v>
      </c>
      <c r="F75" s="69"/>
      <c r="G75" s="69">
        <v>183.79</v>
      </c>
      <c r="H75" s="200"/>
      <c r="I75" s="69">
        <v>219.23</v>
      </c>
      <c r="J75" s="69">
        <v>0</v>
      </c>
      <c r="K75" s="69">
        <v>161.42</v>
      </c>
      <c r="L75" s="69">
        <v>1000</v>
      </c>
      <c r="M75" s="69">
        <v>113.07</v>
      </c>
      <c r="N75" s="69"/>
      <c r="O75" s="69">
        <v>141.34</v>
      </c>
      <c r="P75" s="69"/>
      <c r="Q75" s="69">
        <v>218.13</v>
      </c>
      <c r="R75" s="69"/>
      <c r="S75" s="69">
        <v>220.34</v>
      </c>
      <c r="T75" s="69"/>
      <c r="U75" s="69">
        <v>282.81</v>
      </c>
      <c r="V75" s="69">
        <v>884.68</v>
      </c>
      <c r="W75" s="69">
        <v>189.65</v>
      </c>
      <c r="X75" s="69"/>
      <c r="Y75" s="69">
        <v>112.76</v>
      </c>
      <c r="Z75" s="69"/>
      <c r="AA75" s="69">
        <v>114.96</v>
      </c>
      <c r="AB75" s="69"/>
      <c r="AC75" s="185">
        <f t="shared" si="6"/>
        <v>2140.21</v>
      </c>
      <c r="AD75" s="185">
        <f t="shared" si="7"/>
        <v>1884.68</v>
      </c>
      <c r="AE75" s="211">
        <f t="shared" si="8"/>
        <v>593.805973</v>
      </c>
      <c r="AF75" s="14"/>
    </row>
    <row r="76" s="8" customFormat="1" ht="35" customHeight="1" spans="1:32">
      <c r="A76" s="64">
        <v>73</v>
      </c>
      <c r="B76" s="50" t="s">
        <v>179</v>
      </c>
      <c r="C76" s="65" t="s">
        <v>180</v>
      </c>
      <c r="D76" s="50">
        <v>567.750953</v>
      </c>
      <c r="E76" s="69">
        <v>155.99</v>
      </c>
      <c r="F76" s="69"/>
      <c r="G76" s="69">
        <v>191.03</v>
      </c>
      <c r="H76" s="69">
        <v>1000</v>
      </c>
      <c r="I76" s="69">
        <v>219.78</v>
      </c>
      <c r="J76" s="69">
        <v>0</v>
      </c>
      <c r="K76" s="69">
        <v>129.07</v>
      </c>
      <c r="L76" s="69"/>
      <c r="M76" s="69">
        <v>130.57</v>
      </c>
      <c r="N76" s="69"/>
      <c r="O76" s="69">
        <v>135.9</v>
      </c>
      <c r="P76" s="69"/>
      <c r="Q76" s="69">
        <v>159.33</v>
      </c>
      <c r="R76" s="69">
        <v>384.68</v>
      </c>
      <c r="S76" s="69">
        <v>159.21</v>
      </c>
      <c r="T76" s="69"/>
      <c r="U76" s="69">
        <v>228.04</v>
      </c>
      <c r="V76" s="69"/>
      <c r="W76" s="69">
        <v>196.31</v>
      </c>
      <c r="X76" s="69">
        <v>200</v>
      </c>
      <c r="Y76" s="69">
        <v>156.29</v>
      </c>
      <c r="Z76" s="69">
        <v>500</v>
      </c>
      <c r="AA76" s="69">
        <v>170.46</v>
      </c>
      <c r="AB76" s="69"/>
      <c r="AC76" s="185">
        <f t="shared" si="6"/>
        <v>2031.98</v>
      </c>
      <c r="AD76" s="185">
        <f t="shared" si="7"/>
        <v>2084.68</v>
      </c>
      <c r="AE76" s="211">
        <f t="shared" si="8"/>
        <v>620.450953</v>
      </c>
      <c r="AF76" s="14"/>
    </row>
    <row r="77" s="8" customFormat="1" ht="35" customHeight="1" spans="1:32">
      <c r="A77" s="64">
        <v>74</v>
      </c>
      <c r="B77" s="50" t="s">
        <v>181</v>
      </c>
      <c r="C77" s="65" t="s">
        <v>182</v>
      </c>
      <c r="D77" s="50">
        <v>298.88</v>
      </c>
      <c r="E77" s="69"/>
      <c r="F77" s="69"/>
      <c r="G77" s="69"/>
      <c r="H77" s="69">
        <v>0</v>
      </c>
      <c r="I77" s="69"/>
      <c r="J77" s="69">
        <v>0</v>
      </c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185">
        <f t="shared" si="6"/>
        <v>0</v>
      </c>
      <c r="AD77" s="185">
        <f t="shared" si="7"/>
        <v>0</v>
      </c>
      <c r="AE77" s="211">
        <f t="shared" si="8"/>
        <v>298.88</v>
      </c>
      <c r="AF77" s="14"/>
    </row>
    <row r="78" s="8" customFormat="1" ht="35" customHeight="1" spans="1:32">
      <c r="A78" s="64">
        <v>75</v>
      </c>
      <c r="B78" s="50" t="s">
        <v>183</v>
      </c>
      <c r="C78" s="65" t="s">
        <v>184</v>
      </c>
      <c r="D78" s="50">
        <v>14.0468720000003</v>
      </c>
      <c r="E78" s="69">
        <v>398.12</v>
      </c>
      <c r="F78" s="69"/>
      <c r="G78" s="69">
        <v>398.3</v>
      </c>
      <c r="H78" s="69">
        <v>800</v>
      </c>
      <c r="I78" s="69">
        <v>439.02</v>
      </c>
      <c r="J78" s="69">
        <v>0</v>
      </c>
      <c r="K78" s="69">
        <v>333.24</v>
      </c>
      <c r="L78" s="69">
        <v>1000</v>
      </c>
      <c r="M78" s="69">
        <v>322.99</v>
      </c>
      <c r="N78" s="69">
        <v>500</v>
      </c>
      <c r="O78" s="69">
        <v>264.85</v>
      </c>
      <c r="P78" s="69"/>
      <c r="Q78" s="69">
        <v>368.6</v>
      </c>
      <c r="R78" s="69"/>
      <c r="S78" s="69">
        <v>427.15</v>
      </c>
      <c r="T78" s="69">
        <v>884.68</v>
      </c>
      <c r="U78" s="69">
        <v>420.29</v>
      </c>
      <c r="V78" s="69">
        <v>1000</v>
      </c>
      <c r="W78" s="69">
        <v>245.54</v>
      </c>
      <c r="X78" s="69"/>
      <c r="Y78" s="69">
        <v>283.61</v>
      </c>
      <c r="Z78" s="69"/>
      <c r="AA78" s="69">
        <v>296.99</v>
      </c>
      <c r="AB78" s="69"/>
      <c r="AC78" s="185">
        <f t="shared" si="6"/>
        <v>4198.7</v>
      </c>
      <c r="AD78" s="185">
        <f t="shared" si="7"/>
        <v>4184.68</v>
      </c>
      <c r="AE78" s="211">
        <f t="shared" si="8"/>
        <v>0.0268720000012763</v>
      </c>
      <c r="AF78" s="14"/>
    </row>
    <row r="79" s="8" customFormat="1" ht="35" customHeight="1" spans="1:32">
      <c r="A79" s="64">
        <v>76</v>
      </c>
      <c r="B79" s="50" t="s">
        <v>185</v>
      </c>
      <c r="C79" s="65" t="s">
        <v>186</v>
      </c>
      <c r="D79" s="50">
        <v>-21.806292</v>
      </c>
      <c r="E79" s="69">
        <v>39.1</v>
      </c>
      <c r="F79" s="69"/>
      <c r="G79" s="69">
        <v>45.06</v>
      </c>
      <c r="H79" s="69">
        <v>1000</v>
      </c>
      <c r="I79" s="69">
        <v>29.55</v>
      </c>
      <c r="J79" s="69">
        <v>0</v>
      </c>
      <c r="K79" s="69">
        <v>18.61</v>
      </c>
      <c r="L79" s="69"/>
      <c r="M79" s="69">
        <v>27.79</v>
      </c>
      <c r="N79" s="69"/>
      <c r="O79" s="69">
        <v>49.39</v>
      </c>
      <c r="P79" s="69"/>
      <c r="Q79" s="69">
        <v>62.6</v>
      </c>
      <c r="R79" s="69"/>
      <c r="S79" s="69">
        <v>79.23</v>
      </c>
      <c r="T79" s="69"/>
      <c r="U79" s="69">
        <v>56.73</v>
      </c>
      <c r="V79" s="69"/>
      <c r="W79" s="69">
        <v>33.26</v>
      </c>
      <c r="X79" s="69"/>
      <c r="Y79" s="69">
        <v>34.96</v>
      </c>
      <c r="Z79" s="69"/>
      <c r="AA79" s="69">
        <v>34.49</v>
      </c>
      <c r="AB79" s="69"/>
      <c r="AC79" s="185">
        <f t="shared" si="6"/>
        <v>510.77</v>
      </c>
      <c r="AD79" s="185">
        <f t="shared" si="7"/>
        <v>1000</v>
      </c>
      <c r="AE79" s="211">
        <f t="shared" si="8"/>
        <v>467.423708</v>
      </c>
      <c r="AF79" s="14"/>
    </row>
    <row r="80" s="14" customFormat="1" ht="35" customHeight="1" spans="1:31">
      <c r="A80" s="64">
        <v>77</v>
      </c>
      <c r="B80" s="50" t="s">
        <v>187</v>
      </c>
      <c r="C80" s="196" t="s">
        <v>188</v>
      </c>
      <c r="D80" s="50">
        <v>218.550172000001</v>
      </c>
      <c r="E80" s="69">
        <v>284.01</v>
      </c>
      <c r="F80" s="69"/>
      <c r="G80" s="69">
        <v>354.84</v>
      </c>
      <c r="H80" s="69">
        <v>506.02</v>
      </c>
      <c r="I80" s="69">
        <v>430.1</v>
      </c>
      <c r="J80" s="69">
        <v>1354.84</v>
      </c>
      <c r="K80" s="69">
        <v>255.14</v>
      </c>
      <c r="L80" s="69"/>
      <c r="M80" s="69">
        <v>197.8</v>
      </c>
      <c r="N80" s="69"/>
      <c r="O80" s="69">
        <v>220.78</v>
      </c>
      <c r="P80" s="69">
        <v>603.82</v>
      </c>
      <c r="Q80" s="69">
        <v>257.33</v>
      </c>
      <c r="R80" s="69"/>
      <c r="S80" s="69">
        <v>332.89</v>
      </c>
      <c r="T80" s="69">
        <v>500</v>
      </c>
      <c r="U80" s="69">
        <v>316.11</v>
      </c>
      <c r="V80" s="69"/>
      <c r="W80" s="69">
        <v>116.32</v>
      </c>
      <c r="X80" s="220">
        <v>72.65</v>
      </c>
      <c r="Y80" s="69">
        <v>131.81</v>
      </c>
      <c r="Z80" s="220">
        <v>131.81</v>
      </c>
      <c r="AA80" s="69">
        <v>151.03</v>
      </c>
      <c r="AB80" s="220">
        <v>551.03</v>
      </c>
      <c r="AC80" s="185">
        <f t="shared" si="6"/>
        <v>3048.16</v>
      </c>
      <c r="AD80" s="185">
        <f t="shared" si="7"/>
        <v>3720.17</v>
      </c>
      <c r="AE80" s="211">
        <f t="shared" si="8"/>
        <v>890.560172000001</v>
      </c>
    </row>
    <row r="81" s="8" customFormat="1" ht="35" customHeight="1" spans="1:32">
      <c r="A81" s="64">
        <v>78</v>
      </c>
      <c r="B81" s="50" t="s">
        <v>189</v>
      </c>
      <c r="C81" s="65" t="s">
        <v>190</v>
      </c>
      <c r="D81" s="50">
        <v>-11.4531419999985</v>
      </c>
      <c r="E81" s="69">
        <v>419.83</v>
      </c>
      <c r="F81" s="69"/>
      <c r="G81" s="69">
        <v>388.27</v>
      </c>
      <c r="H81" s="69">
        <v>810</v>
      </c>
      <c r="I81" s="69">
        <v>459.11</v>
      </c>
      <c r="J81" s="69">
        <v>0</v>
      </c>
      <c r="K81" s="69">
        <v>304.24</v>
      </c>
      <c r="L81" s="69">
        <v>800</v>
      </c>
      <c r="M81" s="69">
        <v>255.75</v>
      </c>
      <c r="N81" s="69"/>
      <c r="O81" s="69">
        <v>266.48</v>
      </c>
      <c r="P81" s="69">
        <v>384.68</v>
      </c>
      <c r="Q81" s="69">
        <v>435.62</v>
      </c>
      <c r="R81" s="69"/>
      <c r="S81" s="69">
        <v>578.55</v>
      </c>
      <c r="T81" s="69"/>
      <c r="U81" s="69">
        <v>439.63</v>
      </c>
      <c r="V81" s="69">
        <v>1200</v>
      </c>
      <c r="W81" s="69">
        <v>273.74</v>
      </c>
      <c r="X81" s="69"/>
      <c r="Y81" s="69">
        <v>236.82</v>
      </c>
      <c r="Z81" s="69"/>
      <c r="AA81" s="69">
        <v>262.58</v>
      </c>
      <c r="AB81" s="69">
        <f>862.96+262.58</f>
        <v>1125.54</v>
      </c>
      <c r="AC81" s="185">
        <f t="shared" si="6"/>
        <v>4320.62</v>
      </c>
      <c r="AD81" s="185">
        <f t="shared" si="7"/>
        <v>4320.22</v>
      </c>
      <c r="AE81" s="211">
        <f t="shared" si="8"/>
        <v>-11.853141999999</v>
      </c>
      <c r="AF81" s="14"/>
    </row>
    <row r="82" s="8" customFormat="1" ht="35" customHeight="1" spans="1:32">
      <c r="A82" s="64">
        <v>79</v>
      </c>
      <c r="B82" s="50" t="s">
        <v>191</v>
      </c>
      <c r="C82" s="65" t="s">
        <v>192</v>
      </c>
      <c r="D82" s="50">
        <v>367.338872000001</v>
      </c>
      <c r="E82" s="69">
        <v>146.53</v>
      </c>
      <c r="F82" s="69"/>
      <c r="G82" s="69">
        <v>289.65</v>
      </c>
      <c r="H82" s="69">
        <v>146.53</v>
      </c>
      <c r="I82" s="69">
        <v>304.02</v>
      </c>
      <c r="J82" s="69">
        <v>289.65</v>
      </c>
      <c r="K82" s="69">
        <v>124.05</v>
      </c>
      <c r="L82" s="69">
        <v>428.07</v>
      </c>
      <c r="M82" s="69">
        <v>119.09</v>
      </c>
      <c r="N82" s="69"/>
      <c r="O82" s="69">
        <v>126.65</v>
      </c>
      <c r="P82" s="69">
        <v>245.74</v>
      </c>
      <c r="Q82" s="69">
        <v>175.77</v>
      </c>
      <c r="R82" s="69">
        <v>175.77</v>
      </c>
      <c r="S82" s="69">
        <v>212.34</v>
      </c>
      <c r="T82" s="69"/>
      <c r="U82" s="69">
        <v>152.32</v>
      </c>
      <c r="V82" s="69">
        <v>364.66</v>
      </c>
      <c r="W82" s="69">
        <v>109.15</v>
      </c>
      <c r="X82" s="220">
        <v>109.15</v>
      </c>
      <c r="Y82" s="69">
        <v>120.38</v>
      </c>
      <c r="Z82" s="220">
        <v>120.38</v>
      </c>
      <c r="AA82" s="69">
        <v>123.84</v>
      </c>
      <c r="AB82" s="220">
        <v>123.84</v>
      </c>
      <c r="AC82" s="185">
        <f t="shared" si="6"/>
        <v>2003.79</v>
      </c>
      <c r="AD82" s="185">
        <f t="shared" si="7"/>
        <v>2003.79</v>
      </c>
      <c r="AE82" s="211">
        <f t="shared" si="8"/>
        <v>367.338872000001</v>
      </c>
      <c r="AF82" s="14"/>
    </row>
    <row r="83" s="8" customFormat="1" ht="35" customHeight="1" spans="1:32">
      <c r="A83" s="64">
        <v>80</v>
      </c>
      <c r="B83" s="50" t="s">
        <v>193</v>
      </c>
      <c r="C83" s="65" t="s">
        <v>194</v>
      </c>
      <c r="D83" s="50">
        <v>290.75</v>
      </c>
      <c r="E83" s="69"/>
      <c r="F83" s="69"/>
      <c r="G83" s="69"/>
      <c r="H83" s="69">
        <v>0</v>
      </c>
      <c r="I83" s="69"/>
      <c r="J83" s="69">
        <v>0</v>
      </c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185">
        <f t="shared" si="6"/>
        <v>0</v>
      </c>
      <c r="AD83" s="185">
        <f t="shared" si="7"/>
        <v>0</v>
      </c>
      <c r="AE83" s="211">
        <f t="shared" si="8"/>
        <v>290.75</v>
      </c>
      <c r="AF83" s="14"/>
    </row>
    <row r="84" s="8" customFormat="1" ht="35" customHeight="1" spans="1:32">
      <c r="A84" s="64">
        <v>81</v>
      </c>
      <c r="B84" s="50" t="s">
        <v>195</v>
      </c>
      <c r="C84" s="65" t="s">
        <v>196</v>
      </c>
      <c r="D84" s="50">
        <v>1934.808463</v>
      </c>
      <c r="E84" s="69">
        <v>213.88</v>
      </c>
      <c r="F84" s="69"/>
      <c r="G84" s="69">
        <v>298.57</v>
      </c>
      <c r="H84" s="69">
        <v>0</v>
      </c>
      <c r="I84" s="69">
        <v>327.45</v>
      </c>
      <c r="J84" s="69">
        <v>0</v>
      </c>
      <c r="K84" s="69">
        <v>206.61</v>
      </c>
      <c r="L84" s="69"/>
      <c r="M84" s="69">
        <v>172.11</v>
      </c>
      <c r="N84" s="69"/>
      <c r="O84" s="69">
        <v>196.29</v>
      </c>
      <c r="P84" s="69"/>
      <c r="Q84" s="69">
        <v>214.97</v>
      </c>
      <c r="R84" s="69"/>
      <c r="S84" s="69">
        <v>268.9</v>
      </c>
      <c r="T84" s="69"/>
      <c r="U84" s="69">
        <v>213</v>
      </c>
      <c r="V84" s="69"/>
      <c r="W84" s="69">
        <v>153.76</v>
      </c>
      <c r="X84" s="69">
        <v>884.68</v>
      </c>
      <c r="Y84" s="69">
        <v>180.78</v>
      </c>
      <c r="Z84" s="69"/>
      <c r="AA84" s="69">
        <v>178.78</v>
      </c>
      <c r="AB84" s="69">
        <v>1000</v>
      </c>
      <c r="AC84" s="185">
        <f t="shared" si="6"/>
        <v>2625.1</v>
      </c>
      <c r="AD84" s="185">
        <f t="shared" si="7"/>
        <v>1884.68</v>
      </c>
      <c r="AE84" s="211">
        <f t="shared" si="8"/>
        <v>1194.388463</v>
      </c>
      <c r="AF84" s="14"/>
    </row>
    <row r="85" s="8" customFormat="1" ht="35" customHeight="1" spans="1:32">
      <c r="A85" s="64">
        <v>82</v>
      </c>
      <c r="B85" s="50" t="s">
        <v>197</v>
      </c>
      <c r="C85" s="65" t="s">
        <v>198</v>
      </c>
      <c r="D85" s="50">
        <v>31.534038</v>
      </c>
      <c r="E85" s="69">
        <v>182.15</v>
      </c>
      <c r="F85" s="69"/>
      <c r="G85" s="69">
        <v>185.46</v>
      </c>
      <c r="H85" s="69">
        <v>190</v>
      </c>
      <c r="I85" s="69">
        <v>224.8</v>
      </c>
      <c r="J85" s="69">
        <v>200</v>
      </c>
      <c r="K85" s="69">
        <v>212.19</v>
      </c>
      <c r="L85" s="69">
        <v>210</v>
      </c>
      <c r="M85" s="69">
        <v>109.79</v>
      </c>
      <c r="N85" s="69"/>
      <c r="O85" s="69">
        <v>119.03</v>
      </c>
      <c r="P85" s="69">
        <v>84.68</v>
      </c>
      <c r="Q85" s="69">
        <v>138.47</v>
      </c>
      <c r="R85" s="69">
        <v>350</v>
      </c>
      <c r="S85" s="69">
        <v>254.05</v>
      </c>
      <c r="T85" s="69"/>
      <c r="U85" s="69">
        <v>166.82</v>
      </c>
      <c r="V85" s="69"/>
      <c r="W85" s="69">
        <v>118.89</v>
      </c>
      <c r="X85" s="69"/>
      <c r="Y85" s="69">
        <v>113.85</v>
      </c>
      <c r="Z85" s="69"/>
      <c r="AA85" s="69">
        <v>118.29</v>
      </c>
      <c r="AB85" s="69">
        <v>1000</v>
      </c>
      <c r="AC85" s="185">
        <f t="shared" si="6"/>
        <v>1943.79</v>
      </c>
      <c r="AD85" s="185">
        <f t="shared" si="7"/>
        <v>2034.68</v>
      </c>
      <c r="AE85" s="211">
        <f t="shared" si="8"/>
        <v>122.424038</v>
      </c>
      <c r="AF85" s="14"/>
    </row>
    <row r="86" s="8" customFormat="1" ht="35" customHeight="1" spans="1:32">
      <c r="A86" s="64">
        <v>83</v>
      </c>
      <c r="B86" s="50" t="s">
        <v>199</v>
      </c>
      <c r="C86" s="65" t="s">
        <v>200</v>
      </c>
      <c r="D86" s="50">
        <v>431.837593</v>
      </c>
      <c r="E86" s="69">
        <v>173.25</v>
      </c>
      <c r="F86" s="69"/>
      <c r="G86" s="69">
        <v>146.46</v>
      </c>
      <c r="H86" s="69">
        <v>320</v>
      </c>
      <c r="I86" s="69">
        <v>157.3</v>
      </c>
      <c r="J86" s="69">
        <v>0</v>
      </c>
      <c r="K86" s="69">
        <v>146.92</v>
      </c>
      <c r="L86" s="69">
        <v>160</v>
      </c>
      <c r="M86" s="69">
        <v>132.75</v>
      </c>
      <c r="N86" s="69">
        <v>150</v>
      </c>
      <c r="O86" s="69">
        <v>124.47</v>
      </c>
      <c r="P86" s="69">
        <v>254.68</v>
      </c>
      <c r="Q86" s="69">
        <v>165.02</v>
      </c>
      <c r="R86" s="69">
        <v>170</v>
      </c>
      <c r="S86" s="69">
        <v>167.78</v>
      </c>
      <c r="T86" s="69"/>
      <c r="U86" s="69">
        <v>152.85</v>
      </c>
      <c r="V86" s="69">
        <v>350</v>
      </c>
      <c r="W86" s="69">
        <v>118.89</v>
      </c>
      <c r="X86" s="69">
        <v>100</v>
      </c>
      <c r="Y86" s="69">
        <v>141.6</v>
      </c>
      <c r="Z86" s="69">
        <v>150</v>
      </c>
      <c r="AA86" s="69">
        <v>147.7</v>
      </c>
      <c r="AB86" s="69">
        <v>150</v>
      </c>
      <c r="AC86" s="185">
        <f t="shared" si="6"/>
        <v>1774.99</v>
      </c>
      <c r="AD86" s="185">
        <f t="shared" si="7"/>
        <v>1804.68</v>
      </c>
      <c r="AE86" s="211">
        <f t="shared" si="8"/>
        <v>461.527593</v>
      </c>
      <c r="AF86" s="14"/>
    </row>
    <row r="87" s="8" customFormat="1" ht="35" customHeight="1" spans="1:32">
      <c r="A87" s="64">
        <v>84</v>
      </c>
      <c r="B87" s="50" t="s">
        <v>201</v>
      </c>
      <c r="C87" s="65" t="s">
        <v>202</v>
      </c>
      <c r="D87" s="50">
        <v>-6.63022799999999</v>
      </c>
      <c r="E87" s="69">
        <v>312.96</v>
      </c>
      <c r="F87" s="69"/>
      <c r="G87" s="69">
        <v>383.25</v>
      </c>
      <c r="H87" s="69">
        <v>5000</v>
      </c>
      <c r="I87" s="69">
        <v>377.66</v>
      </c>
      <c r="J87" s="69">
        <v>0</v>
      </c>
      <c r="K87" s="69">
        <v>261.28</v>
      </c>
      <c r="L87" s="69"/>
      <c r="M87" s="69">
        <v>237.71</v>
      </c>
      <c r="N87" s="69"/>
      <c r="O87" s="69">
        <v>204.46</v>
      </c>
      <c r="P87" s="69"/>
      <c r="Q87" s="69">
        <v>196</v>
      </c>
      <c r="R87" s="69"/>
      <c r="S87" s="69">
        <v>259.76</v>
      </c>
      <c r="T87" s="69"/>
      <c r="U87" s="69">
        <v>338.66</v>
      </c>
      <c r="V87" s="69"/>
      <c r="W87" s="69">
        <v>240.41</v>
      </c>
      <c r="X87" s="69"/>
      <c r="Y87" s="69">
        <v>233.55</v>
      </c>
      <c r="Z87" s="69"/>
      <c r="AA87" s="69">
        <v>268.69</v>
      </c>
      <c r="AB87" s="69"/>
      <c r="AC87" s="185">
        <f t="shared" si="6"/>
        <v>3314.39</v>
      </c>
      <c r="AD87" s="185">
        <f t="shared" si="7"/>
        <v>5000</v>
      </c>
      <c r="AE87" s="211">
        <f t="shared" si="8"/>
        <v>1678.979772</v>
      </c>
      <c r="AF87" s="14"/>
    </row>
    <row r="88" s="8" customFormat="1" ht="35" customHeight="1" spans="1:32">
      <c r="A88" s="64">
        <v>85</v>
      </c>
      <c r="B88" s="50" t="s">
        <v>203</v>
      </c>
      <c r="C88" s="65" t="s">
        <v>204</v>
      </c>
      <c r="D88" s="50">
        <v>273.239868</v>
      </c>
      <c r="E88" s="69">
        <v>116.47</v>
      </c>
      <c r="F88" s="14"/>
      <c r="G88" s="69">
        <v>155.93</v>
      </c>
      <c r="H88" s="69">
        <v>500</v>
      </c>
      <c r="I88" s="69">
        <v>142.8</v>
      </c>
      <c r="J88" s="69">
        <v>0</v>
      </c>
      <c r="K88" s="69">
        <v>102.29</v>
      </c>
      <c r="L88" s="69">
        <v>517.49</v>
      </c>
      <c r="M88" s="69">
        <v>104.33</v>
      </c>
      <c r="N88" s="69"/>
      <c r="O88" s="69">
        <v>107.61</v>
      </c>
      <c r="P88" s="69"/>
      <c r="Q88" s="69">
        <v>114.44</v>
      </c>
      <c r="R88" s="69"/>
      <c r="S88" s="69">
        <v>112.36</v>
      </c>
      <c r="T88" s="69"/>
      <c r="U88" s="69">
        <v>114.72</v>
      </c>
      <c r="V88" s="69">
        <v>1053.46</v>
      </c>
      <c r="W88" s="69">
        <v>103.51</v>
      </c>
      <c r="X88" s="69"/>
      <c r="Y88" s="69">
        <v>107.32</v>
      </c>
      <c r="Z88" s="69"/>
      <c r="AA88" s="69">
        <v>103.3</v>
      </c>
      <c r="AB88" s="69"/>
      <c r="AC88" s="185">
        <f t="shared" si="6"/>
        <v>1385.08</v>
      </c>
      <c r="AD88" s="185">
        <f t="shared" si="7"/>
        <v>2070.95</v>
      </c>
      <c r="AE88" s="211">
        <f t="shared" si="8"/>
        <v>959.109868</v>
      </c>
      <c r="AF88" s="14"/>
    </row>
    <row r="89" s="8" customFormat="1" ht="35" customHeight="1" spans="1:32">
      <c r="A89" s="64">
        <v>86</v>
      </c>
      <c r="B89" s="50" t="s">
        <v>205</v>
      </c>
      <c r="C89" s="65" t="s">
        <v>206</v>
      </c>
      <c r="D89" s="50">
        <v>74.4941079999994</v>
      </c>
      <c r="E89" s="69">
        <v>295.15</v>
      </c>
      <c r="F89" s="69"/>
      <c r="G89" s="69">
        <v>387.71</v>
      </c>
      <c r="H89" s="69">
        <v>0</v>
      </c>
      <c r="I89" s="69">
        <v>477.52</v>
      </c>
      <c r="J89" s="69">
        <v>0</v>
      </c>
      <c r="K89" s="69">
        <v>266.3</v>
      </c>
      <c r="L89" s="69">
        <v>1500</v>
      </c>
      <c r="M89" s="69">
        <v>222.95</v>
      </c>
      <c r="N89" s="69"/>
      <c r="O89" s="69">
        <v>261.04</v>
      </c>
      <c r="P89" s="219">
        <v>1384.68</v>
      </c>
      <c r="Q89" s="69">
        <v>300.32</v>
      </c>
      <c r="R89" s="69"/>
      <c r="S89" s="69">
        <v>311.18</v>
      </c>
      <c r="T89" s="69"/>
      <c r="U89" s="69">
        <v>256.5</v>
      </c>
      <c r="V89" s="69"/>
      <c r="W89" s="69">
        <v>240.41</v>
      </c>
      <c r="X89" s="69"/>
      <c r="Y89" s="69">
        <v>259.13</v>
      </c>
      <c r="Z89" s="69">
        <v>1500</v>
      </c>
      <c r="AA89" s="69">
        <v>220.4</v>
      </c>
      <c r="AB89" s="69"/>
      <c r="AC89" s="185">
        <f t="shared" si="6"/>
        <v>3498.61</v>
      </c>
      <c r="AD89" s="185">
        <f t="shared" si="7"/>
        <v>4384.68</v>
      </c>
      <c r="AE89" s="211">
        <f t="shared" si="8"/>
        <v>960.564108</v>
      </c>
      <c r="AF89" s="14"/>
    </row>
    <row r="90" s="8" customFormat="1" ht="35" customHeight="1" spans="1:32">
      <c r="A90" s="64">
        <v>87</v>
      </c>
      <c r="B90" s="50" t="s">
        <v>207</v>
      </c>
      <c r="C90" s="65" t="s">
        <v>208</v>
      </c>
      <c r="D90" s="50">
        <v>288.207272</v>
      </c>
      <c r="E90" s="69">
        <v>108.12</v>
      </c>
      <c r="F90" s="69"/>
      <c r="G90" s="69">
        <v>116.38</v>
      </c>
      <c r="H90" s="69">
        <v>1000</v>
      </c>
      <c r="I90" s="69">
        <v>182.41</v>
      </c>
      <c r="J90" s="69">
        <v>0</v>
      </c>
      <c r="K90" s="69">
        <v>97.83</v>
      </c>
      <c r="L90" s="69"/>
      <c r="M90" s="69">
        <v>95.58</v>
      </c>
      <c r="N90" s="69"/>
      <c r="O90" s="69">
        <v>103.8</v>
      </c>
      <c r="P90" s="69"/>
      <c r="Q90" s="69">
        <v>187.15</v>
      </c>
      <c r="R90" s="69"/>
      <c r="S90" s="69">
        <v>305.46</v>
      </c>
      <c r="T90" s="69">
        <v>1000</v>
      </c>
      <c r="U90" s="69">
        <v>249.52</v>
      </c>
      <c r="V90" s="69"/>
      <c r="W90" s="69">
        <v>99.92</v>
      </c>
      <c r="X90" s="69"/>
      <c r="Y90" s="69">
        <v>107.32</v>
      </c>
      <c r="Z90" s="69"/>
      <c r="AA90" s="69">
        <v>98.86</v>
      </c>
      <c r="AB90" s="69"/>
      <c r="AC90" s="185">
        <f t="shared" si="6"/>
        <v>1752.35</v>
      </c>
      <c r="AD90" s="185">
        <f t="shared" si="7"/>
        <v>2000</v>
      </c>
      <c r="AE90" s="211">
        <f t="shared" si="8"/>
        <v>535.857272</v>
      </c>
      <c r="AF90" s="14"/>
    </row>
    <row r="91" s="8" customFormat="1" ht="35" customHeight="1" spans="1:32">
      <c r="A91" s="64">
        <v>88</v>
      </c>
      <c r="B91" s="50" t="s">
        <v>209</v>
      </c>
      <c r="C91" s="65" t="s">
        <v>210</v>
      </c>
      <c r="D91" s="50">
        <v>-77.3002169999991</v>
      </c>
      <c r="E91" s="69">
        <v>417.6</v>
      </c>
      <c r="F91" s="69"/>
      <c r="G91" s="69">
        <v>258.45</v>
      </c>
      <c r="H91" s="69">
        <v>677.6</v>
      </c>
      <c r="I91" s="69">
        <v>348.65</v>
      </c>
      <c r="J91" s="69">
        <v>350</v>
      </c>
      <c r="K91" s="69">
        <v>353.89</v>
      </c>
      <c r="L91" s="69"/>
      <c r="M91" s="69">
        <v>265.04</v>
      </c>
      <c r="N91" s="69">
        <v>500</v>
      </c>
      <c r="O91" s="69">
        <v>286.62</v>
      </c>
      <c r="P91" s="69">
        <v>684.68</v>
      </c>
      <c r="Q91" s="69">
        <v>373.66</v>
      </c>
      <c r="R91" s="69">
        <v>100</v>
      </c>
      <c r="S91" s="69">
        <v>556.84</v>
      </c>
      <c r="T91" s="69"/>
      <c r="U91" s="69">
        <v>505.14</v>
      </c>
      <c r="V91" s="69">
        <f>700+500</f>
        <v>1200</v>
      </c>
      <c r="W91" s="69">
        <v>264.51</v>
      </c>
      <c r="X91" s="69">
        <v>400</v>
      </c>
      <c r="Y91" s="69">
        <v>224.85</v>
      </c>
      <c r="Z91" s="69"/>
      <c r="AA91" s="69">
        <v>333.07</v>
      </c>
      <c r="AB91" s="69">
        <v>333.07</v>
      </c>
      <c r="AC91" s="185">
        <f t="shared" si="6"/>
        <v>4188.32</v>
      </c>
      <c r="AD91" s="185">
        <f t="shared" si="7"/>
        <v>4245.35</v>
      </c>
      <c r="AE91" s="211">
        <f t="shared" si="8"/>
        <v>-20.2702169999993</v>
      </c>
      <c r="AF91" s="14"/>
    </row>
    <row r="92" s="8" customFormat="1" ht="35" customHeight="1" spans="1:32">
      <c r="A92" s="64">
        <v>89</v>
      </c>
      <c r="B92" s="50" t="s">
        <v>211</v>
      </c>
      <c r="C92" s="65" t="s">
        <v>212</v>
      </c>
      <c r="D92" s="50">
        <v>342.551828</v>
      </c>
      <c r="E92" s="69">
        <v>231.14</v>
      </c>
      <c r="F92" s="69"/>
      <c r="G92" s="69">
        <v>296.89</v>
      </c>
      <c r="H92" s="69">
        <v>500</v>
      </c>
      <c r="I92" s="69">
        <v>271.11</v>
      </c>
      <c r="J92" s="69">
        <v>500</v>
      </c>
      <c r="K92" s="69">
        <v>197.13</v>
      </c>
      <c r="L92" s="69"/>
      <c r="M92" s="69">
        <v>178.67</v>
      </c>
      <c r="N92" s="69"/>
      <c r="O92" s="69">
        <v>205.54</v>
      </c>
      <c r="P92" s="69">
        <v>130.36</v>
      </c>
      <c r="Q92" s="69">
        <v>247.21</v>
      </c>
      <c r="R92" s="69">
        <v>247.21</v>
      </c>
      <c r="S92" s="69">
        <v>272.33</v>
      </c>
      <c r="T92" s="69"/>
      <c r="U92" s="69">
        <v>115.26</v>
      </c>
      <c r="V92" s="69">
        <v>387.59</v>
      </c>
      <c r="W92" s="69">
        <v>213.24</v>
      </c>
      <c r="X92" s="220">
        <v>213.24</v>
      </c>
      <c r="Y92" s="69">
        <v>181.87</v>
      </c>
      <c r="Z92" s="220">
        <v>181.87</v>
      </c>
      <c r="AA92" s="69">
        <v>201.53</v>
      </c>
      <c r="AB92" s="220">
        <v>201.53</v>
      </c>
      <c r="AC92" s="185">
        <f t="shared" si="6"/>
        <v>2611.92</v>
      </c>
      <c r="AD92" s="185">
        <f t="shared" si="7"/>
        <v>2361.8</v>
      </c>
      <c r="AE92" s="211">
        <f t="shared" si="8"/>
        <v>92.4318280000002</v>
      </c>
      <c r="AF92" s="14"/>
    </row>
    <row r="93" s="8" customFormat="1" ht="35" customHeight="1" spans="1:32">
      <c r="A93" s="64">
        <v>90</v>
      </c>
      <c r="B93" s="50" t="s">
        <v>213</v>
      </c>
      <c r="C93" s="65" t="s">
        <v>214</v>
      </c>
      <c r="D93" s="50">
        <v>172.549672000001</v>
      </c>
      <c r="E93" s="69">
        <v>178.81</v>
      </c>
      <c r="F93" s="69"/>
      <c r="G93" s="69">
        <v>165.96</v>
      </c>
      <c r="H93" s="69">
        <v>500</v>
      </c>
      <c r="I93" s="69">
        <v>170.13</v>
      </c>
      <c r="J93" s="69">
        <v>0</v>
      </c>
      <c r="K93" s="69">
        <v>155.29</v>
      </c>
      <c r="L93" s="69">
        <v>500</v>
      </c>
      <c r="M93" s="69">
        <v>133.3</v>
      </c>
      <c r="N93" s="69"/>
      <c r="O93" s="69">
        <v>172.35</v>
      </c>
      <c r="P93" s="69"/>
      <c r="Q93" s="69">
        <v>278.83</v>
      </c>
      <c r="R93" s="69">
        <v>384.68</v>
      </c>
      <c r="S93" s="69">
        <v>342.03</v>
      </c>
      <c r="T93" s="69">
        <v>750</v>
      </c>
      <c r="U93" s="69">
        <v>290.87</v>
      </c>
      <c r="V93" s="69"/>
      <c r="W93" s="69">
        <v>112.73</v>
      </c>
      <c r="X93" s="69"/>
      <c r="Y93" s="69">
        <v>104.6</v>
      </c>
      <c r="Z93" s="69"/>
      <c r="AA93" s="69">
        <v>91.09</v>
      </c>
      <c r="AB93" s="69">
        <v>500</v>
      </c>
      <c r="AC93" s="185">
        <f t="shared" si="6"/>
        <v>2195.99</v>
      </c>
      <c r="AD93" s="185">
        <f t="shared" si="7"/>
        <v>2634.68</v>
      </c>
      <c r="AE93" s="211">
        <f t="shared" si="8"/>
        <v>611.239672000001</v>
      </c>
      <c r="AF93" s="14"/>
    </row>
    <row r="94" s="8" customFormat="1" ht="35" customHeight="1" spans="1:32">
      <c r="A94" s="64">
        <v>91</v>
      </c>
      <c r="B94" s="50" t="s">
        <v>215</v>
      </c>
      <c r="C94" s="65" t="s">
        <v>216</v>
      </c>
      <c r="D94" s="50">
        <v>254.544647999999</v>
      </c>
      <c r="E94" s="69">
        <v>170.46</v>
      </c>
      <c r="F94" s="69"/>
      <c r="G94" s="69">
        <v>186.02</v>
      </c>
      <c r="H94" s="69">
        <v>355</v>
      </c>
      <c r="I94" s="69">
        <v>218.67</v>
      </c>
      <c r="J94" s="69">
        <v>100</v>
      </c>
      <c r="K94" s="69">
        <v>129.07</v>
      </c>
      <c r="L94" s="69">
        <v>300</v>
      </c>
      <c r="M94" s="69">
        <v>126.74</v>
      </c>
      <c r="N94" s="69">
        <v>300</v>
      </c>
      <c r="O94" s="69">
        <v>144.06</v>
      </c>
      <c r="P94" s="69">
        <v>184.68</v>
      </c>
      <c r="Q94" s="69">
        <v>170.71</v>
      </c>
      <c r="R94" s="69"/>
      <c r="S94" s="69">
        <v>272.33</v>
      </c>
      <c r="T94" s="69"/>
      <c r="U94" s="69">
        <v>261.87</v>
      </c>
      <c r="V94" s="69">
        <v>200</v>
      </c>
      <c r="W94" s="69">
        <v>129.14</v>
      </c>
      <c r="X94" s="69">
        <v>400</v>
      </c>
      <c r="Y94" s="69">
        <v>114.94</v>
      </c>
      <c r="Z94" s="69"/>
      <c r="AA94" s="69">
        <v>133.83</v>
      </c>
      <c r="AB94" s="69">
        <v>300</v>
      </c>
      <c r="AC94" s="185">
        <f t="shared" si="6"/>
        <v>2057.84</v>
      </c>
      <c r="AD94" s="185">
        <f t="shared" si="7"/>
        <v>2139.68</v>
      </c>
      <c r="AE94" s="211">
        <f t="shared" si="8"/>
        <v>336.384648</v>
      </c>
      <c r="AF94" s="14"/>
    </row>
    <row r="95" s="8" customFormat="1" ht="35" customHeight="1" spans="1:32">
      <c r="A95" s="64">
        <v>92</v>
      </c>
      <c r="B95" s="50" t="s">
        <v>217</v>
      </c>
      <c r="C95" s="65" t="s">
        <v>218</v>
      </c>
      <c r="D95" s="50">
        <v>166.129871999999</v>
      </c>
      <c r="E95" s="69">
        <v>144.3</v>
      </c>
      <c r="F95" s="69"/>
      <c r="G95" s="69">
        <v>168.75</v>
      </c>
      <c r="H95" s="69">
        <v>144.3</v>
      </c>
      <c r="I95" s="69">
        <v>211.97</v>
      </c>
      <c r="J95" s="69">
        <v>2000</v>
      </c>
      <c r="K95" s="69">
        <v>125.72</v>
      </c>
      <c r="L95" s="69"/>
      <c r="M95" s="69">
        <v>104.33</v>
      </c>
      <c r="N95" s="69"/>
      <c r="O95" s="69">
        <v>105.43</v>
      </c>
      <c r="P95" s="69"/>
      <c r="Q95" s="69">
        <v>150.48</v>
      </c>
      <c r="R95" s="69"/>
      <c r="S95" s="69">
        <v>128.36</v>
      </c>
      <c r="T95" s="69"/>
      <c r="U95" s="69">
        <v>210.31</v>
      </c>
      <c r="V95" s="69"/>
      <c r="W95" s="69">
        <v>141.45</v>
      </c>
      <c r="X95" s="69"/>
      <c r="Y95" s="69">
        <v>100.79</v>
      </c>
      <c r="Z95" s="69"/>
      <c r="AA95" s="69">
        <v>103.86</v>
      </c>
      <c r="AB95" s="69"/>
      <c r="AC95" s="185">
        <f t="shared" si="6"/>
        <v>1695.75</v>
      </c>
      <c r="AD95" s="185">
        <f t="shared" si="7"/>
        <v>2144.3</v>
      </c>
      <c r="AE95" s="211">
        <f t="shared" si="8"/>
        <v>614.679872</v>
      </c>
      <c r="AF95" s="14"/>
    </row>
    <row r="96" s="8" customFormat="1" ht="35" customHeight="1" spans="1:32">
      <c r="A96" s="64">
        <v>93</v>
      </c>
      <c r="B96" s="50" t="s">
        <v>219</v>
      </c>
      <c r="C96" s="65" t="s">
        <v>220</v>
      </c>
      <c r="D96" s="50">
        <v>-232.735982</v>
      </c>
      <c r="E96" s="69">
        <v>183.82</v>
      </c>
      <c r="F96" s="69"/>
      <c r="G96" s="69">
        <v>232.82</v>
      </c>
      <c r="H96" s="69">
        <v>416.64</v>
      </c>
      <c r="I96" s="69">
        <v>306.81</v>
      </c>
      <c r="J96" s="69">
        <v>1000</v>
      </c>
      <c r="K96" s="69">
        <v>187.08</v>
      </c>
      <c r="L96" s="69"/>
      <c r="M96" s="69">
        <v>166.1</v>
      </c>
      <c r="N96" s="69"/>
      <c r="O96" s="69">
        <v>156.58</v>
      </c>
      <c r="P96" s="69">
        <v>884.68</v>
      </c>
      <c r="Q96" s="69">
        <v>207.38</v>
      </c>
      <c r="R96" s="69"/>
      <c r="S96" s="69">
        <v>200.34</v>
      </c>
      <c r="T96" s="69"/>
      <c r="U96" s="69">
        <v>184.54</v>
      </c>
      <c r="V96" s="69"/>
      <c r="W96" s="69">
        <v>122.48</v>
      </c>
      <c r="X96" s="69"/>
      <c r="Y96" s="69">
        <v>150.85</v>
      </c>
      <c r="Z96" s="69"/>
      <c r="AA96" s="69">
        <v>147.7</v>
      </c>
      <c r="AB96" s="69"/>
      <c r="AC96" s="185">
        <f t="shared" si="6"/>
        <v>2246.5</v>
      </c>
      <c r="AD96" s="185">
        <f t="shared" si="7"/>
        <v>2301.32</v>
      </c>
      <c r="AE96" s="211">
        <f t="shared" si="8"/>
        <v>-177.915982</v>
      </c>
      <c r="AF96" s="14"/>
    </row>
    <row r="97" s="8" customFormat="1" ht="35" customHeight="1" spans="1:32">
      <c r="A97" s="64">
        <v>94</v>
      </c>
      <c r="B97" s="50" t="s">
        <v>221</v>
      </c>
      <c r="C97" s="65" t="s">
        <v>222</v>
      </c>
      <c r="D97" s="50">
        <v>-578.707637</v>
      </c>
      <c r="E97" s="69">
        <v>309.06</v>
      </c>
      <c r="F97" s="69"/>
      <c r="G97" s="69">
        <v>222.79</v>
      </c>
      <c r="H97" s="69">
        <v>900</v>
      </c>
      <c r="I97" s="69">
        <v>243.21</v>
      </c>
      <c r="J97" s="69">
        <v>0</v>
      </c>
      <c r="K97" s="69">
        <v>202.15</v>
      </c>
      <c r="L97" s="69">
        <v>240</v>
      </c>
      <c r="M97" s="69">
        <v>181.95</v>
      </c>
      <c r="N97" s="69">
        <v>400</v>
      </c>
      <c r="O97" s="69">
        <v>193.57</v>
      </c>
      <c r="P97" s="69">
        <v>184.68</v>
      </c>
      <c r="Q97" s="69">
        <v>196</v>
      </c>
      <c r="R97" s="69">
        <v>200</v>
      </c>
      <c r="S97" s="69">
        <v>196.34</v>
      </c>
      <c r="T97" s="69"/>
      <c r="U97" s="69">
        <v>196.35</v>
      </c>
      <c r="V97" s="69">
        <f>200+200</f>
        <v>400</v>
      </c>
      <c r="W97" s="69">
        <v>153.24</v>
      </c>
      <c r="X97" s="69"/>
      <c r="Y97" s="69">
        <v>177.51</v>
      </c>
      <c r="Z97" s="69">
        <v>300</v>
      </c>
      <c r="AA97" s="69">
        <v>183.22</v>
      </c>
      <c r="AB97" s="69">
        <v>200</v>
      </c>
      <c r="AC97" s="185">
        <f t="shared" si="6"/>
        <v>2455.39</v>
      </c>
      <c r="AD97" s="185">
        <f t="shared" si="7"/>
        <v>2824.68</v>
      </c>
      <c r="AE97" s="211">
        <f t="shared" si="8"/>
        <v>-209.417636999999</v>
      </c>
      <c r="AF97" s="14"/>
    </row>
    <row r="98" s="8" customFormat="1" ht="35" customHeight="1" spans="1:32">
      <c r="A98" s="64">
        <v>95</v>
      </c>
      <c r="B98" s="50" t="s">
        <v>223</v>
      </c>
      <c r="C98" s="65" t="s">
        <v>224</v>
      </c>
      <c r="D98" s="50">
        <v>349.401423</v>
      </c>
      <c r="E98" s="69">
        <v>69.72</v>
      </c>
      <c r="F98" s="69"/>
      <c r="G98" s="69">
        <v>62.89</v>
      </c>
      <c r="H98" s="200"/>
      <c r="I98" s="69">
        <v>64.7</v>
      </c>
      <c r="J98" s="69">
        <v>0</v>
      </c>
      <c r="K98" s="69">
        <v>71.05</v>
      </c>
      <c r="L98" s="69">
        <v>500</v>
      </c>
      <c r="M98" s="69">
        <v>61.69</v>
      </c>
      <c r="N98" s="69"/>
      <c r="O98" s="69">
        <v>65.71</v>
      </c>
      <c r="P98" s="69"/>
      <c r="Q98" s="69">
        <v>87.89</v>
      </c>
      <c r="R98" s="69"/>
      <c r="S98" s="69">
        <v>147.21</v>
      </c>
      <c r="T98" s="69"/>
      <c r="U98" s="69">
        <v>149.09</v>
      </c>
      <c r="V98" s="69">
        <v>384.68</v>
      </c>
      <c r="W98" s="69">
        <v>82.48</v>
      </c>
      <c r="X98" s="69"/>
      <c r="Y98" s="69">
        <v>74.13</v>
      </c>
      <c r="Z98" s="69"/>
      <c r="AA98" s="69">
        <v>69.45</v>
      </c>
      <c r="AB98" s="69"/>
      <c r="AC98" s="185">
        <f t="shared" si="6"/>
        <v>1006.01</v>
      </c>
      <c r="AD98" s="185">
        <f t="shared" si="7"/>
        <v>884.68</v>
      </c>
      <c r="AE98" s="211">
        <f t="shared" si="8"/>
        <v>228.071423</v>
      </c>
      <c r="AF98" s="14"/>
    </row>
    <row r="99" s="8" customFormat="1" ht="35" customHeight="1" spans="1:32">
      <c r="A99" s="64">
        <v>96</v>
      </c>
      <c r="B99" s="50" t="s">
        <v>225</v>
      </c>
      <c r="C99" s="65" t="s">
        <v>226</v>
      </c>
      <c r="D99" s="50">
        <v>1512.994772</v>
      </c>
      <c r="E99" s="69">
        <v>255.07</v>
      </c>
      <c r="F99" s="69"/>
      <c r="G99" s="69">
        <v>306.37</v>
      </c>
      <c r="H99" s="69">
        <v>0</v>
      </c>
      <c r="I99" s="69">
        <v>379.89</v>
      </c>
      <c r="J99" s="69">
        <v>1000</v>
      </c>
      <c r="K99" s="69">
        <v>141.34</v>
      </c>
      <c r="L99" s="69"/>
      <c r="M99" s="69">
        <v>108.15</v>
      </c>
      <c r="N99" s="69"/>
      <c r="O99" s="69">
        <v>116.86</v>
      </c>
      <c r="P99" s="69"/>
      <c r="Q99" s="69">
        <v>168.18</v>
      </c>
      <c r="R99" s="69"/>
      <c r="S99" s="69">
        <v>411.15</v>
      </c>
      <c r="T99" s="69"/>
      <c r="U99" s="69">
        <v>599.12</v>
      </c>
      <c r="V99" s="69">
        <f>384.68+500</f>
        <v>884.68</v>
      </c>
      <c r="W99" s="69">
        <v>246.05</v>
      </c>
      <c r="X99" s="69">
        <v>300</v>
      </c>
      <c r="Y99" s="69">
        <v>135.62</v>
      </c>
      <c r="Z99" s="69"/>
      <c r="AA99" s="69">
        <v>167.68</v>
      </c>
      <c r="AB99" s="69">
        <v>300</v>
      </c>
      <c r="AC99" s="185">
        <f t="shared" si="6"/>
        <v>3035.48</v>
      </c>
      <c r="AD99" s="185">
        <f t="shared" si="7"/>
        <v>2484.68</v>
      </c>
      <c r="AE99" s="211">
        <f t="shared" si="8"/>
        <v>962.194772000001</v>
      </c>
      <c r="AF99" s="14"/>
    </row>
    <row r="100" s="8" customFormat="1" ht="35" customHeight="1" spans="1:32">
      <c r="A100" s="64">
        <v>97</v>
      </c>
      <c r="B100" s="50" t="s">
        <v>227</v>
      </c>
      <c r="C100" s="65" t="s">
        <v>228</v>
      </c>
      <c r="D100" s="50">
        <v>295.160788</v>
      </c>
      <c r="E100" s="69">
        <v>84.75</v>
      </c>
      <c r="F100" s="69">
        <v>143.34</v>
      </c>
      <c r="G100" s="69">
        <v>99.66</v>
      </c>
      <c r="H100" s="69">
        <v>0</v>
      </c>
      <c r="I100" s="69">
        <v>99.28</v>
      </c>
      <c r="J100" s="69">
        <v>200</v>
      </c>
      <c r="K100" s="69">
        <v>81.65</v>
      </c>
      <c r="L100" s="69">
        <v>35.34</v>
      </c>
      <c r="M100" s="69">
        <v>73.71</v>
      </c>
      <c r="N100" s="69">
        <v>300</v>
      </c>
      <c r="O100" s="69">
        <v>76.05</v>
      </c>
      <c r="P100" s="69"/>
      <c r="Q100" s="69">
        <v>105.59</v>
      </c>
      <c r="R100" s="69">
        <v>300</v>
      </c>
      <c r="S100" s="69">
        <v>151.21</v>
      </c>
      <c r="T100" s="69"/>
      <c r="U100" s="69">
        <v>177.02</v>
      </c>
      <c r="V100" s="69"/>
      <c r="W100" s="69">
        <v>81.46</v>
      </c>
      <c r="X100" s="220">
        <v>65.04</v>
      </c>
      <c r="Y100" s="69">
        <v>72.5</v>
      </c>
      <c r="Z100" s="220">
        <v>72.5</v>
      </c>
      <c r="AA100" s="69">
        <v>77.22</v>
      </c>
      <c r="AB100" s="69">
        <v>577.22</v>
      </c>
      <c r="AC100" s="185">
        <f t="shared" si="6"/>
        <v>1180.1</v>
      </c>
      <c r="AD100" s="185">
        <f t="shared" si="7"/>
        <v>1693.44</v>
      </c>
      <c r="AE100" s="211">
        <f t="shared" si="8"/>
        <v>808.500788</v>
      </c>
      <c r="AF100" s="14"/>
    </row>
    <row r="101" s="8" customFormat="1" ht="35" customHeight="1" spans="1:32">
      <c r="A101" s="64">
        <v>98</v>
      </c>
      <c r="B101" s="50" t="s">
        <v>229</v>
      </c>
      <c r="C101" s="65" t="s">
        <v>230</v>
      </c>
      <c r="D101" s="50">
        <v>159.888672</v>
      </c>
      <c r="E101" s="69">
        <v>134.84</v>
      </c>
      <c r="F101" s="69"/>
      <c r="G101" s="69">
        <v>163.73</v>
      </c>
      <c r="H101" s="69">
        <v>138.84</v>
      </c>
      <c r="I101" s="69">
        <v>165.67</v>
      </c>
      <c r="J101" s="69">
        <v>159.73</v>
      </c>
      <c r="K101" s="69">
        <v>111.12</v>
      </c>
      <c r="L101" s="69">
        <v>276.79</v>
      </c>
      <c r="M101" s="69">
        <v>105.97</v>
      </c>
      <c r="N101" s="69"/>
      <c r="O101" s="69">
        <v>122.3</v>
      </c>
      <c r="P101" s="69">
        <v>228.27</v>
      </c>
      <c r="Q101" s="69">
        <v>147.32</v>
      </c>
      <c r="R101" s="69">
        <v>147.32</v>
      </c>
      <c r="S101" s="69">
        <v>271.76</v>
      </c>
      <c r="T101" s="69"/>
      <c r="U101" s="69">
        <v>232.87</v>
      </c>
      <c r="V101" s="69">
        <v>504.63</v>
      </c>
      <c r="W101" s="69">
        <v>95.81</v>
      </c>
      <c r="X101" s="220">
        <v>95.81</v>
      </c>
      <c r="Y101" s="69">
        <v>96.99</v>
      </c>
      <c r="Z101" s="220">
        <v>96.99</v>
      </c>
      <c r="AA101" s="69">
        <v>126.61</v>
      </c>
      <c r="AB101" s="220">
        <v>126.61</v>
      </c>
      <c r="AC101" s="185">
        <f t="shared" ref="AC101:AC135" si="9">E101+G101+I101+K101+M101+O101+Q101+S101+U101+W101+Y101+AA101</f>
        <v>1774.99</v>
      </c>
      <c r="AD101" s="185">
        <f t="shared" ref="AD101:AD135" si="10">F101+H101+J101+L101+N101+P101+R101+T101+V101+X101+Z101+AB101</f>
        <v>1774.99</v>
      </c>
      <c r="AE101" s="211">
        <f t="shared" ref="AE101:AE135" si="11">D101+AD101-AC101</f>
        <v>159.888672</v>
      </c>
      <c r="AF101" s="14"/>
    </row>
    <row r="102" s="8" customFormat="1" ht="35" customHeight="1" spans="1:32">
      <c r="A102" s="64">
        <v>99</v>
      </c>
      <c r="B102" s="50" t="s">
        <v>231</v>
      </c>
      <c r="C102" s="65" t="s">
        <v>232</v>
      </c>
      <c r="D102" s="50">
        <v>338.810672000001</v>
      </c>
      <c r="E102" s="69">
        <v>255.07</v>
      </c>
      <c r="F102" s="69"/>
      <c r="G102" s="69">
        <v>229.48</v>
      </c>
      <c r="H102" s="69">
        <v>500</v>
      </c>
      <c r="I102" s="69">
        <v>258.28</v>
      </c>
      <c r="J102" s="69">
        <v>0</v>
      </c>
      <c r="K102" s="69">
        <v>168.12</v>
      </c>
      <c r="L102" s="69">
        <v>410.95</v>
      </c>
      <c r="M102" s="69">
        <v>144.23</v>
      </c>
      <c r="N102" s="69"/>
      <c r="O102" s="69">
        <v>158.21</v>
      </c>
      <c r="P102" s="69">
        <v>460.56</v>
      </c>
      <c r="Q102" s="69">
        <v>161.23</v>
      </c>
      <c r="R102" s="69">
        <v>3.11</v>
      </c>
      <c r="S102" s="69">
        <v>159.21</v>
      </c>
      <c r="T102" s="69"/>
      <c r="U102" s="69">
        <v>167.89</v>
      </c>
      <c r="V102" s="69">
        <v>327.1</v>
      </c>
      <c r="W102" s="69">
        <v>136.32</v>
      </c>
      <c r="X102" s="220">
        <v>136.32</v>
      </c>
      <c r="Y102" s="69">
        <v>131.81</v>
      </c>
      <c r="Z102" s="220">
        <v>131.81</v>
      </c>
      <c r="AA102" s="69">
        <v>126.06</v>
      </c>
      <c r="AB102" s="220">
        <v>126.06</v>
      </c>
      <c r="AC102" s="185">
        <f t="shared" si="9"/>
        <v>2095.91</v>
      </c>
      <c r="AD102" s="185">
        <f t="shared" si="10"/>
        <v>2095.91</v>
      </c>
      <c r="AE102" s="211">
        <f t="shared" si="11"/>
        <v>338.810672000001</v>
      </c>
      <c r="AF102" s="14"/>
    </row>
    <row r="103" s="8" customFormat="1" ht="35" customHeight="1" spans="1:32">
      <c r="A103" s="64">
        <v>100</v>
      </c>
      <c r="B103" s="50" t="s">
        <v>233</v>
      </c>
      <c r="C103" s="193" t="s">
        <v>335</v>
      </c>
      <c r="D103" s="50">
        <v>184.328198</v>
      </c>
      <c r="E103" s="69">
        <v>90.87</v>
      </c>
      <c r="F103" s="69">
        <v>90.87</v>
      </c>
      <c r="G103" s="69">
        <v>141.45</v>
      </c>
      <c r="H103" s="69">
        <v>0</v>
      </c>
      <c r="I103" s="69">
        <v>174.6</v>
      </c>
      <c r="J103" s="69">
        <v>316.05</v>
      </c>
      <c r="K103" s="69">
        <v>137.99</v>
      </c>
      <c r="L103" s="69">
        <v>174.6</v>
      </c>
      <c r="M103" s="69">
        <v>98.86</v>
      </c>
      <c r="N103" s="69">
        <v>300</v>
      </c>
      <c r="O103" s="69">
        <v>142.97</v>
      </c>
      <c r="P103" s="69"/>
      <c r="Q103" s="69">
        <v>176.4</v>
      </c>
      <c r="R103" s="69">
        <v>81.62</v>
      </c>
      <c r="S103" s="69">
        <v>206.63</v>
      </c>
      <c r="T103" s="69"/>
      <c r="U103" s="69">
        <v>231.26</v>
      </c>
      <c r="V103" s="69">
        <v>437.89</v>
      </c>
      <c r="W103" s="69">
        <v>149.14</v>
      </c>
      <c r="X103" s="69">
        <v>298.28</v>
      </c>
      <c r="Y103" s="69">
        <v>142.69</v>
      </c>
      <c r="Z103" s="69">
        <v>1000</v>
      </c>
      <c r="AA103" s="69">
        <v>144.37</v>
      </c>
      <c r="AB103" s="69"/>
      <c r="AC103" s="185">
        <f t="shared" si="9"/>
        <v>1837.23</v>
      </c>
      <c r="AD103" s="185">
        <f t="shared" si="10"/>
        <v>2699.31</v>
      </c>
      <c r="AE103" s="211">
        <f t="shared" si="11"/>
        <v>1046.408198</v>
      </c>
      <c r="AF103" s="14"/>
    </row>
    <row r="104" s="8" customFormat="1" ht="35" customHeight="1" spans="1:32">
      <c r="A104" s="64">
        <v>101</v>
      </c>
      <c r="B104" s="50" t="s">
        <v>235</v>
      </c>
      <c r="C104" s="65" t="s">
        <v>236</v>
      </c>
      <c r="D104" s="50">
        <v>-1974.657422</v>
      </c>
      <c r="E104" s="69">
        <v>270.1</v>
      </c>
      <c r="F104" s="69"/>
      <c r="G104" s="69">
        <v>335.9</v>
      </c>
      <c r="H104" s="69">
        <v>0</v>
      </c>
      <c r="I104" s="69">
        <v>383.8</v>
      </c>
      <c r="J104" s="69">
        <v>1000</v>
      </c>
      <c r="K104" s="69">
        <v>218.32</v>
      </c>
      <c r="L104" s="69"/>
      <c r="M104" s="69">
        <v>181.41</v>
      </c>
      <c r="N104" s="69"/>
      <c r="O104" s="69">
        <v>191.94</v>
      </c>
      <c r="P104" s="69"/>
      <c r="Q104" s="69">
        <v>235.83</v>
      </c>
      <c r="R104" s="69">
        <v>1884.68</v>
      </c>
      <c r="S104" s="69">
        <v>267.76</v>
      </c>
      <c r="T104" s="69"/>
      <c r="U104" s="69">
        <v>253.28</v>
      </c>
      <c r="V104" s="69"/>
      <c r="W104" s="69">
        <v>160.42</v>
      </c>
      <c r="X104" s="69"/>
      <c r="Y104" s="69">
        <v>168.81</v>
      </c>
      <c r="Z104" s="69"/>
      <c r="AA104" s="69">
        <v>166.57</v>
      </c>
      <c r="AB104" s="69"/>
      <c r="AC104" s="185">
        <f t="shared" si="9"/>
        <v>2834.14</v>
      </c>
      <c r="AD104" s="185">
        <f t="shared" si="10"/>
        <v>2884.68</v>
      </c>
      <c r="AE104" s="211">
        <f t="shared" si="11"/>
        <v>-1924.117422</v>
      </c>
      <c r="AF104" s="14"/>
    </row>
    <row r="105" s="8" customFormat="1" ht="35" customHeight="1" spans="1:32">
      <c r="A105" s="64">
        <v>102</v>
      </c>
      <c r="B105" s="50" t="s">
        <v>237</v>
      </c>
      <c r="C105" s="65" t="s">
        <v>238</v>
      </c>
      <c r="D105" s="50">
        <v>229.68</v>
      </c>
      <c r="E105" s="69">
        <v>11.27</v>
      </c>
      <c r="F105" s="69"/>
      <c r="G105" s="69">
        <v>12.19</v>
      </c>
      <c r="H105" s="69">
        <v>0</v>
      </c>
      <c r="I105" s="69">
        <v>6.68</v>
      </c>
      <c r="J105" s="69">
        <v>43.34</v>
      </c>
      <c r="K105" s="69">
        <v>14.15</v>
      </c>
      <c r="L105" s="69"/>
      <c r="M105" s="69">
        <v>10.3</v>
      </c>
      <c r="N105" s="69"/>
      <c r="O105" s="69">
        <v>14.02</v>
      </c>
      <c r="P105" s="69"/>
      <c r="Q105" s="69">
        <v>10.12</v>
      </c>
      <c r="R105" s="69"/>
      <c r="S105" s="69">
        <v>14.67</v>
      </c>
      <c r="T105" s="69"/>
      <c r="U105" s="69">
        <v>21.28</v>
      </c>
      <c r="V105" s="69"/>
      <c r="W105" s="69">
        <v>129.14</v>
      </c>
      <c r="X105" s="220">
        <v>12.8</v>
      </c>
      <c r="Y105" s="69">
        <v>117.66</v>
      </c>
      <c r="Z105" s="220">
        <v>117.66</v>
      </c>
      <c r="AA105" s="69">
        <v>133.27</v>
      </c>
      <c r="AB105" s="220">
        <v>133.27</v>
      </c>
      <c r="AC105" s="185">
        <f t="shared" si="9"/>
        <v>494.75</v>
      </c>
      <c r="AD105" s="185">
        <f t="shared" si="10"/>
        <v>307.07</v>
      </c>
      <c r="AE105" s="211">
        <f t="shared" si="11"/>
        <v>42</v>
      </c>
      <c r="AF105" s="14"/>
    </row>
    <row r="106" s="8" customFormat="1" ht="35" customHeight="1" spans="1:32">
      <c r="A106" s="64">
        <v>103</v>
      </c>
      <c r="B106" s="50" t="s">
        <v>239</v>
      </c>
      <c r="C106" s="65" t="s">
        <v>240</v>
      </c>
      <c r="D106" s="50">
        <v>467.157273</v>
      </c>
      <c r="E106" s="69">
        <v>169.91</v>
      </c>
      <c r="F106" s="69"/>
      <c r="G106" s="69">
        <v>185.46</v>
      </c>
      <c r="H106" s="69">
        <v>500</v>
      </c>
      <c r="I106" s="69">
        <v>201.37</v>
      </c>
      <c r="J106" s="69">
        <v>500</v>
      </c>
      <c r="K106" s="69">
        <v>137.43</v>
      </c>
      <c r="L106" s="69"/>
      <c r="M106" s="69">
        <v>110.89</v>
      </c>
      <c r="N106" s="69"/>
      <c r="O106" s="69">
        <v>120.67</v>
      </c>
      <c r="P106" s="69">
        <v>384.68</v>
      </c>
      <c r="Q106" s="69">
        <v>104.96</v>
      </c>
      <c r="R106" s="69"/>
      <c r="S106" s="69">
        <v>88.37</v>
      </c>
      <c r="T106" s="69"/>
      <c r="U106" s="69">
        <v>92.71</v>
      </c>
      <c r="V106" s="69"/>
      <c r="W106" s="69">
        <v>68.12</v>
      </c>
      <c r="X106" s="69"/>
      <c r="Y106" s="69">
        <v>113.31</v>
      </c>
      <c r="Z106" s="220">
        <v>8.52</v>
      </c>
      <c r="AA106" s="69">
        <v>110.52</v>
      </c>
      <c r="AB106" s="220">
        <v>110.52</v>
      </c>
      <c r="AC106" s="185">
        <f t="shared" si="9"/>
        <v>1503.72</v>
      </c>
      <c r="AD106" s="185">
        <f t="shared" si="10"/>
        <v>1503.72</v>
      </c>
      <c r="AE106" s="211">
        <f t="shared" si="11"/>
        <v>467.157273</v>
      </c>
      <c r="AF106" s="14"/>
    </row>
    <row r="107" s="8" customFormat="1" ht="35" customHeight="1" spans="1:32">
      <c r="A107" s="64">
        <v>104</v>
      </c>
      <c r="B107" s="50" t="s">
        <v>241</v>
      </c>
      <c r="C107" s="65" t="s">
        <v>242</v>
      </c>
      <c r="D107" s="50">
        <v>-1017.327928</v>
      </c>
      <c r="E107" s="69">
        <v>176.59</v>
      </c>
      <c r="F107" s="69"/>
      <c r="G107" s="69">
        <v>225.02</v>
      </c>
      <c r="H107" s="69">
        <v>336.45</v>
      </c>
      <c r="I107" s="69">
        <v>269.43</v>
      </c>
      <c r="J107" s="69">
        <v>0</v>
      </c>
      <c r="K107" s="69">
        <v>154.73</v>
      </c>
      <c r="L107" s="69"/>
      <c r="M107" s="69">
        <v>144.23</v>
      </c>
      <c r="N107" s="69"/>
      <c r="O107" s="69">
        <v>136.44</v>
      </c>
      <c r="P107" s="69">
        <v>984.68</v>
      </c>
      <c r="Q107" s="69">
        <v>219.39</v>
      </c>
      <c r="R107" s="69"/>
      <c r="S107" s="69">
        <v>251.76</v>
      </c>
      <c r="T107" s="69"/>
      <c r="U107" s="69">
        <v>252.74</v>
      </c>
      <c r="V107" s="69"/>
      <c r="W107" s="69">
        <v>170.68</v>
      </c>
      <c r="X107" s="69"/>
      <c r="Y107" s="69">
        <v>143.78</v>
      </c>
      <c r="Z107" s="69"/>
      <c r="AA107" s="69">
        <v>131.61</v>
      </c>
      <c r="AB107" s="69"/>
      <c r="AC107" s="185">
        <f t="shared" si="9"/>
        <v>2276.4</v>
      </c>
      <c r="AD107" s="185">
        <f t="shared" si="10"/>
        <v>1321.13</v>
      </c>
      <c r="AE107" s="211">
        <f t="shared" si="11"/>
        <v>-1972.597928</v>
      </c>
      <c r="AF107" s="14"/>
    </row>
    <row r="108" s="8" customFormat="1" ht="35" customHeight="1" spans="1:32">
      <c r="A108" s="64">
        <v>105</v>
      </c>
      <c r="B108" s="50" t="s">
        <v>243</v>
      </c>
      <c r="C108" s="65" t="s">
        <v>244</v>
      </c>
      <c r="D108" s="50">
        <v>202.532443</v>
      </c>
      <c r="E108" s="69">
        <v>40.77</v>
      </c>
      <c r="F108" s="69"/>
      <c r="G108" s="69">
        <v>45.62</v>
      </c>
      <c r="H108" s="69">
        <v>843.34</v>
      </c>
      <c r="I108" s="69">
        <v>32.9</v>
      </c>
      <c r="J108" s="69">
        <v>0</v>
      </c>
      <c r="K108" s="69">
        <v>38.69</v>
      </c>
      <c r="L108" s="69"/>
      <c r="M108" s="69">
        <v>32.71</v>
      </c>
      <c r="N108" s="69"/>
      <c r="O108" s="69">
        <v>42.31</v>
      </c>
      <c r="P108" s="69"/>
      <c r="Q108" s="69">
        <v>147.95</v>
      </c>
      <c r="R108" s="69"/>
      <c r="S108" s="69">
        <v>286.61</v>
      </c>
      <c r="T108" s="69"/>
      <c r="U108" s="69">
        <v>301.07</v>
      </c>
      <c r="V108" s="69">
        <f>384.68+500</f>
        <v>884.68</v>
      </c>
      <c r="W108" s="69">
        <v>122.99</v>
      </c>
      <c r="X108" s="69"/>
      <c r="Y108" s="69">
        <v>110.04</v>
      </c>
      <c r="Z108" s="69"/>
      <c r="AA108" s="69">
        <v>121.06</v>
      </c>
      <c r="AB108" s="69"/>
      <c r="AC108" s="185">
        <f t="shared" si="9"/>
        <v>1322.72</v>
      </c>
      <c r="AD108" s="185">
        <f t="shared" si="10"/>
        <v>1728.02</v>
      </c>
      <c r="AE108" s="211">
        <f t="shared" si="11"/>
        <v>607.832443</v>
      </c>
      <c r="AF108" s="14"/>
    </row>
    <row r="109" s="8" customFormat="1" ht="35" customHeight="1" spans="1:32">
      <c r="A109" s="64">
        <v>106</v>
      </c>
      <c r="B109" s="50" t="s">
        <v>245</v>
      </c>
      <c r="C109" s="65" t="s">
        <v>246</v>
      </c>
      <c r="D109" s="50">
        <v>-137.594528000001</v>
      </c>
      <c r="E109" s="69">
        <v>349.14</v>
      </c>
      <c r="F109" s="69"/>
      <c r="G109" s="69">
        <v>507.5</v>
      </c>
      <c r="H109" s="69">
        <v>592.43</v>
      </c>
      <c r="I109" s="69">
        <v>667.75</v>
      </c>
      <c r="J109" s="69">
        <v>1207.5</v>
      </c>
      <c r="K109" s="69">
        <v>307.58</v>
      </c>
      <c r="L109" s="69"/>
      <c r="M109" s="69">
        <v>257.94</v>
      </c>
      <c r="N109" s="69"/>
      <c r="O109" s="69">
        <v>253.43</v>
      </c>
      <c r="P109" s="69">
        <v>884.68</v>
      </c>
      <c r="Q109" s="69">
        <v>339.52</v>
      </c>
      <c r="R109" s="69"/>
      <c r="S109" s="69">
        <v>411.73</v>
      </c>
      <c r="T109" s="69">
        <v>800</v>
      </c>
      <c r="U109" s="69">
        <v>404.18</v>
      </c>
      <c r="V109" s="69"/>
      <c r="W109" s="69">
        <v>209.13</v>
      </c>
      <c r="X109" s="69">
        <v>1000</v>
      </c>
      <c r="Y109" s="69">
        <v>231.38</v>
      </c>
      <c r="Z109" s="69"/>
      <c r="AA109" s="69">
        <v>238.16</v>
      </c>
      <c r="AB109" s="69"/>
      <c r="AC109" s="185">
        <f t="shared" si="9"/>
        <v>4177.44</v>
      </c>
      <c r="AD109" s="185">
        <f t="shared" si="10"/>
        <v>4484.61</v>
      </c>
      <c r="AE109" s="211">
        <f t="shared" si="11"/>
        <v>169.575472</v>
      </c>
      <c r="AF109" s="14"/>
    </row>
    <row r="110" s="8" customFormat="1" ht="35" customHeight="1" spans="1:32">
      <c r="A110" s="64">
        <v>107</v>
      </c>
      <c r="B110" s="50" t="s">
        <v>247</v>
      </c>
      <c r="C110" s="65" t="s">
        <v>248</v>
      </c>
      <c r="D110" s="50">
        <v>174.636572</v>
      </c>
      <c r="E110" s="69">
        <v>187.16</v>
      </c>
      <c r="F110" s="69">
        <v>500</v>
      </c>
      <c r="G110" s="69">
        <v>199.39</v>
      </c>
      <c r="H110" s="69">
        <v>0</v>
      </c>
      <c r="I110" s="69">
        <v>172.37</v>
      </c>
      <c r="J110" s="69">
        <v>0</v>
      </c>
      <c r="K110" s="69">
        <v>119.58</v>
      </c>
      <c r="L110" s="69">
        <v>400</v>
      </c>
      <c r="M110" s="69">
        <v>113.07</v>
      </c>
      <c r="N110" s="69"/>
      <c r="O110" s="69">
        <v>175.08</v>
      </c>
      <c r="P110" s="69">
        <v>66.65</v>
      </c>
      <c r="Q110" s="69">
        <v>211.81</v>
      </c>
      <c r="R110" s="69">
        <v>211.81</v>
      </c>
      <c r="S110" s="69">
        <v>163.21</v>
      </c>
      <c r="T110" s="69"/>
      <c r="U110" s="69">
        <v>187.22</v>
      </c>
      <c r="V110" s="69">
        <v>350.43</v>
      </c>
      <c r="W110" s="69">
        <v>114.79</v>
      </c>
      <c r="X110" s="220">
        <v>114.79</v>
      </c>
      <c r="Y110" s="69">
        <v>141.06</v>
      </c>
      <c r="Z110" s="220">
        <v>141.06</v>
      </c>
      <c r="AA110" s="69">
        <v>128.28</v>
      </c>
      <c r="AB110" s="220">
        <v>128.28</v>
      </c>
      <c r="AC110" s="185">
        <f t="shared" si="9"/>
        <v>1913.02</v>
      </c>
      <c r="AD110" s="185">
        <f t="shared" si="10"/>
        <v>1913.02</v>
      </c>
      <c r="AE110" s="211">
        <f t="shared" si="11"/>
        <v>174.636572</v>
      </c>
      <c r="AF110" s="14"/>
    </row>
    <row r="111" s="8" customFormat="1" ht="35" customHeight="1" spans="1:32">
      <c r="A111" s="64">
        <v>108</v>
      </c>
      <c r="B111" s="50" t="s">
        <v>249</v>
      </c>
      <c r="C111" s="65" t="s">
        <v>250</v>
      </c>
      <c r="D111" s="50">
        <v>113.735368000001</v>
      </c>
      <c r="E111" s="69">
        <v>214.99</v>
      </c>
      <c r="F111" s="69"/>
      <c r="G111" s="69">
        <v>320.3</v>
      </c>
      <c r="H111" s="69">
        <v>0</v>
      </c>
      <c r="I111" s="69">
        <v>346.42</v>
      </c>
      <c r="J111" s="69">
        <v>0</v>
      </c>
      <c r="K111" s="69">
        <v>275.23</v>
      </c>
      <c r="L111" s="69">
        <v>2000</v>
      </c>
      <c r="M111" s="69">
        <v>208.19</v>
      </c>
      <c r="N111" s="69"/>
      <c r="O111" s="69">
        <v>190.31</v>
      </c>
      <c r="P111" s="69"/>
      <c r="Q111" s="69">
        <v>227.61</v>
      </c>
      <c r="R111" s="69"/>
      <c r="S111" s="69">
        <v>312.32</v>
      </c>
      <c r="T111" s="69"/>
      <c r="U111" s="69">
        <v>334.37</v>
      </c>
      <c r="V111" s="69"/>
      <c r="W111" s="69">
        <v>151.7</v>
      </c>
      <c r="X111" s="69">
        <v>84.68</v>
      </c>
      <c r="Y111" s="69">
        <v>142.69</v>
      </c>
      <c r="Z111" s="69">
        <v>1000</v>
      </c>
      <c r="AA111" s="69">
        <v>140.49</v>
      </c>
      <c r="AB111" s="69"/>
      <c r="AC111" s="185">
        <f t="shared" si="9"/>
        <v>2864.62</v>
      </c>
      <c r="AD111" s="185">
        <f t="shared" si="10"/>
        <v>3084.68</v>
      </c>
      <c r="AE111" s="211">
        <f t="shared" si="11"/>
        <v>333.795368000001</v>
      </c>
      <c r="AF111" s="14"/>
    </row>
    <row r="112" s="8" customFormat="1" ht="35" customHeight="1" spans="1:32">
      <c r="A112" s="64">
        <v>109</v>
      </c>
      <c r="B112" s="50" t="s">
        <v>251</v>
      </c>
      <c r="C112" s="65" t="s">
        <v>252</v>
      </c>
      <c r="D112" s="50">
        <v>-32.0640770000002</v>
      </c>
      <c r="E112" s="69">
        <v>21.85</v>
      </c>
      <c r="F112" s="69"/>
      <c r="G112" s="69">
        <v>58.43</v>
      </c>
      <c r="H112" s="69">
        <v>300</v>
      </c>
      <c r="I112" s="69">
        <v>164</v>
      </c>
      <c r="J112" s="69">
        <v>400</v>
      </c>
      <c r="K112" s="69">
        <v>136.88</v>
      </c>
      <c r="L112" s="69"/>
      <c r="M112" s="69">
        <v>107.61</v>
      </c>
      <c r="N112" s="69"/>
      <c r="O112" s="69">
        <v>109.78</v>
      </c>
      <c r="P112" s="69">
        <v>384.68</v>
      </c>
      <c r="Q112" s="69">
        <v>67.02</v>
      </c>
      <c r="R112" s="69"/>
      <c r="S112" s="69">
        <v>122.07</v>
      </c>
      <c r="T112" s="69"/>
      <c r="U112" s="69">
        <v>130.83</v>
      </c>
      <c r="V112" s="69"/>
      <c r="W112" s="69">
        <v>68.64</v>
      </c>
      <c r="X112" s="69">
        <v>500</v>
      </c>
      <c r="Y112" s="69">
        <v>82.3</v>
      </c>
      <c r="Z112" s="69"/>
      <c r="AA112" s="69">
        <v>91.09</v>
      </c>
      <c r="AB112" s="69"/>
      <c r="AC112" s="185">
        <f t="shared" si="9"/>
        <v>1160.5</v>
      </c>
      <c r="AD112" s="185">
        <f t="shared" si="10"/>
        <v>1584.68</v>
      </c>
      <c r="AE112" s="211">
        <f t="shared" si="11"/>
        <v>392.115923</v>
      </c>
      <c r="AF112" s="14"/>
    </row>
    <row r="113" s="8" customFormat="1" ht="35" customHeight="1" spans="1:32">
      <c r="A113" s="64">
        <v>110</v>
      </c>
      <c r="B113" s="50" t="s">
        <v>253</v>
      </c>
      <c r="C113" s="65" t="s">
        <v>254</v>
      </c>
      <c r="D113" s="50">
        <v>425.213972</v>
      </c>
      <c r="E113" s="69">
        <v>44.11</v>
      </c>
      <c r="F113" s="69"/>
      <c r="G113" s="69">
        <v>83.5</v>
      </c>
      <c r="H113" s="69">
        <v>44.11</v>
      </c>
      <c r="I113" s="69">
        <v>54.66</v>
      </c>
      <c r="J113" s="69">
        <v>83.5</v>
      </c>
      <c r="K113" s="69">
        <v>58.78</v>
      </c>
      <c r="L113" s="69">
        <v>113.44</v>
      </c>
      <c r="M113" s="69">
        <v>39.27</v>
      </c>
      <c r="N113" s="69"/>
      <c r="O113" s="69">
        <v>67.89</v>
      </c>
      <c r="P113" s="69">
        <v>107.16</v>
      </c>
      <c r="Q113" s="69">
        <v>69.55</v>
      </c>
      <c r="R113" s="69">
        <v>69.55</v>
      </c>
      <c r="S113" s="69">
        <v>51.8</v>
      </c>
      <c r="T113" s="69">
        <v>300</v>
      </c>
      <c r="U113" s="69">
        <v>63.17</v>
      </c>
      <c r="V113" s="69"/>
      <c r="W113" s="69">
        <v>40.95</v>
      </c>
      <c r="X113" s="69"/>
      <c r="Y113" s="69">
        <v>56.72</v>
      </c>
      <c r="Z113" s="69"/>
      <c r="AA113" s="69">
        <v>76.11</v>
      </c>
      <c r="AB113" s="69">
        <v>500</v>
      </c>
      <c r="AC113" s="185">
        <f t="shared" si="9"/>
        <v>706.51</v>
      </c>
      <c r="AD113" s="185">
        <f t="shared" si="10"/>
        <v>1217.76</v>
      </c>
      <c r="AE113" s="211">
        <f t="shared" si="11"/>
        <v>936.463972</v>
      </c>
      <c r="AF113" s="14"/>
    </row>
    <row r="114" s="8" customFormat="1" ht="35" customHeight="1" spans="1:32">
      <c r="A114" s="64">
        <v>111</v>
      </c>
      <c r="B114" s="50" t="s">
        <v>255</v>
      </c>
      <c r="C114" s="65" t="s">
        <v>256</v>
      </c>
      <c r="D114" s="50">
        <v>72.4547230000003</v>
      </c>
      <c r="E114" s="69">
        <v>241.71</v>
      </c>
      <c r="F114" s="69">
        <v>241.71</v>
      </c>
      <c r="G114" s="69">
        <v>277.95</v>
      </c>
      <c r="H114" s="69">
        <v>460</v>
      </c>
      <c r="I114" s="69">
        <v>296.21</v>
      </c>
      <c r="J114" s="69">
        <v>500</v>
      </c>
      <c r="K114" s="69">
        <v>207.73</v>
      </c>
      <c r="L114" s="69"/>
      <c r="M114" s="69">
        <v>169.38</v>
      </c>
      <c r="N114" s="69">
        <v>500</v>
      </c>
      <c r="O114" s="69">
        <v>215.34</v>
      </c>
      <c r="P114" s="69"/>
      <c r="Q114" s="69">
        <v>197.27</v>
      </c>
      <c r="R114" s="69">
        <v>500</v>
      </c>
      <c r="S114" s="69">
        <v>166.64</v>
      </c>
      <c r="T114" s="69"/>
      <c r="U114" s="69">
        <v>166.82</v>
      </c>
      <c r="V114" s="69"/>
      <c r="W114" s="69">
        <v>152.22</v>
      </c>
      <c r="X114" s="69"/>
      <c r="Y114" s="69">
        <v>186.76</v>
      </c>
      <c r="Z114" s="69">
        <v>576.32</v>
      </c>
      <c r="AA114" s="69">
        <v>185.44</v>
      </c>
      <c r="AB114" s="69"/>
      <c r="AC114" s="185">
        <f t="shared" si="9"/>
        <v>2463.47</v>
      </c>
      <c r="AD114" s="185">
        <f t="shared" si="10"/>
        <v>2778.03</v>
      </c>
      <c r="AE114" s="211">
        <f t="shared" si="11"/>
        <v>387.014723000001</v>
      </c>
      <c r="AF114" s="14"/>
    </row>
    <row r="115" s="8" customFormat="1" ht="35" customHeight="1" spans="1:32">
      <c r="A115" s="64">
        <v>112</v>
      </c>
      <c r="B115" s="50" t="s">
        <v>257</v>
      </c>
      <c r="C115" s="65" t="s">
        <v>258</v>
      </c>
      <c r="D115" s="50">
        <v>63.8631780000014</v>
      </c>
      <c r="E115" s="69">
        <v>319.64</v>
      </c>
      <c r="F115" s="69"/>
      <c r="G115" s="69">
        <v>366.54</v>
      </c>
      <c r="H115" s="69">
        <v>720</v>
      </c>
      <c r="I115" s="69">
        <v>374.31</v>
      </c>
      <c r="J115" s="69">
        <v>0</v>
      </c>
      <c r="K115" s="69">
        <v>273.55</v>
      </c>
      <c r="L115" s="69">
        <v>500</v>
      </c>
      <c r="M115" s="69">
        <v>221.31</v>
      </c>
      <c r="N115" s="69">
        <v>700</v>
      </c>
      <c r="O115" s="69">
        <v>231.66</v>
      </c>
      <c r="P115" s="69"/>
      <c r="Q115" s="69">
        <v>336.36</v>
      </c>
      <c r="R115" s="69"/>
      <c r="S115" s="69">
        <v>394.59</v>
      </c>
      <c r="T115" s="69">
        <v>884.68</v>
      </c>
      <c r="U115" s="69">
        <v>338.66</v>
      </c>
      <c r="V115" s="69"/>
      <c r="W115" s="69">
        <v>106.07</v>
      </c>
      <c r="X115" s="69">
        <v>500</v>
      </c>
      <c r="Y115" s="69">
        <v>137.25</v>
      </c>
      <c r="Z115" s="69"/>
      <c r="AA115" s="69">
        <v>115.51</v>
      </c>
      <c r="AB115" s="69"/>
      <c r="AC115" s="185">
        <f t="shared" si="9"/>
        <v>3215.45</v>
      </c>
      <c r="AD115" s="185">
        <f t="shared" si="10"/>
        <v>3304.68</v>
      </c>
      <c r="AE115" s="211">
        <f t="shared" si="11"/>
        <v>153.093178000001</v>
      </c>
      <c r="AF115" s="14"/>
    </row>
    <row r="116" s="8" customFormat="1" ht="35" customHeight="1" spans="1:32">
      <c r="A116" s="64">
        <v>113</v>
      </c>
      <c r="B116" s="50" t="s">
        <v>259</v>
      </c>
      <c r="C116" s="65" t="s">
        <v>260</v>
      </c>
      <c r="D116" s="50">
        <v>87.6924530000006</v>
      </c>
      <c r="E116" s="69">
        <v>227.8</v>
      </c>
      <c r="F116" s="69"/>
      <c r="G116" s="69">
        <v>244.52</v>
      </c>
      <c r="H116" s="69">
        <v>0</v>
      </c>
      <c r="I116" s="69">
        <v>322.99</v>
      </c>
      <c r="J116" s="69">
        <v>0</v>
      </c>
      <c r="K116" s="69">
        <v>160.31</v>
      </c>
      <c r="L116" s="69"/>
      <c r="M116" s="69">
        <v>145.87</v>
      </c>
      <c r="N116" s="69">
        <f>955.62+146</f>
        <v>1101.62</v>
      </c>
      <c r="O116" s="69">
        <v>177.25</v>
      </c>
      <c r="P116" s="69">
        <v>184.68</v>
      </c>
      <c r="Q116" s="69">
        <v>157.43</v>
      </c>
      <c r="R116" s="69">
        <v>160</v>
      </c>
      <c r="S116" s="69">
        <v>215.2</v>
      </c>
      <c r="T116" s="69">
        <v>400</v>
      </c>
      <c r="U116" s="69">
        <v>124.93</v>
      </c>
      <c r="V116" s="69"/>
      <c r="W116" s="69">
        <v>107.09</v>
      </c>
      <c r="X116" s="69">
        <v>500</v>
      </c>
      <c r="Y116" s="69">
        <v>158.47</v>
      </c>
      <c r="Z116" s="69"/>
      <c r="AA116" s="69">
        <v>163.24</v>
      </c>
      <c r="AB116" s="69"/>
      <c r="AC116" s="185">
        <f t="shared" si="9"/>
        <v>2205.1</v>
      </c>
      <c r="AD116" s="185">
        <f t="shared" si="10"/>
        <v>2346.3</v>
      </c>
      <c r="AE116" s="211">
        <f t="shared" si="11"/>
        <v>228.892453</v>
      </c>
      <c r="AF116" s="14"/>
    </row>
    <row r="117" s="8" customFormat="1" ht="35" customHeight="1" spans="1:32">
      <c r="A117" s="64">
        <v>114</v>
      </c>
      <c r="B117" s="50" t="s">
        <v>261</v>
      </c>
      <c r="C117" s="65" t="s">
        <v>262</v>
      </c>
      <c r="D117" s="50">
        <v>-1004.442728</v>
      </c>
      <c r="E117" s="69">
        <v>263.98</v>
      </c>
      <c r="F117" s="69"/>
      <c r="G117" s="69">
        <v>172.09</v>
      </c>
      <c r="H117" s="69">
        <v>436.5</v>
      </c>
      <c r="I117" s="69">
        <v>232.61</v>
      </c>
      <c r="J117" s="69">
        <v>404.8</v>
      </c>
      <c r="K117" s="69">
        <v>179.83</v>
      </c>
      <c r="L117" s="69"/>
      <c r="M117" s="69">
        <v>130.57</v>
      </c>
      <c r="N117" s="69">
        <v>300</v>
      </c>
      <c r="O117" s="69">
        <v>172.35</v>
      </c>
      <c r="P117" s="69">
        <v>384.68</v>
      </c>
      <c r="Q117" s="69">
        <v>222.56</v>
      </c>
      <c r="R117" s="69"/>
      <c r="S117" s="69">
        <v>94.65</v>
      </c>
      <c r="T117" s="69"/>
      <c r="U117" s="69">
        <v>341.89</v>
      </c>
      <c r="V117" s="69">
        <v>800</v>
      </c>
      <c r="W117" s="69">
        <v>229.64</v>
      </c>
      <c r="X117" s="69"/>
      <c r="Y117" s="69">
        <v>212.34</v>
      </c>
      <c r="Z117" s="69"/>
      <c r="AA117" s="69">
        <v>266.47</v>
      </c>
      <c r="AB117" s="69">
        <v>500</v>
      </c>
      <c r="AC117" s="185">
        <f t="shared" si="9"/>
        <v>2518.98</v>
      </c>
      <c r="AD117" s="185">
        <f t="shared" si="10"/>
        <v>2825.98</v>
      </c>
      <c r="AE117" s="211">
        <f t="shared" si="11"/>
        <v>-697.442728</v>
      </c>
      <c r="AF117" s="14"/>
    </row>
    <row r="118" s="8" customFormat="1" ht="35" customHeight="1" spans="1:32">
      <c r="A118" s="64">
        <v>115</v>
      </c>
      <c r="B118" s="50" t="s">
        <v>263</v>
      </c>
      <c r="C118" s="65" t="s">
        <v>264</v>
      </c>
      <c r="D118" s="50">
        <v>368.205808</v>
      </c>
      <c r="E118" s="69">
        <v>245.05</v>
      </c>
      <c r="F118" s="69"/>
      <c r="G118" s="69">
        <v>173.76</v>
      </c>
      <c r="H118" s="69">
        <v>0</v>
      </c>
      <c r="I118" s="69">
        <v>379.33</v>
      </c>
      <c r="J118" s="69">
        <v>0</v>
      </c>
      <c r="K118" s="69">
        <v>291.96</v>
      </c>
      <c r="L118" s="69">
        <v>1000</v>
      </c>
      <c r="M118" s="69">
        <v>220.76</v>
      </c>
      <c r="N118" s="69"/>
      <c r="O118" s="69">
        <v>201.74</v>
      </c>
      <c r="P118" s="69">
        <v>384.68</v>
      </c>
      <c r="Q118" s="69">
        <v>250.37</v>
      </c>
      <c r="R118" s="69"/>
      <c r="S118" s="69">
        <v>232.34</v>
      </c>
      <c r="T118" s="69"/>
      <c r="U118" s="69">
        <v>235.02</v>
      </c>
      <c r="V118" s="69"/>
      <c r="W118" s="69">
        <v>167.6</v>
      </c>
      <c r="X118" s="69"/>
      <c r="Y118" s="69">
        <v>239.54</v>
      </c>
      <c r="Z118" s="69">
        <v>1000</v>
      </c>
      <c r="AA118" s="69">
        <v>265.91</v>
      </c>
      <c r="AB118" s="69"/>
      <c r="AC118" s="185">
        <f t="shared" si="9"/>
        <v>2903.38</v>
      </c>
      <c r="AD118" s="185">
        <f t="shared" si="10"/>
        <v>2384.68</v>
      </c>
      <c r="AE118" s="211">
        <f t="shared" si="11"/>
        <v>-150.494191999999</v>
      </c>
      <c r="AF118" s="14"/>
    </row>
    <row r="119" s="8" customFormat="1" ht="35" customHeight="1" spans="1:32">
      <c r="A119" s="64">
        <v>116</v>
      </c>
      <c r="B119" s="50" t="s">
        <v>265</v>
      </c>
      <c r="C119" s="65" t="s">
        <v>266</v>
      </c>
      <c r="D119" s="50">
        <v>213.78</v>
      </c>
      <c r="E119" s="69">
        <v>15.73</v>
      </c>
      <c r="F119" s="69">
        <v>15.73</v>
      </c>
      <c r="G119" s="69">
        <v>11.07</v>
      </c>
      <c r="H119" s="69">
        <v>0</v>
      </c>
      <c r="I119" s="69">
        <v>6.12</v>
      </c>
      <c r="J119" s="69">
        <v>17.19</v>
      </c>
      <c r="K119" s="69">
        <v>11.36</v>
      </c>
      <c r="L119" s="69">
        <v>11.36</v>
      </c>
      <c r="M119" s="69">
        <v>8.11</v>
      </c>
      <c r="N119" s="69">
        <v>8.11</v>
      </c>
      <c r="O119" s="69">
        <v>13.48</v>
      </c>
      <c r="P119" s="69">
        <v>142.28</v>
      </c>
      <c r="Q119" s="69">
        <v>26.56</v>
      </c>
      <c r="R119" s="69"/>
      <c r="S119" s="69">
        <v>20.95</v>
      </c>
      <c r="T119" s="69"/>
      <c r="U119" s="69">
        <v>22.36</v>
      </c>
      <c r="V119" s="69"/>
      <c r="W119" s="69">
        <v>19.93</v>
      </c>
      <c r="X119" s="69"/>
      <c r="Y119" s="69">
        <v>11.02</v>
      </c>
      <c r="Z119" s="69"/>
      <c r="AA119" s="69">
        <v>16.17</v>
      </c>
      <c r="AB119" s="69"/>
      <c r="AC119" s="185">
        <f t="shared" si="9"/>
        <v>182.86</v>
      </c>
      <c r="AD119" s="185">
        <f t="shared" si="10"/>
        <v>194.67</v>
      </c>
      <c r="AE119" s="211">
        <f t="shared" si="11"/>
        <v>225.59</v>
      </c>
      <c r="AF119" s="14"/>
    </row>
    <row r="120" s="8" customFormat="1" ht="35" customHeight="1" spans="1:32">
      <c r="A120" s="64">
        <v>117</v>
      </c>
      <c r="B120" s="50" t="s">
        <v>267</v>
      </c>
      <c r="C120" s="65" t="s">
        <v>268</v>
      </c>
      <c r="D120" s="50">
        <v>101.342372</v>
      </c>
      <c r="E120" s="69">
        <v>75.28</v>
      </c>
      <c r="F120" s="69"/>
      <c r="G120" s="69">
        <v>66.79</v>
      </c>
      <c r="H120" s="69">
        <v>142.07</v>
      </c>
      <c r="I120" s="69">
        <v>64.14</v>
      </c>
      <c r="J120" s="69">
        <v>64.14</v>
      </c>
      <c r="K120" s="69">
        <v>72.16</v>
      </c>
      <c r="L120" s="69">
        <v>72.16</v>
      </c>
      <c r="M120" s="69">
        <v>70.43</v>
      </c>
      <c r="N120" s="69">
        <v>70.43</v>
      </c>
      <c r="O120" s="69">
        <v>81.49</v>
      </c>
      <c r="P120" s="69"/>
      <c r="Q120" s="69">
        <v>156.8</v>
      </c>
      <c r="R120" s="69">
        <f>81.49+156.8</f>
        <v>238.29</v>
      </c>
      <c r="S120" s="69">
        <v>198.06</v>
      </c>
      <c r="T120" s="69">
        <v>198.06</v>
      </c>
      <c r="U120" s="69">
        <v>193.67</v>
      </c>
      <c r="V120" s="69"/>
      <c r="W120" s="69">
        <v>132.22</v>
      </c>
      <c r="X120" s="69">
        <v>325.89</v>
      </c>
      <c r="Y120" s="69">
        <v>88.82</v>
      </c>
      <c r="Z120" s="69">
        <v>88.82</v>
      </c>
      <c r="AA120" s="69">
        <v>75.55</v>
      </c>
      <c r="AB120" s="69">
        <v>75.55</v>
      </c>
      <c r="AC120" s="185">
        <f t="shared" si="9"/>
        <v>1275.41</v>
      </c>
      <c r="AD120" s="185">
        <f t="shared" si="10"/>
        <v>1275.41</v>
      </c>
      <c r="AE120" s="211">
        <f t="shared" si="11"/>
        <v>101.342372</v>
      </c>
      <c r="AF120" s="14"/>
    </row>
    <row r="121" s="8" customFormat="1" ht="35" customHeight="1" spans="1:32">
      <c r="A121" s="64">
        <v>118</v>
      </c>
      <c r="B121" s="50" t="s">
        <v>269</v>
      </c>
      <c r="C121" s="65" t="s">
        <v>270</v>
      </c>
      <c r="D121" s="50">
        <v>-147.493727999999</v>
      </c>
      <c r="E121" s="69">
        <v>185.49</v>
      </c>
      <c r="F121" s="69"/>
      <c r="G121" s="69">
        <v>267.92</v>
      </c>
      <c r="H121" s="69">
        <v>185.49</v>
      </c>
      <c r="I121" s="69">
        <v>240.42</v>
      </c>
      <c r="J121" s="69">
        <v>267.92</v>
      </c>
      <c r="K121" s="69">
        <v>132.97</v>
      </c>
      <c r="L121" s="69">
        <v>240</v>
      </c>
      <c r="M121" s="69">
        <v>104.33</v>
      </c>
      <c r="N121" s="69">
        <v>133.39</v>
      </c>
      <c r="O121" s="69">
        <v>196.29</v>
      </c>
      <c r="P121" s="69">
        <v>184.68</v>
      </c>
      <c r="Q121" s="69">
        <v>253.54</v>
      </c>
      <c r="R121" s="69"/>
      <c r="S121" s="69">
        <v>337.46</v>
      </c>
      <c r="T121" s="69">
        <v>500</v>
      </c>
      <c r="U121" s="69">
        <v>347.26</v>
      </c>
      <c r="V121" s="69"/>
      <c r="W121" s="69">
        <v>167.09</v>
      </c>
      <c r="X121" s="69">
        <v>1000</v>
      </c>
      <c r="Y121" s="69">
        <v>209.07</v>
      </c>
      <c r="Z121" s="69"/>
      <c r="AA121" s="69">
        <v>190.99</v>
      </c>
      <c r="AB121" s="69"/>
      <c r="AC121" s="185">
        <f t="shared" si="9"/>
        <v>2632.83</v>
      </c>
      <c r="AD121" s="185">
        <f t="shared" si="10"/>
        <v>2511.48</v>
      </c>
      <c r="AE121" s="211">
        <f t="shared" si="11"/>
        <v>-268.843728</v>
      </c>
      <c r="AF121" s="14"/>
    </row>
    <row r="122" s="8" customFormat="1" ht="35" customHeight="1" spans="1:32">
      <c r="A122" s="64">
        <v>119</v>
      </c>
      <c r="B122" s="50" t="s">
        <v>271</v>
      </c>
      <c r="C122" s="65" t="s">
        <v>272</v>
      </c>
      <c r="D122" s="50">
        <v>888.706485</v>
      </c>
      <c r="E122" s="69">
        <v>12.94</v>
      </c>
      <c r="F122" s="69"/>
      <c r="G122" s="69">
        <v>23.37</v>
      </c>
      <c r="H122" s="69">
        <v>0</v>
      </c>
      <c r="I122" s="69">
        <v>18.39</v>
      </c>
      <c r="J122" s="69">
        <v>0</v>
      </c>
      <c r="K122" s="69">
        <v>29.77</v>
      </c>
      <c r="L122" s="69"/>
      <c r="M122" s="69">
        <v>12.49</v>
      </c>
      <c r="N122" s="69"/>
      <c r="O122" s="69">
        <v>21.64</v>
      </c>
      <c r="P122" s="69"/>
      <c r="Q122" s="69">
        <v>9.49</v>
      </c>
      <c r="R122" s="69"/>
      <c r="S122" s="69">
        <v>12.38</v>
      </c>
      <c r="T122" s="69"/>
      <c r="U122" s="69">
        <v>15.91</v>
      </c>
      <c r="V122" s="69"/>
      <c r="W122" s="69">
        <v>12.23</v>
      </c>
      <c r="X122" s="69"/>
      <c r="Y122" s="69">
        <v>15.37</v>
      </c>
      <c r="Z122" s="69"/>
      <c r="AA122" s="69">
        <v>10.62</v>
      </c>
      <c r="AB122" s="69"/>
      <c r="AC122" s="185">
        <f t="shared" si="9"/>
        <v>194.6</v>
      </c>
      <c r="AD122" s="185">
        <f t="shared" si="10"/>
        <v>0</v>
      </c>
      <c r="AE122" s="211">
        <f t="shared" si="11"/>
        <v>694.106485</v>
      </c>
      <c r="AF122" s="14"/>
    </row>
    <row r="123" s="8" customFormat="1" ht="35" customHeight="1" spans="1:32">
      <c r="A123" s="64">
        <v>120</v>
      </c>
      <c r="B123" s="50" t="s">
        <v>273</v>
      </c>
      <c r="C123" s="65" t="s">
        <v>274</v>
      </c>
      <c r="D123" s="50">
        <v>-76.0233800000001</v>
      </c>
      <c r="E123" s="69">
        <v>361.38</v>
      </c>
      <c r="F123" s="69">
        <v>362</v>
      </c>
      <c r="G123" s="69">
        <v>353.17</v>
      </c>
      <c r="H123" s="69">
        <v>0</v>
      </c>
      <c r="I123" s="69">
        <v>388.26</v>
      </c>
      <c r="J123" s="69">
        <v>400</v>
      </c>
      <c r="K123" s="69">
        <v>283.04</v>
      </c>
      <c r="L123" s="69">
        <v>700</v>
      </c>
      <c r="M123" s="69">
        <v>234.43</v>
      </c>
      <c r="N123" s="69"/>
      <c r="O123" s="69">
        <v>191.94</v>
      </c>
      <c r="P123" s="69"/>
      <c r="Q123" s="69">
        <v>136.57</v>
      </c>
      <c r="R123" s="69"/>
      <c r="S123" s="69">
        <v>283.75</v>
      </c>
      <c r="T123" s="69"/>
      <c r="U123" s="69">
        <v>267.24</v>
      </c>
      <c r="V123" s="69">
        <v>884.68</v>
      </c>
      <c r="W123" s="69">
        <v>160.42</v>
      </c>
      <c r="X123" s="69">
        <v>200</v>
      </c>
      <c r="Y123" s="69">
        <v>163.91</v>
      </c>
      <c r="Z123" s="69">
        <v>500</v>
      </c>
      <c r="AA123" s="69">
        <v>174.9</v>
      </c>
      <c r="AB123" s="69"/>
      <c r="AC123" s="185">
        <f t="shared" si="9"/>
        <v>2999.01</v>
      </c>
      <c r="AD123" s="185">
        <f t="shared" si="10"/>
        <v>3046.68</v>
      </c>
      <c r="AE123" s="211">
        <f t="shared" si="11"/>
        <v>-28.35338</v>
      </c>
      <c r="AF123" s="14"/>
    </row>
    <row r="124" s="8" customFormat="1" ht="35" customHeight="1" spans="1:32">
      <c r="A124" s="64">
        <v>121</v>
      </c>
      <c r="B124" s="50" t="s">
        <v>275</v>
      </c>
      <c r="C124" s="193" t="s">
        <v>336</v>
      </c>
      <c r="D124" s="50">
        <v>136.663472000001</v>
      </c>
      <c r="E124" s="69">
        <v>196.63</v>
      </c>
      <c r="F124" s="69"/>
      <c r="G124" s="69">
        <v>239.51</v>
      </c>
      <c r="H124" s="69">
        <v>0</v>
      </c>
      <c r="I124" s="69">
        <v>238.19</v>
      </c>
      <c r="J124" s="69">
        <v>436.14</v>
      </c>
      <c r="K124" s="69">
        <v>167</v>
      </c>
      <c r="L124" s="69"/>
      <c r="M124" s="69">
        <v>136.58</v>
      </c>
      <c r="N124" s="69">
        <v>400</v>
      </c>
      <c r="O124" s="69">
        <v>170.72</v>
      </c>
      <c r="P124" s="69">
        <v>384.68</v>
      </c>
      <c r="Q124" s="69">
        <v>191.58</v>
      </c>
      <c r="R124" s="69">
        <v>119.39</v>
      </c>
      <c r="S124" s="69">
        <v>158.64</v>
      </c>
      <c r="T124" s="69"/>
      <c r="U124" s="69">
        <v>150.7</v>
      </c>
      <c r="V124" s="69">
        <f>160+149.34</f>
        <v>309.34</v>
      </c>
      <c r="W124" s="69">
        <v>143.5</v>
      </c>
      <c r="X124" s="220">
        <v>143.5</v>
      </c>
      <c r="Y124" s="69">
        <v>151.4</v>
      </c>
      <c r="Z124" s="220">
        <v>151.4</v>
      </c>
      <c r="AA124" s="69">
        <v>158.8</v>
      </c>
      <c r="AB124" s="220">
        <v>158.8</v>
      </c>
      <c r="AC124" s="185">
        <f t="shared" si="9"/>
        <v>2103.25</v>
      </c>
      <c r="AD124" s="185">
        <f t="shared" si="10"/>
        <v>2103.25</v>
      </c>
      <c r="AE124" s="211">
        <f t="shared" si="11"/>
        <v>136.663472000001</v>
      </c>
      <c r="AF124" s="14"/>
    </row>
    <row r="125" s="8" customFormat="1" ht="35" customHeight="1" spans="1:32">
      <c r="A125" s="64">
        <v>122</v>
      </c>
      <c r="B125" s="50" t="s">
        <v>277</v>
      </c>
      <c r="C125" s="65" t="s">
        <v>278</v>
      </c>
      <c r="D125" s="50">
        <v>-386.746475</v>
      </c>
      <c r="E125" s="69">
        <v>322.42</v>
      </c>
      <c r="F125" s="69"/>
      <c r="G125" s="69">
        <v>213.32</v>
      </c>
      <c r="H125" s="69">
        <v>750</v>
      </c>
      <c r="I125" s="69">
        <v>229.83</v>
      </c>
      <c r="J125" s="69">
        <v>0</v>
      </c>
      <c r="K125" s="69">
        <v>252.35</v>
      </c>
      <c r="L125" s="69">
        <v>700</v>
      </c>
      <c r="M125" s="69">
        <v>207.1</v>
      </c>
      <c r="N125" s="69">
        <v>200</v>
      </c>
      <c r="O125" s="69">
        <v>199.56</v>
      </c>
      <c r="P125" s="69">
        <v>199.68</v>
      </c>
      <c r="Q125" s="69">
        <v>297.79</v>
      </c>
      <c r="R125" s="69"/>
      <c r="S125" s="69">
        <v>230.62</v>
      </c>
      <c r="T125" s="69"/>
      <c r="U125" s="69">
        <v>290.33</v>
      </c>
      <c r="V125" s="69">
        <v>530</v>
      </c>
      <c r="W125" s="69">
        <v>180.42</v>
      </c>
      <c r="X125" s="220"/>
      <c r="Y125" s="69">
        <v>155.2</v>
      </c>
      <c r="Z125" s="69"/>
      <c r="AA125" s="69">
        <v>157.14</v>
      </c>
      <c r="AB125" s="69"/>
      <c r="AC125" s="185">
        <f t="shared" si="9"/>
        <v>2736.08</v>
      </c>
      <c r="AD125" s="185">
        <f t="shared" si="10"/>
        <v>2379.68</v>
      </c>
      <c r="AE125" s="211">
        <f t="shared" si="11"/>
        <v>-743.146474999999</v>
      </c>
      <c r="AF125" s="14"/>
    </row>
    <row r="126" s="8" customFormat="1" ht="35" customHeight="1" spans="1:32">
      <c r="A126" s="64">
        <v>123</v>
      </c>
      <c r="B126" s="50" t="s">
        <v>279</v>
      </c>
      <c r="C126" s="65" t="s">
        <v>280</v>
      </c>
      <c r="D126" s="50">
        <v>2286.181115</v>
      </c>
      <c r="E126" s="69">
        <v>177.14</v>
      </c>
      <c r="F126" s="69"/>
      <c r="G126" s="69">
        <v>193.26</v>
      </c>
      <c r="H126" s="69">
        <v>300</v>
      </c>
      <c r="I126" s="69">
        <v>228.71</v>
      </c>
      <c r="J126" s="69">
        <v>0</v>
      </c>
      <c r="K126" s="69">
        <v>143.01</v>
      </c>
      <c r="L126" s="69">
        <v>457.59</v>
      </c>
      <c r="M126" s="69">
        <v>134.94</v>
      </c>
      <c r="N126" s="69"/>
      <c r="O126" s="69">
        <v>159.84</v>
      </c>
      <c r="P126" s="69"/>
      <c r="Q126" s="69">
        <v>174.5</v>
      </c>
      <c r="R126" s="69">
        <v>174.5</v>
      </c>
      <c r="S126" s="69">
        <v>156.92</v>
      </c>
      <c r="T126" s="69"/>
      <c r="U126" s="69">
        <v>188.3</v>
      </c>
      <c r="V126" s="69">
        <v>345.22</v>
      </c>
      <c r="W126" s="69">
        <v>129.14</v>
      </c>
      <c r="X126" s="220">
        <v>129.14</v>
      </c>
      <c r="Y126" s="69">
        <v>158.47</v>
      </c>
      <c r="Z126" s="220">
        <v>158.47</v>
      </c>
      <c r="AA126" s="69">
        <v>181.56</v>
      </c>
      <c r="AB126" s="220">
        <v>181.56</v>
      </c>
      <c r="AC126" s="185">
        <f t="shared" si="9"/>
        <v>2025.79</v>
      </c>
      <c r="AD126" s="185">
        <f t="shared" si="10"/>
        <v>1746.48</v>
      </c>
      <c r="AE126" s="211">
        <f t="shared" si="11"/>
        <v>2006.871115</v>
      </c>
      <c r="AF126" s="14"/>
    </row>
    <row r="127" s="8" customFormat="1" ht="35" customHeight="1" spans="1:32">
      <c r="A127" s="64">
        <v>124</v>
      </c>
      <c r="B127" s="50" t="s">
        <v>281</v>
      </c>
      <c r="C127" s="65" t="s">
        <v>282</v>
      </c>
      <c r="D127" s="50">
        <v>738.72833</v>
      </c>
      <c r="E127" s="69">
        <v>19.07</v>
      </c>
      <c r="F127" s="69"/>
      <c r="G127" s="69">
        <v>76.26</v>
      </c>
      <c r="H127" s="69">
        <v>0</v>
      </c>
      <c r="I127" s="69">
        <v>41.27</v>
      </c>
      <c r="J127" s="69">
        <v>94.79</v>
      </c>
      <c r="K127" s="69">
        <v>16.94</v>
      </c>
      <c r="L127" s="69">
        <v>58.21</v>
      </c>
      <c r="M127" s="69">
        <v>11.94</v>
      </c>
      <c r="N127" s="69"/>
      <c r="O127" s="69">
        <v>52.11</v>
      </c>
      <c r="P127" s="69">
        <v>184.68</v>
      </c>
      <c r="Q127" s="69">
        <v>63.23</v>
      </c>
      <c r="R127" s="69"/>
      <c r="S127" s="69">
        <v>35.24</v>
      </c>
      <c r="T127" s="69"/>
      <c r="U127" s="69">
        <v>59.95</v>
      </c>
      <c r="V127" s="69">
        <v>37.79</v>
      </c>
      <c r="W127" s="69">
        <v>56.84</v>
      </c>
      <c r="X127" s="220">
        <v>56.84</v>
      </c>
      <c r="Y127" s="69">
        <v>57.27</v>
      </c>
      <c r="Z127" s="220">
        <v>57.27</v>
      </c>
      <c r="AA127" s="69">
        <v>62.23</v>
      </c>
      <c r="AB127" s="220">
        <v>62.23</v>
      </c>
      <c r="AC127" s="185">
        <f t="shared" si="9"/>
        <v>552.35</v>
      </c>
      <c r="AD127" s="185">
        <f t="shared" si="10"/>
        <v>551.81</v>
      </c>
      <c r="AE127" s="211">
        <f t="shared" si="11"/>
        <v>738.18833</v>
      </c>
      <c r="AF127" s="14"/>
    </row>
    <row r="128" s="8" customFormat="1" ht="35" customHeight="1" spans="1:32">
      <c r="A128" s="64">
        <v>125</v>
      </c>
      <c r="B128" s="50" t="s">
        <v>283</v>
      </c>
      <c r="C128" s="65" t="s">
        <v>284</v>
      </c>
      <c r="D128" s="50">
        <v>-297.099728000001</v>
      </c>
      <c r="E128" s="69">
        <v>264.53</v>
      </c>
      <c r="F128" s="69"/>
      <c r="G128" s="69">
        <v>424.48</v>
      </c>
      <c r="H128" s="69">
        <v>843.34</v>
      </c>
      <c r="I128" s="69">
        <v>434.56</v>
      </c>
      <c r="J128" s="69">
        <v>50</v>
      </c>
      <c r="K128" s="69">
        <v>290.29</v>
      </c>
      <c r="L128" s="69">
        <v>500</v>
      </c>
      <c r="M128" s="69">
        <v>243.72</v>
      </c>
      <c r="N128" s="69">
        <v>230</v>
      </c>
      <c r="O128" s="69">
        <v>263.22</v>
      </c>
      <c r="P128" s="69">
        <v>534.68</v>
      </c>
      <c r="Q128" s="69">
        <v>311.07</v>
      </c>
      <c r="R128" s="69">
        <v>300</v>
      </c>
      <c r="S128" s="69">
        <v>308.32</v>
      </c>
      <c r="T128" s="69">
        <v>300</v>
      </c>
      <c r="U128" s="69">
        <v>431.57</v>
      </c>
      <c r="V128" s="69">
        <v>500</v>
      </c>
      <c r="W128" s="69">
        <v>229.13</v>
      </c>
      <c r="X128" s="69">
        <v>300</v>
      </c>
      <c r="Y128" s="69">
        <v>263.48</v>
      </c>
      <c r="Z128" s="69"/>
      <c r="AA128" s="69">
        <v>267.02</v>
      </c>
      <c r="AB128" s="69">
        <v>380</v>
      </c>
      <c r="AC128" s="185">
        <f t="shared" si="9"/>
        <v>3731.39</v>
      </c>
      <c r="AD128" s="185">
        <f t="shared" si="10"/>
        <v>3938.02</v>
      </c>
      <c r="AE128" s="211">
        <f t="shared" si="11"/>
        <v>-90.4697280000014</v>
      </c>
      <c r="AF128" s="14"/>
    </row>
    <row r="129" s="8" customFormat="1" ht="35" customHeight="1" spans="1:32">
      <c r="A129" s="64">
        <v>126</v>
      </c>
      <c r="B129" s="50" t="s">
        <v>285</v>
      </c>
      <c r="C129" s="65" t="s">
        <v>286</v>
      </c>
      <c r="D129" s="50">
        <v>152.320772</v>
      </c>
      <c r="E129" s="69">
        <v>92.54</v>
      </c>
      <c r="F129" s="69"/>
      <c r="G129" s="69">
        <v>141.45</v>
      </c>
      <c r="H129" s="69">
        <v>0</v>
      </c>
      <c r="I129" s="69">
        <v>156.74</v>
      </c>
      <c r="J129" s="69">
        <v>233.99</v>
      </c>
      <c r="K129" s="69">
        <v>75.51</v>
      </c>
      <c r="L129" s="112"/>
      <c r="M129" s="69">
        <v>63.33</v>
      </c>
      <c r="N129" s="69"/>
      <c r="O129" s="69">
        <v>74.42</v>
      </c>
      <c r="P129" s="69">
        <v>284.68</v>
      </c>
      <c r="Q129" s="69">
        <v>75.87</v>
      </c>
      <c r="R129" s="112"/>
      <c r="S129" s="69">
        <v>56.95</v>
      </c>
      <c r="T129" s="69">
        <v>300</v>
      </c>
      <c r="U129" s="69">
        <v>47.6</v>
      </c>
      <c r="V129" s="69"/>
      <c r="W129" s="69">
        <v>46.08</v>
      </c>
      <c r="X129" s="220">
        <v>11.82</v>
      </c>
      <c r="Y129" s="69">
        <v>58.9</v>
      </c>
      <c r="Z129" s="69">
        <v>128.9</v>
      </c>
      <c r="AA129" s="69">
        <v>75.55</v>
      </c>
      <c r="AB129" s="69">
        <v>81.55</v>
      </c>
      <c r="AC129" s="185">
        <f t="shared" si="9"/>
        <v>964.94</v>
      </c>
      <c r="AD129" s="185">
        <f t="shared" si="10"/>
        <v>1040.94</v>
      </c>
      <c r="AE129" s="211">
        <f t="shared" si="11"/>
        <v>228.320772</v>
      </c>
      <c r="AF129" s="14"/>
    </row>
    <row r="130" s="8" customFormat="1" ht="35" customHeight="1" spans="1:32">
      <c r="A130" s="64">
        <v>127</v>
      </c>
      <c r="B130" s="50" t="s">
        <v>287</v>
      </c>
      <c r="C130" s="65" t="s">
        <v>288</v>
      </c>
      <c r="D130" s="50">
        <v>339.166065000001</v>
      </c>
      <c r="E130" s="69">
        <v>135.95</v>
      </c>
      <c r="F130" s="69"/>
      <c r="G130" s="69">
        <v>177.66</v>
      </c>
      <c r="H130" s="69">
        <v>1800</v>
      </c>
      <c r="I130" s="69">
        <v>191.89</v>
      </c>
      <c r="J130" s="69">
        <v>0</v>
      </c>
      <c r="K130" s="69">
        <v>136.88</v>
      </c>
      <c r="L130" s="112"/>
      <c r="M130" s="69">
        <v>88.47</v>
      </c>
      <c r="N130" s="69"/>
      <c r="O130" s="69">
        <v>130.46</v>
      </c>
      <c r="P130" s="69"/>
      <c r="Q130" s="69">
        <v>125.82</v>
      </c>
      <c r="R130" s="112"/>
      <c r="S130" s="69">
        <v>118.08</v>
      </c>
      <c r="T130" s="112"/>
      <c r="U130" s="69">
        <v>134.06</v>
      </c>
      <c r="V130" s="69"/>
      <c r="W130" s="69">
        <v>88.12</v>
      </c>
      <c r="X130" s="112"/>
      <c r="Y130" s="69">
        <v>101.34</v>
      </c>
      <c r="Z130" s="69"/>
      <c r="AA130" s="69">
        <v>109.41</v>
      </c>
      <c r="AB130" s="69"/>
      <c r="AC130" s="185">
        <f t="shared" si="9"/>
        <v>1538.14</v>
      </c>
      <c r="AD130" s="185">
        <f t="shared" si="10"/>
        <v>1800</v>
      </c>
      <c r="AE130" s="211">
        <f t="shared" si="11"/>
        <v>601.026065000001</v>
      </c>
      <c r="AF130" s="14"/>
    </row>
    <row r="131" s="8" customFormat="1" ht="35" customHeight="1" spans="1:32">
      <c r="A131" s="64">
        <v>128</v>
      </c>
      <c r="B131" s="50" t="s">
        <v>289</v>
      </c>
      <c r="C131" s="65" t="s">
        <v>290</v>
      </c>
      <c r="D131" s="50">
        <v>-1066.01307</v>
      </c>
      <c r="E131" s="69">
        <v>74.73</v>
      </c>
      <c r="F131" s="69"/>
      <c r="G131" s="69">
        <v>97.99</v>
      </c>
      <c r="H131" s="69">
        <v>350</v>
      </c>
      <c r="I131" s="69">
        <v>108.21</v>
      </c>
      <c r="J131" s="69">
        <v>0</v>
      </c>
      <c r="K131" s="69">
        <v>114</v>
      </c>
      <c r="L131" s="112"/>
      <c r="M131" s="69">
        <v>95.03</v>
      </c>
      <c r="N131" s="69"/>
      <c r="O131" s="69">
        <v>94.55</v>
      </c>
      <c r="P131" s="69">
        <v>484.68</v>
      </c>
      <c r="Q131" s="69">
        <v>113.81</v>
      </c>
      <c r="R131" s="112"/>
      <c r="S131" s="69">
        <v>58.09</v>
      </c>
      <c r="T131" s="112"/>
      <c r="U131" s="69">
        <v>63.17</v>
      </c>
      <c r="V131" s="69">
        <f>500+1</f>
        <v>501</v>
      </c>
      <c r="W131" s="69">
        <v>71.2</v>
      </c>
      <c r="X131" s="112"/>
      <c r="Y131" s="69">
        <v>87.74</v>
      </c>
      <c r="Z131" s="69"/>
      <c r="AA131" s="69">
        <v>84.99</v>
      </c>
      <c r="AB131" s="69"/>
      <c r="AC131" s="185">
        <f t="shared" si="9"/>
        <v>1063.51</v>
      </c>
      <c r="AD131" s="185">
        <f t="shared" si="10"/>
        <v>1335.68</v>
      </c>
      <c r="AE131" s="211">
        <f t="shared" si="11"/>
        <v>-793.84307</v>
      </c>
      <c r="AF131" s="14"/>
    </row>
    <row r="132" s="8" customFormat="1" ht="35" customHeight="1" spans="1:32">
      <c r="A132" s="64">
        <v>129</v>
      </c>
      <c r="B132" s="50" t="s">
        <v>291</v>
      </c>
      <c r="C132" s="65" t="s">
        <v>292</v>
      </c>
      <c r="D132" s="50">
        <v>-459.321465</v>
      </c>
      <c r="E132" s="69">
        <v>199.97</v>
      </c>
      <c r="F132" s="69">
        <v>500</v>
      </c>
      <c r="G132" s="69">
        <v>294.67</v>
      </c>
      <c r="H132" s="112"/>
      <c r="I132" s="69">
        <v>338.63</v>
      </c>
      <c r="J132" s="69">
        <v>500</v>
      </c>
      <c r="K132" s="69">
        <v>216.09</v>
      </c>
      <c r="L132" s="112"/>
      <c r="M132" s="69">
        <v>155.18</v>
      </c>
      <c r="N132" s="69">
        <v>500</v>
      </c>
      <c r="O132" s="69">
        <v>148.41</v>
      </c>
      <c r="P132" s="112"/>
      <c r="Q132" s="69">
        <v>191.58</v>
      </c>
      <c r="R132" s="112"/>
      <c r="S132" s="69">
        <v>220.34</v>
      </c>
      <c r="T132" s="112"/>
      <c r="U132" s="69">
        <v>214.06</v>
      </c>
      <c r="V132" s="69">
        <v>184.68</v>
      </c>
      <c r="W132" s="69">
        <v>129.14</v>
      </c>
      <c r="X132" s="112"/>
      <c r="Y132" s="69">
        <v>100.27</v>
      </c>
      <c r="Z132" s="69">
        <v>350</v>
      </c>
      <c r="AA132" s="69">
        <v>142.71</v>
      </c>
      <c r="AB132" s="69">
        <v>300</v>
      </c>
      <c r="AC132" s="185">
        <f t="shared" si="9"/>
        <v>2351.05</v>
      </c>
      <c r="AD132" s="185">
        <f t="shared" si="10"/>
        <v>2334.68</v>
      </c>
      <c r="AE132" s="211">
        <f t="shared" si="11"/>
        <v>-475.691464999999</v>
      </c>
      <c r="AF132" s="14"/>
    </row>
    <row r="133" s="8" customFormat="1" ht="35" customHeight="1" spans="1:32">
      <c r="A133" s="64">
        <v>130</v>
      </c>
      <c r="B133" s="112"/>
      <c r="C133" s="112" t="s">
        <v>3</v>
      </c>
      <c r="D133" s="112">
        <f>SUM(D4:D132)</f>
        <v>26571.515414</v>
      </c>
      <c r="E133" s="112">
        <f>SUM(E4:E132)</f>
        <v>21943.26</v>
      </c>
      <c r="F133" s="112">
        <f t="shared" ref="F133:AE133" si="12">SUM(F4:F132)</f>
        <v>11124.12</v>
      </c>
      <c r="G133" s="112">
        <f t="shared" si="12"/>
        <v>26402.62</v>
      </c>
      <c r="H133" s="112">
        <f t="shared" si="12"/>
        <v>48449.89</v>
      </c>
      <c r="I133" s="112">
        <f t="shared" si="12"/>
        <v>28969.53</v>
      </c>
      <c r="J133" s="112">
        <f t="shared" si="12"/>
        <v>27696.68</v>
      </c>
      <c r="K133" s="112">
        <f t="shared" si="12"/>
        <v>18692.27</v>
      </c>
      <c r="L133" s="112">
        <f t="shared" si="12"/>
        <v>28974.41</v>
      </c>
      <c r="M133" s="112">
        <f t="shared" si="12"/>
        <v>15696.03</v>
      </c>
      <c r="N133" s="112">
        <f t="shared" si="12"/>
        <v>15871.07</v>
      </c>
      <c r="O133" s="112">
        <f t="shared" si="12"/>
        <v>17071.56</v>
      </c>
      <c r="P133" s="112">
        <f t="shared" si="12"/>
        <v>22774.65</v>
      </c>
      <c r="Q133" s="112">
        <f t="shared" si="12"/>
        <v>22023.78</v>
      </c>
      <c r="R133" s="112">
        <f t="shared" si="12"/>
        <v>13877.8</v>
      </c>
      <c r="S133" s="112">
        <f t="shared" si="12"/>
        <v>27240.4</v>
      </c>
      <c r="T133" s="112">
        <f t="shared" si="12"/>
        <v>15235.31</v>
      </c>
      <c r="U133" s="112">
        <f t="shared" si="12"/>
        <v>28521.43</v>
      </c>
      <c r="V133" s="112">
        <f t="shared" si="12"/>
        <v>32942.1</v>
      </c>
      <c r="W133" s="112">
        <f t="shared" si="12"/>
        <v>16612.76</v>
      </c>
      <c r="X133" s="112">
        <f t="shared" si="12"/>
        <v>16761.07</v>
      </c>
      <c r="Y133" s="112">
        <f t="shared" si="12"/>
        <v>16549.56</v>
      </c>
      <c r="Z133" s="112">
        <f t="shared" si="12"/>
        <v>18010.11</v>
      </c>
      <c r="AA133" s="112">
        <f t="shared" si="12"/>
        <v>16467.06</v>
      </c>
      <c r="AB133" s="112">
        <f t="shared" si="12"/>
        <v>20171.61</v>
      </c>
      <c r="AC133" s="185">
        <f t="shared" si="12"/>
        <v>256190.26</v>
      </c>
      <c r="AD133" s="185">
        <f t="shared" si="12"/>
        <v>271888.82</v>
      </c>
      <c r="AE133" s="185">
        <f t="shared" si="12"/>
        <v>42270.075414</v>
      </c>
      <c r="AF133" s="14"/>
    </row>
  </sheetData>
  <sheetProtection password="DE10" sheet="1" objects="1"/>
  <mergeCells count="3">
    <mergeCell ref="A1:AB1"/>
    <mergeCell ref="A2:D2"/>
    <mergeCell ref="Z2:AB2"/>
  </mergeCells>
  <conditionalFormatting sqref="J5">
    <cfRule type="cellIs" dxfId="0" priority="194" operator="equal">
      <formula>0</formula>
    </cfRule>
  </conditionalFormatting>
  <conditionalFormatting sqref="L5">
    <cfRule type="cellIs" dxfId="0" priority="180" operator="equal">
      <formula>0</formula>
    </cfRule>
  </conditionalFormatting>
  <conditionalFormatting sqref="P5">
    <cfRule type="cellIs" dxfId="0" priority="148" operator="equal">
      <formula>0</formula>
    </cfRule>
  </conditionalFormatting>
  <conditionalFormatting sqref="R5">
    <cfRule type="cellIs" dxfId="0" priority="122" operator="equal">
      <formula>0</formula>
    </cfRule>
  </conditionalFormatting>
  <conditionalFormatting sqref="V5">
    <cfRule type="cellIs" dxfId="0" priority="83" operator="equal">
      <formula>0</formula>
    </cfRule>
  </conditionalFormatting>
  <conditionalFormatting sqref="X5">
    <cfRule type="cellIs" dxfId="0" priority="56" operator="equal">
      <formula>0</formula>
    </cfRule>
  </conditionalFormatting>
  <conditionalFormatting sqref="Z5">
    <cfRule type="cellIs" dxfId="0" priority="36" operator="equal">
      <formula>0</formula>
    </cfRule>
  </conditionalFormatting>
  <conditionalFormatting sqref="L8">
    <cfRule type="cellIs" dxfId="0" priority="179" operator="equal">
      <formula>0</formula>
    </cfRule>
  </conditionalFormatting>
  <conditionalFormatting sqref="X9">
    <cfRule type="cellIs" dxfId="0" priority="55" operator="equal">
      <formula>0</formula>
    </cfRule>
  </conditionalFormatting>
  <conditionalFormatting sqref="Z9">
    <cfRule type="cellIs" dxfId="0" priority="35" operator="equal">
      <formula>0</formula>
    </cfRule>
  </conditionalFormatting>
  <conditionalFormatting sqref="AB9">
    <cfRule type="cellIs" dxfId="0" priority="15" operator="equal">
      <formula>0</formula>
    </cfRule>
  </conditionalFormatting>
  <conditionalFormatting sqref="L10">
    <cfRule type="cellIs" dxfId="0" priority="178" operator="equal">
      <formula>0</formula>
    </cfRule>
  </conditionalFormatting>
  <conditionalFormatting sqref="P16">
    <cfRule type="cellIs" dxfId="0" priority="147" operator="equal">
      <formula>0</formula>
    </cfRule>
  </conditionalFormatting>
  <conditionalFormatting sqref="R16">
    <cfRule type="cellIs" dxfId="0" priority="121" operator="equal">
      <formula>0</formula>
    </cfRule>
  </conditionalFormatting>
  <conditionalFormatting sqref="V16">
    <cfRule type="cellIs" dxfId="0" priority="81" operator="equal">
      <formula>0</formula>
    </cfRule>
  </conditionalFormatting>
  <conditionalFormatting sqref="X16">
    <cfRule type="cellIs" dxfId="0" priority="54" operator="equal">
      <formula>0</formula>
    </cfRule>
  </conditionalFormatting>
  <conditionalFormatting sqref="Z16">
    <cfRule type="cellIs" dxfId="0" priority="34" operator="equal">
      <formula>0</formula>
    </cfRule>
  </conditionalFormatting>
  <conditionalFormatting sqref="AB16">
    <cfRule type="cellIs" dxfId="0" priority="14" operator="equal">
      <formula>0</formula>
    </cfRule>
  </conditionalFormatting>
  <conditionalFormatting sqref="P19">
    <cfRule type="cellIs" dxfId="0" priority="146" operator="equal">
      <formula>0</formula>
    </cfRule>
  </conditionalFormatting>
  <conditionalFormatting sqref="R19">
    <cfRule type="cellIs" dxfId="0" priority="120" operator="equal">
      <formula>0</formula>
    </cfRule>
  </conditionalFormatting>
  <conditionalFormatting sqref="V19">
    <cfRule type="cellIs" dxfId="0" priority="80" operator="equal">
      <formula>0</formula>
    </cfRule>
  </conditionalFormatting>
  <conditionalFormatting sqref="X19">
    <cfRule type="cellIs" dxfId="0" priority="53" operator="equal">
      <formula>0</formula>
    </cfRule>
  </conditionalFormatting>
  <conditionalFormatting sqref="Z19">
    <cfRule type="cellIs" dxfId="0" priority="33" operator="equal">
      <formula>0</formula>
    </cfRule>
  </conditionalFormatting>
  <conditionalFormatting sqref="AB19">
    <cfRule type="cellIs" dxfId="0" priority="13" operator="equal">
      <formula>0</formula>
    </cfRule>
  </conditionalFormatting>
  <conditionalFormatting sqref="L21">
    <cfRule type="cellIs" dxfId="0" priority="177" operator="equal">
      <formula>0</formula>
    </cfRule>
  </conditionalFormatting>
  <conditionalFormatting sqref="P21">
    <cfRule type="cellIs" dxfId="0" priority="145" operator="equal">
      <formula>0</formula>
    </cfRule>
  </conditionalFormatting>
  <conditionalFormatting sqref="R21">
    <cfRule type="cellIs" dxfId="0" priority="119" operator="equal">
      <formula>0</formula>
    </cfRule>
  </conditionalFormatting>
  <conditionalFormatting sqref="V21">
    <cfRule type="cellIs" dxfId="0" priority="79" operator="equal">
      <formula>0</formula>
    </cfRule>
  </conditionalFormatting>
  <conditionalFormatting sqref="X21">
    <cfRule type="cellIs" dxfId="0" priority="52" operator="equal">
      <formula>0</formula>
    </cfRule>
  </conditionalFormatting>
  <conditionalFormatting sqref="Z21">
    <cfRule type="cellIs" dxfId="0" priority="32" operator="equal">
      <formula>0</formula>
    </cfRule>
  </conditionalFormatting>
  <conditionalFormatting sqref="AB21">
    <cfRule type="cellIs" dxfId="0" priority="12" operator="equal">
      <formula>0</formula>
    </cfRule>
  </conditionalFormatting>
  <conditionalFormatting sqref="J24">
    <cfRule type="cellIs" dxfId="0" priority="193" operator="equal">
      <formula>0</formula>
    </cfRule>
  </conditionalFormatting>
  <conditionalFormatting sqref="L24">
    <cfRule type="cellIs" dxfId="0" priority="176" operator="equal">
      <formula>0</formula>
    </cfRule>
  </conditionalFormatting>
  <conditionalFormatting sqref="P24">
    <cfRule type="cellIs" dxfId="0" priority="144" operator="equal">
      <formula>0</formula>
    </cfRule>
  </conditionalFormatting>
  <conditionalFormatting sqref="R24">
    <cfRule type="cellIs" dxfId="0" priority="118" operator="equal">
      <formula>0</formula>
    </cfRule>
  </conditionalFormatting>
  <conditionalFormatting sqref="V24">
    <cfRule type="cellIs" dxfId="0" priority="78" operator="equal">
      <formula>0</formula>
    </cfRule>
  </conditionalFormatting>
  <conditionalFormatting sqref="X24">
    <cfRule type="cellIs" dxfId="0" priority="51" operator="equal">
      <formula>0</formula>
    </cfRule>
  </conditionalFormatting>
  <conditionalFormatting sqref="Z24">
    <cfRule type="cellIs" dxfId="0" priority="31" operator="equal">
      <formula>0</formula>
    </cfRule>
  </conditionalFormatting>
  <conditionalFormatting sqref="AB24">
    <cfRule type="cellIs" dxfId="0" priority="11" operator="equal">
      <formula>0</formula>
    </cfRule>
  </conditionalFormatting>
  <conditionalFormatting sqref="AB26">
    <cfRule type="cellIs" dxfId="0" priority="10" operator="equal">
      <formula>0</formula>
    </cfRule>
  </conditionalFormatting>
  <conditionalFormatting sqref="J28">
    <cfRule type="cellIs" dxfId="0" priority="192" operator="equal">
      <formula>0</formula>
    </cfRule>
  </conditionalFormatting>
  <conditionalFormatting sqref="L28">
    <cfRule type="cellIs" dxfId="0" priority="175" operator="equal">
      <formula>0</formula>
    </cfRule>
  </conditionalFormatting>
  <conditionalFormatting sqref="P28">
    <cfRule type="cellIs" dxfId="0" priority="143" operator="equal">
      <formula>0</formula>
    </cfRule>
  </conditionalFormatting>
  <conditionalFormatting sqref="R28">
    <cfRule type="cellIs" dxfId="0" priority="117" operator="equal">
      <formula>0</formula>
    </cfRule>
  </conditionalFormatting>
  <conditionalFormatting sqref="R30">
    <cfRule type="cellIs" dxfId="0" priority="116" operator="equal">
      <formula>0</formula>
    </cfRule>
  </conditionalFormatting>
  <conditionalFormatting sqref="P32">
    <cfRule type="cellIs" dxfId="0" priority="142" operator="equal">
      <formula>0</formula>
    </cfRule>
  </conditionalFormatting>
  <conditionalFormatting sqref="R32">
    <cfRule type="cellIs" dxfId="0" priority="115" operator="equal">
      <formula>0</formula>
    </cfRule>
  </conditionalFormatting>
  <conditionalFormatting sqref="J38">
    <cfRule type="cellIs" dxfId="0" priority="191" operator="equal">
      <formula>0</formula>
    </cfRule>
  </conditionalFormatting>
  <conditionalFormatting sqref="L38">
    <cfRule type="cellIs" dxfId="0" priority="174" operator="equal">
      <formula>0</formula>
    </cfRule>
  </conditionalFormatting>
  <conditionalFormatting sqref="P38">
    <cfRule type="cellIs" dxfId="0" priority="141" operator="equal">
      <formula>0</formula>
    </cfRule>
  </conditionalFormatting>
  <conditionalFormatting sqref="R38">
    <cfRule type="cellIs" dxfId="0" priority="114" operator="equal">
      <formula>0</formula>
    </cfRule>
  </conditionalFormatting>
  <conditionalFormatting sqref="V38">
    <cfRule type="cellIs" dxfId="0" priority="76" operator="equal">
      <formula>0</formula>
    </cfRule>
  </conditionalFormatting>
  <conditionalFormatting sqref="X38">
    <cfRule type="cellIs" dxfId="0" priority="49" operator="equal">
      <formula>0</formula>
    </cfRule>
  </conditionalFormatting>
  <conditionalFormatting sqref="Z38">
    <cfRule type="cellIs" dxfId="0" priority="29" operator="equal">
      <formula>0</formula>
    </cfRule>
  </conditionalFormatting>
  <conditionalFormatting sqref="AB38">
    <cfRule type="cellIs" dxfId="0" priority="8" operator="equal">
      <formula>0</formula>
    </cfRule>
  </conditionalFormatting>
  <conditionalFormatting sqref="V43">
    <cfRule type="cellIs" dxfId="0" priority="75" operator="equal">
      <formula>0</formula>
    </cfRule>
  </conditionalFormatting>
  <conditionalFormatting sqref="X43">
    <cfRule type="cellIs" dxfId="0" priority="48" operator="equal">
      <formula>0</formula>
    </cfRule>
  </conditionalFormatting>
  <conditionalFormatting sqref="Z43">
    <cfRule type="cellIs" dxfId="0" priority="28" operator="equal">
      <formula>0</formula>
    </cfRule>
  </conditionalFormatting>
  <conditionalFormatting sqref="AB43">
    <cfRule type="cellIs" dxfId="0" priority="7" operator="equal">
      <formula>0</formula>
    </cfRule>
  </conditionalFormatting>
  <conditionalFormatting sqref="J53">
    <cfRule type="cellIs" dxfId="0" priority="190" operator="equal">
      <formula>0</formula>
    </cfRule>
  </conditionalFormatting>
  <conditionalFormatting sqref="L53">
    <cfRule type="cellIs" dxfId="0" priority="173" operator="equal">
      <formula>0</formula>
    </cfRule>
  </conditionalFormatting>
  <conditionalFormatting sqref="P53">
    <cfRule type="cellIs" dxfId="0" priority="140" operator="equal">
      <formula>0</formula>
    </cfRule>
  </conditionalFormatting>
  <conditionalFormatting sqref="R53">
    <cfRule type="cellIs" dxfId="0" priority="113" operator="equal">
      <formula>0</formula>
    </cfRule>
  </conditionalFormatting>
  <conditionalFormatting sqref="V53">
    <cfRule type="cellIs" dxfId="0" priority="74" operator="equal">
      <formula>0</formula>
    </cfRule>
  </conditionalFormatting>
  <conditionalFormatting sqref="X53">
    <cfRule type="cellIs" dxfId="0" priority="47" operator="equal">
      <formula>0</formula>
    </cfRule>
  </conditionalFormatting>
  <conditionalFormatting sqref="Z53">
    <cfRule type="cellIs" dxfId="0" priority="27" operator="equal">
      <formula>0</formula>
    </cfRule>
  </conditionalFormatting>
  <conditionalFormatting sqref="AB53">
    <cfRule type="cellIs" dxfId="0" priority="6" operator="equal">
      <formula>0</formula>
    </cfRule>
  </conditionalFormatting>
  <conditionalFormatting sqref="P56">
    <cfRule type="cellIs" dxfId="0" priority="150" operator="equal">
      <formula>0</formula>
    </cfRule>
  </conditionalFormatting>
  <conditionalFormatting sqref="R56">
    <cfRule type="cellIs" dxfId="0" priority="112" operator="equal">
      <formula>0</formula>
    </cfRule>
  </conditionalFormatting>
  <conditionalFormatting sqref="V56">
    <cfRule type="cellIs" dxfId="0" priority="73" operator="equal">
      <formula>0</formula>
    </cfRule>
  </conditionalFormatting>
  <conditionalFormatting sqref="X56">
    <cfRule type="cellIs" dxfId="0" priority="46" operator="equal">
      <formula>0</formula>
    </cfRule>
  </conditionalFormatting>
  <conditionalFormatting sqref="Z56">
    <cfRule type="cellIs" dxfId="0" priority="26" operator="equal">
      <formula>0</formula>
    </cfRule>
  </conditionalFormatting>
  <conditionalFormatting sqref="AB56">
    <cfRule type="cellIs" dxfId="0" priority="5" operator="equal">
      <formula>0</formula>
    </cfRule>
  </conditionalFormatting>
  <conditionalFormatting sqref="L58">
    <cfRule type="cellIs" dxfId="0" priority="172" operator="equal">
      <formula>0</formula>
    </cfRule>
  </conditionalFormatting>
  <conditionalFormatting sqref="J59">
    <cfRule type="cellIs" dxfId="0" priority="189" operator="equal">
      <formula>0</formula>
    </cfRule>
  </conditionalFormatting>
  <conditionalFormatting sqref="L59">
    <cfRule type="cellIs" dxfId="0" priority="171" operator="equal">
      <formula>0</formula>
    </cfRule>
  </conditionalFormatting>
  <conditionalFormatting sqref="P59">
    <cfRule type="cellIs" dxfId="0" priority="139" operator="equal">
      <formula>0</formula>
    </cfRule>
  </conditionalFormatting>
  <conditionalFormatting sqref="R59">
    <cfRule type="cellIs" dxfId="0" priority="111" operator="equal">
      <formula>0</formula>
    </cfRule>
  </conditionalFormatting>
  <conditionalFormatting sqref="V59">
    <cfRule type="cellIs" dxfId="0" priority="72" operator="equal">
      <formula>0</formula>
    </cfRule>
  </conditionalFormatting>
  <conditionalFormatting sqref="X59">
    <cfRule type="cellIs" dxfId="0" priority="45" operator="equal">
      <formula>0</formula>
    </cfRule>
  </conditionalFormatting>
  <conditionalFormatting sqref="L62">
    <cfRule type="cellIs" dxfId="0" priority="170" operator="equal">
      <formula>0</formula>
    </cfRule>
  </conditionalFormatting>
  <conditionalFormatting sqref="P62">
    <cfRule type="cellIs" dxfId="0" priority="138" operator="equal">
      <formula>0</formula>
    </cfRule>
  </conditionalFormatting>
  <conditionalFormatting sqref="R62">
    <cfRule type="cellIs" dxfId="0" priority="110" operator="equal">
      <formula>0</formula>
    </cfRule>
  </conditionalFormatting>
  <conditionalFormatting sqref="V62">
    <cfRule type="cellIs" dxfId="0" priority="71" operator="equal">
      <formula>0</formula>
    </cfRule>
  </conditionalFormatting>
  <conditionalFormatting sqref="X62">
    <cfRule type="cellIs" dxfId="0" priority="44" operator="equal">
      <formula>0</formula>
    </cfRule>
  </conditionalFormatting>
  <conditionalFormatting sqref="Z62">
    <cfRule type="cellIs" dxfId="0" priority="24" operator="equal">
      <formula>0</formula>
    </cfRule>
  </conditionalFormatting>
  <conditionalFormatting sqref="AB62">
    <cfRule type="cellIs" dxfId="0" priority="3" operator="equal">
      <formula>0</formula>
    </cfRule>
  </conditionalFormatting>
  <conditionalFormatting sqref="Z63">
    <cfRule type="cellIs" dxfId="0" priority="23" operator="equal">
      <formula>0</formula>
    </cfRule>
  </conditionalFormatting>
  <conditionalFormatting sqref="AB63">
    <cfRule type="cellIs" dxfId="0" priority="2" operator="equal">
      <formula>0</formula>
    </cfRule>
  </conditionalFormatting>
  <conditionalFormatting sqref="J66">
    <cfRule type="cellIs" dxfId="0" priority="188" operator="equal">
      <formula>0</formula>
    </cfRule>
  </conditionalFormatting>
  <conditionalFormatting sqref="L66">
    <cfRule type="cellIs" dxfId="0" priority="169" operator="equal">
      <formula>0</formula>
    </cfRule>
  </conditionalFormatting>
  <conditionalFormatting sqref="P66">
    <cfRule type="cellIs" dxfId="0" priority="137" operator="equal">
      <formula>0</formula>
    </cfRule>
  </conditionalFormatting>
  <conditionalFormatting sqref="R66">
    <cfRule type="cellIs" dxfId="0" priority="109" operator="equal">
      <formula>0</formula>
    </cfRule>
  </conditionalFormatting>
  <conditionalFormatting sqref="J68">
    <cfRule type="cellIs" dxfId="0" priority="187" operator="equal">
      <formula>0</formula>
    </cfRule>
  </conditionalFormatting>
  <conditionalFormatting sqref="L68">
    <cfRule type="cellIs" dxfId="0" priority="168" operator="equal">
      <formula>0</formula>
    </cfRule>
  </conditionalFormatting>
  <conditionalFormatting sqref="P68">
    <cfRule type="cellIs" dxfId="0" priority="136" operator="equal">
      <formula>0</formula>
    </cfRule>
  </conditionalFormatting>
  <conditionalFormatting sqref="R68">
    <cfRule type="cellIs" dxfId="0" priority="108" operator="equal">
      <formula>0</formula>
    </cfRule>
  </conditionalFormatting>
  <conditionalFormatting sqref="J70">
    <cfRule type="cellIs" dxfId="0" priority="202" operator="equal">
      <formula>0</formula>
    </cfRule>
  </conditionalFormatting>
  <conditionalFormatting sqref="P70">
    <cfRule type="cellIs" dxfId="0" priority="135" operator="equal">
      <formula>0</formula>
    </cfRule>
  </conditionalFormatting>
  <conditionalFormatting sqref="R70">
    <cfRule type="cellIs" dxfId="0" priority="107" operator="equal">
      <formula>0</formula>
    </cfRule>
  </conditionalFormatting>
  <conditionalFormatting sqref="J74">
    <cfRule type="cellIs" dxfId="0" priority="201" operator="equal">
      <formula>0</formula>
    </cfRule>
  </conditionalFormatting>
  <conditionalFormatting sqref="L74">
    <cfRule type="cellIs" dxfId="0" priority="167" operator="equal">
      <formula>0</formula>
    </cfRule>
  </conditionalFormatting>
  <conditionalFormatting sqref="P74">
    <cfRule type="cellIs" dxfId="0" priority="134" operator="equal">
      <formula>0</formula>
    </cfRule>
  </conditionalFormatting>
  <conditionalFormatting sqref="R74">
    <cfRule type="cellIs" dxfId="0" priority="106" operator="equal">
      <formula>0</formula>
    </cfRule>
  </conditionalFormatting>
  <conditionalFormatting sqref="V74">
    <cfRule type="cellIs" dxfId="0" priority="69" operator="equal">
      <formula>0</formula>
    </cfRule>
  </conditionalFormatting>
  <conditionalFormatting sqref="J82">
    <cfRule type="cellIs" dxfId="0" priority="200" operator="equal">
      <formula>0</formula>
    </cfRule>
  </conditionalFormatting>
  <conditionalFormatting sqref="L82">
    <cfRule type="cellIs" dxfId="0" priority="166" operator="equal">
      <formula>0</formula>
    </cfRule>
  </conditionalFormatting>
  <conditionalFormatting sqref="P82">
    <cfRule type="cellIs" dxfId="0" priority="133" operator="equal">
      <formula>0</formula>
    </cfRule>
  </conditionalFormatting>
  <conditionalFormatting sqref="R82">
    <cfRule type="cellIs" dxfId="0" priority="105" operator="equal">
      <formula>0</formula>
    </cfRule>
  </conditionalFormatting>
  <conditionalFormatting sqref="V82">
    <cfRule type="cellIs" dxfId="0" priority="68" operator="equal">
      <formula>0</formula>
    </cfRule>
  </conditionalFormatting>
  <conditionalFormatting sqref="H88">
    <cfRule type="cellIs" dxfId="0" priority="210" operator="equal">
      <formula>0</formula>
    </cfRule>
  </conditionalFormatting>
  <conditionalFormatting sqref="P92">
    <cfRule type="cellIs" dxfId="0" priority="132" operator="equal">
      <formula>0</formula>
    </cfRule>
  </conditionalFormatting>
  <conditionalFormatting sqref="R92">
    <cfRule type="cellIs" dxfId="0" priority="104" operator="equal">
      <formula>0</formula>
    </cfRule>
  </conditionalFormatting>
  <conditionalFormatting sqref="V92">
    <cfRule type="cellIs" dxfId="0" priority="67" operator="equal">
      <formula>0</formula>
    </cfRule>
  </conditionalFormatting>
  <conditionalFormatting sqref="H94">
    <cfRule type="cellIs" dxfId="0" priority="211" operator="equal">
      <formula>0</formula>
    </cfRule>
  </conditionalFormatting>
  <conditionalFormatting sqref="V98">
    <cfRule type="cellIs" dxfId="0" priority="85" operator="equal">
      <formula>0</formula>
    </cfRule>
  </conditionalFormatting>
  <conditionalFormatting sqref="J101">
    <cfRule type="cellIs" dxfId="0" priority="199" operator="equal">
      <formula>0</formula>
    </cfRule>
  </conditionalFormatting>
  <conditionalFormatting sqref="P101">
    <cfRule type="cellIs" dxfId="0" priority="131" operator="equal">
      <formula>0</formula>
    </cfRule>
  </conditionalFormatting>
  <conditionalFormatting sqref="H108">
    <cfRule type="cellIs" dxfId="0" priority="213" operator="equal">
      <formula>0</formula>
    </cfRule>
  </conditionalFormatting>
  <conditionalFormatting sqref="V108">
    <cfRule type="cellIs" dxfId="0" priority="84" operator="equal">
      <formula>0</formula>
    </cfRule>
  </conditionalFormatting>
  <conditionalFormatting sqref="H109">
    <cfRule type="cellIs" dxfId="0" priority="209" operator="equal">
      <formula>0</formula>
    </cfRule>
  </conditionalFormatting>
  <conditionalFormatting sqref="P110">
    <cfRule type="cellIs" dxfId="0" priority="130" operator="equal">
      <formula>0</formula>
    </cfRule>
  </conditionalFormatting>
  <conditionalFormatting sqref="R110">
    <cfRule type="cellIs" dxfId="0" priority="102" operator="equal">
      <formula>0</formula>
    </cfRule>
  </conditionalFormatting>
  <conditionalFormatting sqref="V110">
    <cfRule type="cellIs" dxfId="0" priority="65" operator="equal">
      <formula>0</formula>
    </cfRule>
  </conditionalFormatting>
  <conditionalFormatting sqref="J113">
    <cfRule type="cellIs" dxfId="0" priority="198" operator="equal">
      <formula>0</formula>
    </cfRule>
  </conditionalFormatting>
  <conditionalFormatting sqref="L113">
    <cfRule type="cellIs" dxfId="0" priority="164" operator="equal">
      <formula>0</formula>
    </cfRule>
  </conditionalFormatting>
  <conditionalFormatting sqref="P113">
    <cfRule type="cellIs" dxfId="0" priority="129" operator="equal">
      <formula>0</formula>
    </cfRule>
  </conditionalFormatting>
  <conditionalFormatting sqref="R113">
    <cfRule type="cellIs" dxfId="0" priority="101" operator="equal">
      <formula>0</formula>
    </cfRule>
  </conditionalFormatting>
  <conditionalFormatting sqref="J124">
    <cfRule type="cellIs" dxfId="0" priority="197" operator="equal">
      <formula>0</formula>
    </cfRule>
  </conditionalFormatting>
  <conditionalFormatting sqref="R124">
    <cfRule type="cellIs" dxfId="0" priority="100" operator="equal">
      <formula>0</formula>
    </cfRule>
  </conditionalFormatting>
  <conditionalFormatting sqref="V124">
    <cfRule type="cellIs" dxfId="0" priority="64" operator="equal">
      <formula>0</formula>
    </cfRule>
  </conditionalFormatting>
  <conditionalFormatting sqref="R126">
    <cfRule type="cellIs" dxfId="0" priority="99" operator="equal">
      <formula>0</formula>
    </cfRule>
  </conditionalFormatting>
  <conditionalFormatting sqref="J127">
    <cfRule type="cellIs" dxfId="0" priority="196" operator="equal">
      <formula>0</formula>
    </cfRule>
  </conditionalFormatting>
  <conditionalFormatting sqref="L127">
    <cfRule type="cellIs" dxfId="0" priority="162" operator="equal">
      <formula>0</formula>
    </cfRule>
  </conditionalFormatting>
  <conditionalFormatting sqref="J129">
    <cfRule type="cellIs" dxfId="0" priority="195" operator="equal">
      <formula>0</formula>
    </cfRule>
  </conditionalFormatting>
  <conditionalFormatting sqref="H130">
    <cfRule type="cellIs" dxfId="0" priority="212" operator="equal">
      <formula>0</formula>
    </cfRule>
  </conditionalFormatting>
  <conditionalFormatting sqref="C4:C67">
    <cfRule type="cellIs" dxfId="0" priority="230" operator="equal">
      <formula>0</formula>
    </cfRule>
    <cfRule type="duplicateValues" dxfId="1" priority="229"/>
  </conditionalFormatting>
  <conditionalFormatting sqref="C70:C132">
    <cfRule type="cellIs" dxfId="0" priority="228" operator="equal">
      <formula>0</formula>
    </cfRule>
  </conditionalFormatting>
  <conditionalFormatting sqref="E4:E69">
    <cfRule type="cellIs" dxfId="0" priority="224" operator="equal">
      <formula>0</formula>
    </cfRule>
  </conditionalFormatting>
  <conditionalFormatting sqref="E70:E132">
    <cfRule type="cellIs" dxfId="0" priority="223" operator="equal">
      <formula>0</formula>
    </cfRule>
  </conditionalFormatting>
  <conditionalFormatting sqref="F4:F69">
    <cfRule type="cellIs" dxfId="0" priority="226" operator="equal">
      <formula>0</formula>
    </cfRule>
  </conditionalFormatting>
  <conditionalFormatting sqref="G4:G69">
    <cfRule type="cellIs" dxfId="0" priority="219" operator="equal">
      <formula>0</formula>
    </cfRule>
  </conditionalFormatting>
  <conditionalFormatting sqref="G70:G132">
    <cfRule type="cellIs" dxfId="0" priority="218" operator="equal">
      <formula>0</formula>
    </cfRule>
  </conditionalFormatting>
  <conditionalFormatting sqref="I4:I69">
    <cfRule type="cellIs" dxfId="0" priority="208" operator="equal">
      <formula>0</formula>
    </cfRule>
  </conditionalFormatting>
  <conditionalFormatting sqref="I70:I132">
    <cfRule type="cellIs" dxfId="0" priority="207" operator="equal">
      <formula>0</formula>
    </cfRule>
  </conditionalFormatting>
  <conditionalFormatting sqref="K4:K69">
    <cfRule type="cellIs" dxfId="0" priority="186" operator="equal">
      <formula>0</formula>
    </cfRule>
  </conditionalFormatting>
  <conditionalFormatting sqref="K70:K132">
    <cfRule type="cellIs" dxfId="0" priority="185" operator="equal">
      <formula>0</formula>
    </cfRule>
  </conditionalFormatting>
  <conditionalFormatting sqref="L100:L102">
    <cfRule type="cellIs" dxfId="0" priority="165" operator="equal">
      <formula>0</formula>
    </cfRule>
  </conditionalFormatting>
  <conditionalFormatting sqref="L119:L120">
    <cfRule type="cellIs" dxfId="0" priority="163" operator="equal">
      <formula>0</formula>
    </cfRule>
  </conditionalFormatting>
  <conditionalFormatting sqref="M4:M69">
    <cfRule type="cellIs" dxfId="0" priority="161" operator="equal">
      <formula>0</formula>
    </cfRule>
  </conditionalFormatting>
  <conditionalFormatting sqref="M70:M132">
    <cfRule type="cellIs" dxfId="0" priority="160" operator="equal">
      <formula>0</formula>
    </cfRule>
  </conditionalFormatting>
  <conditionalFormatting sqref="N4:N65">
    <cfRule type="cellIs" dxfId="0" priority="157" operator="equal">
      <formula>0</formula>
    </cfRule>
  </conditionalFormatting>
  <conditionalFormatting sqref="N70:N132">
    <cfRule type="cellIs" dxfId="0" priority="156" operator="equal">
      <formula>0</formula>
    </cfRule>
  </conditionalFormatting>
  <conditionalFormatting sqref="O70:O132">
    <cfRule type="cellIs" dxfId="0" priority="154" operator="equal">
      <formula>0</formula>
    </cfRule>
  </conditionalFormatting>
  <conditionalFormatting sqref="Q4:Q69">
    <cfRule type="cellIs" dxfId="0" priority="128" operator="equal">
      <formula>0</formula>
    </cfRule>
  </conditionalFormatting>
  <conditionalFormatting sqref="Q70:Q132">
    <cfRule type="cellIs" dxfId="0" priority="127" operator="equal">
      <formula>0</formula>
    </cfRule>
  </conditionalFormatting>
  <conditionalFormatting sqref="R101:R102">
    <cfRule type="cellIs" dxfId="0" priority="103" operator="equal">
      <formula>0</formula>
    </cfRule>
  </conditionalFormatting>
  <conditionalFormatting sqref="S4:S69">
    <cfRule type="cellIs" dxfId="0" priority="98" operator="equal">
      <formula>0</formula>
    </cfRule>
  </conditionalFormatting>
  <conditionalFormatting sqref="S70:S132">
    <cfRule type="cellIs" dxfId="0" priority="97" operator="equal">
      <formula>0</formula>
    </cfRule>
  </conditionalFormatting>
  <conditionalFormatting sqref="T4:T67">
    <cfRule type="cellIs" dxfId="0" priority="94" operator="equal">
      <formula>0</formula>
    </cfRule>
  </conditionalFormatting>
  <conditionalFormatting sqref="T70:T129">
    <cfRule type="cellIs" dxfId="0" priority="93" operator="equal">
      <formula>0</formula>
    </cfRule>
  </conditionalFormatting>
  <conditionalFormatting sqref="U4:U69">
    <cfRule type="cellIs" dxfId="0" priority="91" operator="equal">
      <formula>0</formula>
    </cfRule>
  </conditionalFormatting>
  <conditionalFormatting sqref="U70:U132">
    <cfRule type="cellIs" dxfId="0" priority="90" operator="equal">
      <formula>0</formula>
    </cfRule>
  </conditionalFormatting>
  <conditionalFormatting sqref="V9:V10">
    <cfRule type="cellIs" dxfId="0" priority="82" operator="equal">
      <formula>0</formula>
    </cfRule>
  </conditionalFormatting>
  <conditionalFormatting sqref="V28:V32">
    <cfRule type="cellIs" dxfId="0" priority="77" operator="equal">
      <formula>0</formula>
    </cfRule>
  </conditionalFormatting>
  <conditionalFormatting sqref="V66:V68">
    <cfRule type="cellIs" dxfId="0" priority="70" operator="equal">
      <formula>0</formula>
    </cfRule>
  </conditionalFormatting>
  <conditionalFormatting sqref="V101:V103">
    <cfRule type="cellIs" dxfId="0" priority="66" operator="equal">
      <formula>0</formula>
    </cfRule>
  </conditionalFormatting>
  <conditionalFormatting sqref="V126:V127">
    <cfRule type="cellIs" dxfId="0" priority="63" operator="equal">
      <formula>0</formula>
    </cfRule>
  </conditionalFormatting>
  <conditionalFormatting sqref="W4:W69">
    <cfRule type="cellIs" dxfId="0" priority="62" operator="equal">
      <formula>0</formula>
    </cfRule>
  </conditionalFormatting>
  <conditionalFormatting sqref="W70:W132">
    <cfRule type="cellIs" dxfId="0" priority="61" operator="equal">
      <formula>0</formula>
    </cfRule>
  </conditionalFormatting>
  <conditionalFormatting sqref="X28:X30">
    <cfRule type="cellIs" dxfId="0" priority="50" operator="equal">
      <formula>0</formula>
    </cfRule>
  </conditionalFormatting>
  <conditionalFormatting sqref="X66:X68">
    <cfRule type="cellIs" dxfId="0" priority="43" operator="equal">
      <formula>0</formula>
    </cfRule>
  </conditionalFormatting>
  <conditionalFormatting sqref="X70:X128">
    <cfRule type="cellIs" dxfId="0" priority="57" operator="equal">
      <formula>0</formula>
    </cfRule>
  </conditionalFormatting>
  <conditionalFormatting sqref="Y4:Y69">
    <cfRule type="cellIs" dxfId="0" priority="42" operator="equal">
      <formula>0</formula>
    </cfRule>
  </conditionalFormatting>
  <conditionalFormatting sqref="Y70:Y132">
    <cfRule type="cellIs" dxfId="0" priority="41" operator="equal">
      <formula>0</formula>
    </cfRule>
  </conditionalFormatting>
  <conditionalFormatting sqref="Z28:Z30">
    <cfRule type="cellIs" dxfId="0" priority="30" operator="equal">
      <formula>0</formula>
    </cfRule>
  </conditionalFormatting>
  <conditionalFormatting sqref="Z58:Z59">
    <cfRule type="cellIs" dxfId="0" priority="25" operator="equal">
      <formula>0</formula>
    </cfRule>
  </conditionalFormatting>
  <conditionalFormatting sqref="Z66:Z67">
    <cfRule type="cellIs" dxfId="0" priority="22" operator="equal">
      <formula>0</formula>
    </cfRule>
  </conditionalFormatting>
  <conditionalFormatting sqref="Z70:Z132">
    <cfRule type="cellIs" dxfId="0" priority="37" operator="equal">
      <formula>0</formula>
    </cfRule>
  </conditionalFormatting>
  <conditionalFormatting sqref="AA4:AA69">
    <cfRule type="cellIs" dxfId="0" priority="21" operator="equal">
      <formula>0</formula>
    </cfRule>
  </conditionalFormatting>
  <conditionalFormatting sqref="AA70:AA132">
    <cfRule type="cellIs" dxfId="0" priority="20" operator="equal">
      <formula>0</formula>
    </cfRule>
  </conditionalFormatting>
  <conditionalFormatting sqref="AB28:AB30">
    <cfRule type="cellIs" dxfId="0" priority="9" operator="equal">
      <formula>0</formula>
    </cfRule>
  </conditionalFormatting>
  <conditionalFormatting sqref="AB58:AB59">
    <cfRule type="cellIs" dxfId="0" priority="4" operator="equal">
      <formula>0</formula>
    </cfRule>
  </conditionalFormatting>
  <conditionalFormatting sqref="AB66:AB67">
    <cfRule type="cellIs" dxfId="0" priority="1" operator="equal">
      <formula>0</formula>
    </cfRule>
  </conditionalFormatting>
  <conditionalFormatting sqref="AB70:AB132">
    <cfRule type="cellIs" dxfId="0" priority="16" operator="equal">
      <formula>0</formula>
    </cfRule>
  </conditionalFormatting>
  <conditionalFormatting sqref="H8:H51 H4:H6 H53:H67">
    <cfRule type="cellIs" dxfId="0" priority="215" operator="equal">
      <formula>0</formula>
    </cfRule>
  </conditionalFormatting>
  <conditionalFormatting sqref="J4 J6:J23 J25:J27 J29:J37 J39:J52 J54:J58 J60:J65">
    <cfRule type="cellIs" dxfId="0" priority="204" operator="equal">
      <formula>0</formula>
    </cfRule>
  </conditionalFormatting>
  <conditionalFormatting sqref="L4 L6:L7 L9 L11:L20 L22:L23 L25:L27 L29:L37 L39:L52 L54:L57 L60:L61 L63:L65">
    <cfRule type="cellIs" dxfId="0" priority="182" operator="equal">
      <formula>0</formula>
    </cfRule>
  </conditionalFormatting>
  <conditionalFormatting sqref="O5:O69 O4">
    <cfRule type="cellIs" dxfId="0" priority="155" operator="equal">
      <formula>0</formula>
    </cfRule>
  </conditionalFormatting>
  <conditionalFormatting sqref="P4 P63:P65 P6:P15 P60:P61 P17:P18 P57:P58 P20 P54:P55 P22:P23 P39:P52 P25:P27 P33:P37 P29:P31">
    <cfRule type="cellIs" dxfId="0" priority="151" operator="equal">
      <formula>0</formula>
    </cfRule>
  </conditionalFormatting>
  <conditionalFormatting sqref="R4 R6:R15 R17:R18 R20 R22:R23 R25:R27 R29 R31 R33:R37 R39:R52 R54:R55 R57:R58 R60:R61 R63:R65">
    <cfRule type="cellIs" dxfId="0" priority="124" operator="equal">
      <formula>0</formula>
    </cfRule>
  </conditionalFormatting>
  <conditionalFormatting sqref="V4 V63:V65 V6:V8 V60:V61 V11:V15 V57:V58 V17:V18 V54:V55 V20 V44:V52 V22:V23 V39:V42 V25:V27 V33:V37">
    <cfRule type="cellIs" dxfId="0" priority="87" operator="equal">
      <formula>0</formula>
    </cfRule>
  </conditionalFormatting>
  <conditionalFormatting sqref="X4 X63:X65 X6:X8 X60:X61 X10:X15 X57:X58 X17:X18 X54:X55 X20 X44:X52 X22:X23 X39:X42 X25:X27 X31:X37">
    <cfRule type="cellIs" dxfId="0" priority="58" operator="equal">
      <formula>0</formula>
    </cfRule>
  </conditionalFormatting>
  <conditionalFormatting sqref="Z4 Z64:Z65 Z60:Z61 Z57 Z54:Z55 Z44:Z52 Z39:Z42 Z31:Z37 Z25:Z27 Z22:Z23 Z20 Z17:Z18 Z10:Z15 Z6:Z8">
    <cfRule type="cellIs" dxfId="0" priority="38" operator="equal">
      <formula>0</formula>
    </cfRule>
  </conditionalFormatting>
  <conditionalFormatting sqref="AB4:AB8 AB64:AB65 AB60:AB61 AB57 AB54:AB55 AB44:AB52 AB39:AB42 AB31:AB37 AB27 AB25 AB22:AB23 AB20 AB17:AB18 AB10:AB15">
    <cfRule type="cellIs" dxfId="0" priority="17" operator="equal">
      <formula>0</formula>
    </cfRule>
  </conditionalFormatting>
  <conditionalFormatting sqref="F70:F87 F89:F132">
    <cfRule type="cellIs" dxfId="0" priority="225" operator="equal">
      <formula>0</formula>
    </cfRule>
  </conditionalFormatting>
  <conditionalFormatting sqref="H70:H74 H76:H87 H131 H110:H129 H89:H93 H95:H97 H99:H107">
    <cfRule type="cellIs" dxfId="0" priority="214" operator="equal">
      <formula>0</formula>
    </cfRule>
  </conditionalFormatting>
  <conditionalFormatting sqref="L70:L73 L75:L81 L83:L99 L103:L112 L114:L118 L121:L126 L128">
    <cfRule type="cellIs" dxfId="0" priority="181" operator="equal">
      <formula>0</formula>
    </cfRule>
  </conditionalFormatting>
  <conditionalFormatting sqref="V70:V73 V128:V132 V104:V107 V75:V81 V125 V83:V91 V111:V123 V93:V97 V109 V99:V100">
    <cfRule type="cellIs" dxfId="0" priority="86" operator="equal">
      <formula>0</formula>
    </cfRule>
  </conditionalFormatting>
  <conditionalFormatting sqref="J71:J73 J75:J81 J83:J100 J102:J112 J114:J123 J125:J126 J128 J130:J132">
    <cfRule type="cellIs" dxfId="0" priority="203" operator="equal">
      <formula>0</formula>
    </cfRule>
  </conditionalFormatting>
  <conditionalFormatting sqref="P71:P73 P114:P131 P75:P81 P111:P112 P83:P88 P102:P109 P90:P91 P93:P100">
    <cfRule type="cellIs" dxfId="0" priority="149" operator="equal">
      <formula>0</formula>
    </cfRule>
  </conditionalFormatting>
  <conditionalFormatting sqref="R71:R73 R75:R81 R83:R91 R93:R100 R103:R109 R111:R112 R114:R123 R125 R127:R128">
    <cfRule type="cellIs" dxfId="0" priority="123" operator="equal">
      <formula>0</formula>
    </cfRule>
  </conditionalFormatting>
  <pageMargins left="0.393055555555556" right="0.393055555555556" top="0.393055555555556" bottom="0.393055555555556" header="0.5" footer="0.5"/>
  <pageSetup paperSize="9" scale="38" fitToHeight="0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133"/>
  <sheetViews>
    <sheetView workbookViewId="0">
      <selection activeCell="AA3" sqref="AA3"/>
    </sheetView>
  </sheetViews>
  <sheetFormatPr defaultColWidth="9" defaultRowHeight="13.5"/>
  <cols>
    <col min="1" max="1" width="5.625" style="11" customWidth="1"/>
    <col min="2" max="3" width="9" style="11"/>
    <col min="4" max="4" width="13.4416666666667" style="208" customWidth="1"/>
    <col min="5" max="28" width="9" style="11"/>
    <col min="29" max="30" width="10.6666666666667" style="11"/>
    <col min="31" max="31" width="11.225" style="14" customWidth="1"/>
    <col min="32" max="32" width="9" style="11"/>
  </cols>
  <sheetData>
    <row r="1" s="4" customFormat="1" ht="35" customHeight="1" spans="1:32">
      <c r="A1" s="43" t="s">
        <v>337</v>
      </c>
      <c r="B1" s="43"/>
      <c r="C1" s="43"/>
      <c r="D1" s="70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11"/>
      <c r="AD1" s="11"/>
      <c r="AE1" s="14"/>
      <c r="AF1" s="11"/>
    </row>
    <row r="2" customFormat="1" ht="35" customHeight="1" spans="1:32">
      <c r="A2" s="45" t="s">
        <v>1</v>
      </c>
      <c r="B2" s="45"/>
      <c r="C2" s="45"/>
      <c r="D2" s="71"/>
      <c r="E2" s="72"/>
      <c r="F2" s="72"/>
      <c r="G2" s="72"/>
      <c r="H2" s="215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74" t="s">
        <v>2</v>
      </c>
      <c r="AA2" s="174"/>
      <c r="AB2" s="174"/>
      <c r="AC2" s="11"/>
      <c r="AD2" s="11"/>
      <c r="AE2" s="14"/>
      <c r="AF2" s="11"/>
    </row>
    <row r="3" s="5" customFormat="1" ht="48" customHeight="1" spans="1:32">
      <c r="A3" s="48" t="s">
        <v>6</v>
      </c>
      <c r="B3" s="48" t="s">
        <v>7</v>
      </c>
      <c r="C3" s="48" t="s">
        <v>8</v>
      </c>
      <c r="D3" s="74" t="s">
        <v>9</v>
      </c>
      <c r="E3" s="209" t="s">
        <v>338</v>
      </c>
      <c r="F3" s="64" t="s">
        <v>11</v>
      </c>
      <c r="G3" s="64" t="s">
        <v>12</v>
      </c>
      <c r="H3" s="64" t="s">
        <v>13</v>
      </c>
      <c r="I3" s="64" t="s">
        <v>14</v>
      </c>
      <c r="J3" s="64" t="s">
        <v>15</v>
      </c>
      <c r="K3" s="64" t="s">
        <v>16</v>
      </c>
      <c r="L3" s="64" t="s">
        <v>17</v>
      </c>
      <c r="M3" s="64" t="s">
        <v>18</v>
      </c>
      <c r="N3" s="64" t="s">
        <v>19</v>
      </c>
      <c r="O3" s="64" t="s">
        <v>20</v>
      </c>
      <c r="P3" s="64" t="s">
        <v>21</v>
      </c>
      <c r="Q3" s="64" t="s">
        <v>22</v>
      </c>
      <c r="R3" s="64" t="s">
        <v>23</v>
      </c>
      <c r="S3" s="64" t="s">
        <v>24</v>
      </c>
      <c r="T3" s="64" t="s">
        <v>25</v>
      </c>
      <c r="U3" s="64" t="s">
        <v>26</v>
      </c>
      <c r="V3" s="64" t="s">
        <v>27</v>
      </c>
      <c r="W3" s="64" t="s">
        <v>28</v>
      </c>
      <c r="X3" s="64" t="s">
        <v>29</v>
      </c>
      <c r="Y3" s="64" t="s">
        <v>30</v>
      </c>
      <c r="Z3" s="64" t="s">
        <v>31</v>
      </c>
      <c r="AA3" s="209" t="s">
        <v>339</v>
      </c>
      <c r="AB3" s="64" t="s">
        <v>33</v>
      </c>
      <c r="AC3" s="50" t="s">
        <v>32</v>
      </c>
      <c r="AD3" s="50" t="s">
        <v>314</v>
      </c>
      <c r="AE3" s="206" t="s">
        <v>36</v>
      </c>
      <c r="AF3" s="12"/>
    </row>
    <row r="4" s="4" customFormat="1" ht="35" customHeight="1" spans="1:32">
      <c r="A4" s="48">
        <v>1</v>
      </c>
      <c r="B4" s="48" t="s">
        <v>37</v>
      </c>
      <c r="C4" s="51" t="s">
        <v>38</v>
      </c>
      <c r="D4" s="75">
        <v>340.370839</v>
      </c>
      <c r="E4" s="48">
        <v>87.06</v>
      </c>
      <c r="F4" s="48">
        <v>87.06</v>
      </c>
      <c r="G4" s="48">
        <v>318.25</v>
      </c>
      <c r="H4" s="216">
        <v>318.25</v>
      </c>
      <c r="I4" s="108">
        <v>247.84</v>
      </c>
      <c r="J4" s="108"/>
      <c r="K4" s="108">
        <v>107.13</v>
      </c>
      <c r="L4" s="108">
        <v>97.02</v>
      </c>
      <c r="M4" s="108">
        <v>66.09</v>
      </c>
      <c r="N4" s="108">
        <v>173.22</v>
      </c>
      <c r="O4" s="108">
        <v>112.24</v>
      </c>
      <c r="P4" s="108">
        <v>112.24</v>
      </c>
      <c r="Q4" s="108">
        <v>97.04</v>
      </c>
      <c r="R4" s="108">
        <v>97.04</v>
      </c>
      <c r="S4" s="108">
        <v>195.94</v>
      </c>
      <c r="T4" s="108">
        <v>195.94</v>
      </c>
      <c r="U4" s="108">
        <v>106.21</v>
      </c>
      <c r="V4" s="108">
        <v>106.21</v>
      </c>
      <c r="W4" s="108">
        <v>88.98</v>
      </c>
      <c r="X4" s="108">
        <v>88.98</v>
      </c>
      <c r="Y4" s="108">
        <v>109.37</v>
      </c>
      <c r="Z4" s="108">
        <v>109.37</v>
      </c>
      <c r="AA4" s="108">
        <v>64.91</v>
      </c>
      <c r="AB4" s="108">
        <v>64.91</v>
      </c>
      <c r="AC4" s="176">
        <f>E4+G4+I4+K4+M4+O4+Q4+S4+U4+W4+Y4+AA4</f>
        <v>1601.06</v>
      </c>
      <c r="AD4" s="176">
        <f>F4+H4+J4+L4+N4+P4+R4+T4+V4+X4+Z4+AB4</f>
        <v>1450.24</v>
      </c>
      <c r="AE4" s="211">
        <f>D4+AD4-AC4</f>
        <v>189.550839</v>
      </c>
      <c r="AF4" s="11"/>
    </row>
    <row r="5" s="4" customFormat="1" ht="35" customHeight="1" spans="1:32">
      <c r="A5" s="48">
        <v>2</v>
      </c>
      <c r="B5" s="48" t="s">
        <v>39</v>
      </c>
      <c r="C5" s="51" t="s">
        <v>40</v>
      </c>
      <c r="D5" s="75">
        <v>226.134904</v>
      </c>
      <c r="E5" s="48">
        <v>223.08</v>
      </c>
      <c r="F5" s="48">
        <v>223.08</v>
      </c>
      <c r="G5" s="48">
        <v>497.33</v>
      </c>
      <c r="H5" s="216">
        <v>497.33</v>
      </c>
      <c r="I5" s="108">
        <v>166.23</v>
      </c>
      <c r="J5" s="108">
        <v>166.23</v>
      </c>
      <c r="K5" s="108">
        <v>106.53</v>
      </c>
      <c r="L5" s="108">
        <v>106.53</v>
      </c>
      <c r="M5" s="108">
        <v>88.28</v>
      </c>
      <c r="N5" s="108">
        <v>88.28</v>
      </c>
      <c r="O5" s="108">
        <v>112.8</v>
      </c>
      <c r="P5" s="108">
        <v>112.8</v>
      </c>
      <c r="Q5" s="108">
        <v>129.03</v>
      </c>
      <c r="R5" s="108">
        <v>129.03</v>
      </c>
      <c r="S5" s="108">
        <v>136.03</v>
      </c>
      <c r="T5" s="108">
        <v>136.03</v>
      </c>
      <c r="U5" s="108">
        <v>112.23</v>
      </c>
      <c r="V5" s="108">
        <v>112.23</v>
      </c>
      <c r="W5" s="108">
        <v>101.31</v>
      </c>
      <c r="X5" s="108">
        <v>101.31</v>
      </c>
      <c r="Y5" s="108">
        <v>118.08</v>
      </c>
      <c r="Z5" s="108">
        <v>118.08</v>
      </c>
      <c r="AA5" s="108">
        <v>69.47</v>
      </c>
      <c r="AB5" s="108">
        <v>69.47</v>
      </c>
      <c r="AC5" s="176">
        <f t="shared" ref="AC5:AC36" si="0">E5+G5+I5+K5+M5+O5+Q5+S5+U5+W5+Y5+AA5</f>
        <v>1860.4</v>
      </c>
      <c r="AD5" s="176">
        <f t="shared" ref="AD5:AD36" si="1">F5+H5+J5+L5+N5+P5+R5+T5+V5+X5+Z5+AB5</f>
        <v>1860.4</v>
      </c>
      <c r="AE5" s="211">
        <f t="shared" ref="AE5:AE36" si="2">D5+AD5-AC5</f>
        <v>226.134904</v>
      </c>
      <c r="AF5" s="11"/>
    </row>
    <row r="6" s="4" customFormat="1" ht="35" customHeight="1" spans="1:32">
      <c r="A6" s="48">
        <v>3</v>
      </c>
      <c r="B6" s="48" t="s">
        <v>41</v>
      </c>
      <c r="C6" s="51" t="s">
        <v>42</v>
      </c>
      <c r="D6" s="75">
        <v>107.49247</v>
      </c>
      <c r="E6" s="48"/>
      <c r="F6" s="48">
        <v>70</v>
      </c>
      <c r="G6" s="48">
        <v>10.4</v>
      </c>
      <c r="H6" s="216"/>
      <c r="I6" s="108">
        <v>7.89</v>
      </c>
      <c r="J6" s="108">
        <v>0</v>
      </c>
      <c r="K6" s="108">
        <v>11.37</v>
      </c>
      <c r="L6" s="108">
        <v>0</v>
      </c>
      <c r="M6" s="108">
        <v>9.03</v>
      </c>
      <c r="N6" s="108">
        <v>33.04</v>
      </c>
      <c r="O6" s="108">
        <v>11.69</v>
      </c>
      <c r="P6" s="108">
        <v>0</v>
      </c>
      <c r="Q6" s="108">
        <v>19.29</v>
      </c>
      <c r="R6" s="108">
        <v>0</v>
      </c>
      <c r="S6" s="108">
        <v>10.67</v>
      </c>
      <c r="T6" s="108">
        <v>0</v>
      </c>
      <c r="U6" s="108">
        <v>10.96</v>
      </c>
      <c r="V6" s="108">
        <v>60</v>
      </c>
      <c r="W6" s="108">
        <v>9.96</v>
      </c>
      <c r="X6" s="108">
        <v>0</v>
      </c>
      <c r="Y6" s="108">
        <v>11.98</v>
      </c>
      <c r="Z6" s="108">
        <v>0</v>
      </c>
      <c r="AA6" s="108">
        <v>10.22</v>
      </c>
      <c r="AB6" s="108">
        <v>0</v>
      </c>
      <c r="AC6" s="176">
        <f t="shared" si="0"/>
        <v>123.46</v>
      </c>
      <c r="AD6" s="176">
        <f t="shared" si="1"/>
        <v>163.04</v>
      </c>
      <c r="AE6" s="211">
        <f t="shared" si="2"/>
        <v>147.07247</v>
      </c>
      <c r="AF6" s="11"/>
    </row>
    <row r="7" s="4" customFormat="1" ht="35" customHeight="1" spans="1:32">
      <c r="A7" s="48">
        <v>4</v>
      </c>
      <c r="B7" s="48" t="s">
        <v>43</v>
      </c>
      <c r="C7" s="51" t="s">
        <v>44</v>
      </c>
      <c r="D7" s="75">
        <v>1034.94807</v>
      </c>
      <c r="E7" s="48">
        <v>85.97</v>
      </c>
      <c r="F7" s="48"/>
      <c r="G7" s="48">
        <v>115.97</v>
      </c>
      <c r="H7" s="216"/>
      <c r="I7" s="108">
        <v>93.86</v>
      </c>
      <c r="J7" s="108">
        <v>597.3</v>
      </c>
      <c r="K7" s="108">
        <v>94.56</v>
      </c>
      <c r="L7" s="108">
        <v>0</v>
      </c>
      <c r="M7" s="108">
        <v>86.7</v>
      </c>
      <c r="N7" s="108">
        <v>0</v>
      </c>
      <c r="O7" s="108">
        <v>108.91</v>
      </c>
      <c r="P7" s="108">
        <v>0</v>
      </c>
      <c r="Q7" s="108">
        <v>79.95</v>
      </c>
      <c r="R7" s="108">
        <v>0</v>
      </c>
      <c r="S7" s="108">
        <v>217.58</v>
      </c>
      <c r="T7" s="108">
        <v>0</v>
      </c>
      <c r="U7" s="108">
        <v>195.97</v>
      </c>
      <c r="V7" s="108">
        <v>0</v>
      </c>
      <c r="W7" s="108">
        <v>174.72</v>
      </c>
      <c r="X7" s="108">
        <v>0</v>
      </c>
      <c r="Y7" s="108">
        <v>165.96</v>
      </c>
      <c r="Z7" s="108">
        <v>0</v>
      </c>
      <c r="AA7" s="108">
        <v>138.97</v>
      </c>
      <c r="AB7" s="108">
        <v>0</v>
      </c>
      <c r="AC7" s="176">
        <f t="shared" si="0"/>
        <v>1559.12</v>
      </c>
      <c r="AD7" s="176">
        <f t="shared" si="1"/>
        <v>597.3</v>
      </c>
      <c r="AE7" s="211">
        <f t="shared" si="2"/>
        <v>73.1280699999995</v>
      </c>
      <c r="AF7" s="11"/>
    </row>
    <row r="8" s="4" customFormat="1" ht="35" customHeight="1" spans="1:32">
      <c r="A8" s="48">
        <v>5</v>
      </c>
      <c r="B8" s="48" t="s">
        <v>45</v>
      </c>
      <c r="C8" s="51" t="s">
        <v>46</v>
      </c>
      <c r="D8" s="75">
        <v>321.62717</v>
      </c>
      <c r="E8" s="48">
        <v>169.76</v>
      </c>
      <c r="F8" s="48">
        <v>100.35</v>
      </c>
      <c r="G8" s="48">
        <v>186.16</v>
      </c>
      <c r="H8" s="216">
        <v>186.16</v>
      </c>
      <c r="I8" s="108">
        <v>138.48</v>
      </c>
      <c r="J8" s="108">
        <v>138.48</v>
      </c>
      <c r="K8" s="108">
        <v>130.47</v>
      </c>
      <c r="L8" s="108">
        <v>130.47</v>
      </c>
      <c r="M8" s="108">
        <v>108.88</v>
      </c>
      <c r="N8" s="108">
        <v>108.88</v>
      </c>
      <c r="O8" s="108">
        <v>151.13</v>
      </c>
      <c r="P8" s="108">
        <v>151.13</v>
      </c>
      <c r="Q8" s="108">
        <v>184.17</v>
      </c>
      <c r="R8" s="108">
        <v>184.17</v>
      </c>
      <c r="S8" s="108">
        <v>250.3</v>
      </c>
      <c r="T8" s="108">
        <v>250.3</v>
      </c>
      <c r="U8" s="108">
        <v>185.03</v>
      </c>
      <c r="V8" s="108">
        <v>185.03</v>
      </c>
      <c r="W8" s="108">
        <v>99.06</v>
      </c>
      <c r="X8" s="108">
        <v>99.06</v>
      </c>
      <c r="Y8" s="108">
        <v>131.13</v>
      </c>
      <c r="Z8" s="108">
        <v>131.13</v>
      </c>
      <c r="AA8" s="108">
        <v>116.18</v>
      </c>
      <c r="AB8" s="108">
        <v>116.18</v>
      </c>
      <c r="AC8" s="176">
        <f t="shared" si="0"/>
        <v>1850.75</v>
      </c>
      <c r="AD8" s="176">
        <f t="shared" si="1"/>
        <v>1781.34</v>
      </c>
      <c r="AE8" s="211">
        <f t="shared" si="2"/>
        <v>252.21717</v>
      </c>
      <c r="AF8" s="11"/>
    </row>
    <row r="9" s="4" customFormat="1" ht="35" customHeight="1" spans="1:32">
      <c r="A9" s="48">
        <v>6</v>
      </c>
      <c r="B9" s="48" t="s">
        <v>47</v>
      </c>
      <c r="C9" s="51" t="s">
        <v>48</v>
      </c>
      <c r="D9" s="75">
        <v>356.68497</v>
      </c>
      <c r="E9" s="48">
        <v>19.04</v>
      </c>
      <c r="F9" s="48">
        <v>19.04</v>
      </c>
      <c r="G9" s="48">
        <v>45.77</v>
      </c>
      <c r="H9" s="216">
        <v>45.77</v>
      </c>
      <c r="I9" s="108">
        <v>57.95</v>
      </c>
      <c r="J9" s="108">
        <v>57.95</v>
      </c>
      <c r="K9" s="108">
        <v>88.57</v>
      </c>
      <c r="L9" s="108">
        <v>88.57</v>
      </c>
      <c r="M9" s="108">
        <v>95.15</v>
      </c>
      <c r="N9" s="108">
        <v>95.15</v>
      </c>
      <c r="O9" s="108">
        <v>146.13</v>
      </c>
      <c r="P9" s="108">
        <v>339.13</v>
      </c>
      <c r="Q9" s="108">
        <v>157.7</v>
      </c>
      <c r="R9" s="108">
        <v>0</v>
      </c>
      <c r="S9" s="108">
        <v>97.2</v>
      </c>
      <c r="T9" s="108">
        <v>61.9</v>
      </c>
      <c r="U9" s="108">
        <v>91.97</v>
      </c>
      <c r="V9" s="108">
        <v>91.97</v>
      </c>
      <c r="W9" s="108">
        <v>45.82</v>
      </c>
      <c r="X9" s="108">
        <v>45.82</v>
      </c>
      <c r="Y9" s="108">
        <v>125.69</v>
      </c>
      <c r="Z9" s="108">
        <v>125.69</v>
      </c>
      <c r="AA9" s="108">
        <v>31.87</v>
      </c>
      <c r="AB9" s="108">
        <v>31.87</v>
      </c>
      <c r="AC9" s="176">
        <f t="shared" si="0"/>
        <v>1002.86</v>
      </c>
      <c r="AD9" s="176">
        <f t="shared" si="1"/>
        <v>1002.86</v>
      </c>
      <c r="AE9" s="211">
        <f t="shared" si="2"/>
        <v>356.68497</v>
      </c>
      <c r="AF9" s="11"/>
    </row>
    <row r="10" s="4" customFormat="1" ht="35" customHeight="1" spans="1:32">
      <c r="A10" s="48">
        <v>7</v>
      </c>
      <c r="B10" s="48" t="s">
        <v>49</v>
      </c>
      <c r="C10" s="51" t="s">
        <v>50</v>
      </c>
      <c r="D10" s="75">
        <v>337.680924000001</v>
      </c>
      <c r="E10" s="48">
        <v>176.29</v>
      </c>
      <c r="F10" s="48">
        <v>71.22</v>
      </c>
      <c r="G10" s="48">
        <v>155.76</v>
      </c>
      <c r="H10" s="216">
        <v>155.76</v>
      </c>
      <c r="I10" s="108">
        <v>164.05</v>
      </c>
      <c r="J10" s="108">
        <v>164.05</v>
      </c>
      <c r="K10" s="108">
        <v>158</v>
      </c>
      <c r="L10" s="108">
        <v>0</v>
      </c>
      <c r="M10" s="108">
        <v>133.72</v>
      </c>
      <c r="N10" s="108">
        <v>382.22</v>
      </c>
      <c r="O10" s="108">
        <v>166.13</v>
      </c>
      <c r="P10" s="108">
        <v>300</v>
      </c>
      <c r="Q10" s="108">
        <v>199.06</v>
      </c>
      <c r="R10" s="108">
        <v>0</v>
      </c>
      <c r="S10" s="108">
        <v>360.14</v>
      </c>
      <c r="T10" s="108">
        <v>334.83</v>
      </c>
      <c r="U10" s="108">
        <v>221.7</v>
      </c>
      <c r="V10" s="108">
        <v>400</v>
      </c>
      <c r="W10" s="108">
        <v>169.12</v>
      </c>
      <c r="X10" s="108">
        <v>0</v>
      </c>
      <c r="Y10" s="108">
        <v>115.9</v>
      </c>
      <c r="Z10" s="108">
        <v>150</v>
      </c>
      <c r="AA10" s="108">
        <v>125.87</v>
      </c>
      <c r="AB10" s="108">
        <v>300</v>
      </c>
      <c r="AC10" s="176">
        <f t="shared" si="0"/>
        <v>2145.74</v>
      </c>
      <c r="AD10" s="176">
        <f t="shared" si="1"/>
        <v>2258.08</v>
      </c>
      <c r="AE10" s="211">
        <f t="shared" si="2"/>
        <v>450.020924</v>
      </c>
      <c r="AF10" s="11"/>
    </row>
    <row r="11" s="4" customFormat="1" ht="35" customHeight="1" spans="1:32">
      <c r="A11" s="48">
        <v>8</v>
      </c>
      <c r="B11" s="48" t="s">
        <v>51</v>
      </c>
      <c r="C11" s="51" t="s">
        <v>52</v>
      </c>
      <c r="D11" s="75">
        <v>314.200270000001</v>
      </c>
      <c r="E11" s="48">
        <v>170.85</v>
      </c>
      <c r="F11" s="48"/>
      <c r="G11" s="48">
        <v>255.8</v>
      </c>
      <c r="H11" s="216">
        <v>540</v>
      </c>
      <c r="I11" s="108">
        <v>154.8</v>
      </c>
      <c r="J11" s="108">
        <v>450.82</v>
      </c>
      <c r="K11" s="108">
        <v>146.03</v>
      </c>
      <c r="L11" s="108">
        <v>0</v>
      </c>
      <c r="M11" s="108">
        <v>117.34</v>
      </c>
      <c r="N11" s="108">
        <v>0</v>
      </c>
      <c r="O11" s="108">
        <v>166.13</v>
      </c>
      <c r="P11" s="108">
        <v>233.04</v>
      </c>
      <c r="Q11" s="108">
        <v>181.41</v>
      </c>
      <c r="R11" s="108">
        <v>0</v>
      </c>
      <c r="S11" s="108">
        <v>262.51</v>
      </c>
      <c r="T11" s="108">
        <v>0</v>
      </c>
      <c r="U11" s="108">
        <v>167.51</v>
      </c>
      <c r="V11" s="108">
        <v>200</v>
      </c>
      <c r="W11" s="108">
        <v>202.74</v>
      </c>
      <c r="X11" s="108">
        <v>200</v>
      </c>
      <c r="Y11" s="108">
        <v>161.6</v>
      </c>
      <c r="Z11" s="108">
        <v>500</v>
      </c>
      <c r="AA11" s="108">
        <v>205.62</v>
      </c>
      <c r="AB11" s="108">
        <v>0</v>
      </c>
      <c r="AC11" s="176">
        <f t="shared" si="0"/>
        <v>2192.34</v>
      </c>
      <c r="AD11" s="176">
        <f t="shared" si="1"/>
        <v>2123.86</v>
      </c>
      <c r="AE11" s="211">
        <f t="shared" si="2"/>
        <v>245.72027</v>
      </c>
      <c r="AF11" s="11"/>
    </row>
    <row r="12" s="4" customFormat="1" ht="35" customHeight="1" spans="1:32">
      <c r="A12" s="48">
        <v>9</v>
      </c>
      <c r="B12" s="48" t="s">
        <v>53</v>
      </c>
      <c r="C12" s="51" t="s">
        <v>54</v>
      </c>
      <c r="D12" s="75">
        <v>109.397213999999</v>
      </c>
      <c r="E12" s="48">
        <v>261.71</v>
      </c>
      <c r="F12" s="48"/>
      <c r="G12" s="48">
        <v>370.76</v>
      </c>
      <c r="H12" s="216"/>
      <c r="I12" s="108">
        <v>332.71</v>
      </c>
      <c r="J12" s="108">
        <v>1290.82</v>
      </c>
      <c r="K12" s="108">
        <v>183.74</v>
      </c>
      <c r="L12" s="108">
        <v>0</v>
      </c>
      <c r="M12" s="108">
        <v>123.15</v>
      </c>
      <c r="N12" s="108">
        <v>0</v>
      </c>
      <c r="O12" s="108">
        <v>142.24</v>
      </c>
      <c r="P12" s="108">
        <v>133.04</v>
      </c>
      <c r="Q12" s="108">
        <v>157.15</v>
      </c>
      <c r="R12" s="108">
        <v>0</v>
      </c>
      <c r="S12" s="108">
        <v>278.04</v>
      </c>
      <c r="T12" s="108">
        <v>0</v>
      </c>
      <c r="U12" s="108">
        <v>196.52</v>
      </c>
      <c r="V12" s="108">
        <v>500</v>
      </c>
      <c r="W12" s="108">
        <v>126.53</v>
      </c>
      <c r="X12" s="108">
        <v>0</v>
      </c>
      <c r="Y12" s="108">
        <v>153.44</v>
      </c>
      <c r="Z12" s="108">
        <v>0</v>
      </c>
      <c r="AA12" s="108">
        <v>155.49</v>
      </c>
      <c r="AB12" s="108">
        <v>200</v>
      </c>
      <c r="AC12" s="176">
        <f t="shared" si="0"/>
        <v>2481.48</v>
      </c>
      <c r="AD12" s="176">
        <f t="shared" si="1"/>
        <v>2123.86</v>
      </c>
      <c r="AE12" s="211">
        <f t="shared" si="2"/>
        <v>-248.222786000002</v>
      </c>
      <c r="AF12" s="11"/>
    </row>
    <row r="13" s="4" customFormat="1" ht="35" customHeight="1" spans="1:32">
      <c r="A13" s="48">
        <v>10</v>
      </c>
      <c r="B13" s="48" t="s">
        <v>55</v>
      </c>
      <c r="C13" s="51" t="s">
        <v>56</v>
      </c>
      <c r="D13" s="75">
        <v>373.02017</v>
      </c>
      <c r="E13" s="48"/>
      <c r="F13" s="48"/>
      <c r="G13" s="48">
        <v>18.14</v>
      </c>
      <c r="H13" s="216"/>
      <c r="I13" s="108">
        <v>11.15</v>
      </c>
      <c r="J13" s="108">
        <v>0</v>
      </c>
      <c r="K13" s="108">
        <v>13.76</v>
      </c>
      <c r="L13" s="108">
        <v>0</v>
      </c>
      <c r="M13" s="108">
        <v>9.56</v>
      </c>
      <c r="N13" s="108">
        <v>0</v>
      </c>
      <c r="O13" s="108">
        <v>14.47</v>
      </c>
      <c r="P13" s="108">
        <v>0</v>
      </c>
      <c r="Q13" s="108">
        <v>13.78</v>
      </c>
      <c r="R13" s="108">
        <v>0</v>
      </c>
      <c r="S13" s="108">
        <v>14.55</v>
      </c>
      <c r="T13" s="108">
        <v>0</v>
      </c>
      <c r="U13" s="108">
        <v>12.06</v>
      </c>
      <c r="V13" s="108">
        <v>360</v>
      </c>
      <c r="W13" s="108">
        <v>82.81</v>
      </c>
      <c r="X13" s="108">
        <v>0</v>
      </c>
      <c r="Y13" s="108">
        <v>11.98</v>
      </c>
      <c r="Z13" s="108">
        <v>0</v>
      </c>
      <c r="AA13" s="108">
        <v>12.5</v>
      </c>
      <c r="AB13" s="108">
        <v>0</v>
      </c>
      <c r="AC13" s="176">
        <f t="shared" si="0"/>
        <v>214.76</v>
      </c>
      <c r="AD13" s="176">
        <f t="shared" si="1"/>
        <v>360</v>
      </c>
      <c r="AE13" s="211">
        <f t="shared" si="2"/>
        <v>518.26017</v>
      </c>
      <c r="AF13" s="11"/>
    </row>
    <row r="14" s="4" customFormat="1" ht="35" customHeight="1" spans="1:32">
      <c r="A14" s="48">
        <v>11</v>
      </c>
      <c r="B14" s="48" t="s">
        <v>57</v>
      </c>
      <c r="C14" s="51" t="s">
        <v>58</v>
      </c>
      <c r="D14" s="75">
        <v>183.4</v>
      </c>
      <c r="E14" s="48">
        <v>221.45</v>
      </c>
      <c r="F14" s="48">
        <v>440</v>
      </c>
      <c r="G14" s="48">
        <v>185.05</v>
      </c>
      <c r="H14" s="216"/>
      <c r="I14" s="108">
        <v>167.31</v>
      </c>
      <c r="J14" s="108">
        <v>850.82</v>
      </c>
      <c r="K14" s="108">
        <v>133.46</v>
      </c>
      <c r="L14" s="108">
        <v>0</v>
      </c>
      <c r="M14" s="108">
        <v>90.39</v>
      </c>
      <c r="N14" s="108">
        <v>0</v>
      </c>
      <c r="O14" s="108">
        <v>133.35</v>
      </c>
      <c r="P14" s="108">
        <v>0</v>
      </c>
      <c r="Q14" s="108">
        <v>142.81</v>
      </c>
      <c r="R14" s="108">
        <v>0</v>
      </c>
      <c r="S14" s="108">
        <v>179.3</v>
      </c>
      <c r="T14" s="108">
        <v>133.04</v>
      </c>
      <c r="U14" s="108">
        <v>111.13</v>
      </c>
      <c r="V14" s="108">
        <v>0</v>
      </c>
      <c r="W14" s="108">
        <v>132.13</v>
      </c>
      <c r="X14" s="108">
        <v>0</v>
      </c>
      <c r="Y14" s="108">
        <v>97.4</v>
      </c>
      <c r="Z14" s="108">
        <v>133.04</v>
      </c>
      <c r="AA14" s="108">
        <v>120.74</v>
      </c>
      <c r="AB14" s="108">
        <v>0</v>
      </c>
      <c r="AC14" s="176">
        <f t="shared" si="0"/>
        <v>1714.52</v>
      </c>
      <c r="AD14" s="176">
        <f t="shared" si="1"/>
        <v>1556.9</v>
      </c>
      <c r="AE14" s="211">
        <f t="shared" si="2"/>
        <v>25.7799999999997</v>
      </c>
      <c r="AF14" s="11"/>
    </row>
    <row r="15" s="4" customFormat="1" ht="35" customHeight="1" spans="1:32">
      <c r="A15" s="48">
        <v>12</v>
      </c>
      <c r="B15" s="48" t="s">
        <v>59</v>
      </c>
      <c r="C15" s="51" t="s">
        <v>60</v>
      </c>
      <c r="D15" s="75">
        <v>153.554839000002</v>
      </c>
      <c r="E15" s="48">
        <v>522.34</v>
      </c>
      <c r="F15" s="48">
        <v>440</v>
      </c>
      <c r="G15" s="48">
        <v>437.08</v>
      </c>
      <c r="H15" s="216">
        <v>500</v>
      </c>
      <c r="I15" s="108">
        <v>349.03</v>
      </c>
      <c r="J15" s="108">
        <v>350.82</v>
      </c>
      <c r="K15" s="108">
        <v>308.83</v>
      </c>
      <c r="L15" s="108">
        <v>282.22</v>
      </c>
      <c r="M15" s="108">
        <v>245.19</v>
      </c>
      <c r="N15" s="108">
        <v>300</v>
      </c>
      <c r="O15" s="108">
        <v>341.12</v>
      </c>
      <c r="P15" s="108">
        <v>500</v>
      </c>
      <c r="Q15" s="108">
        <v>405.3</v>
      </c>
      <c r="R15" s="108">
        <v>500</v>
      </c>
      <c r="S15" s="108">
        <v>525.44</v>
      </c>
      <c r="T15" s="108">
        <v>500</v>
      </c>
      <c r="U15" s="108">
        <v>370.58</v>
      </c>
      <c r="V15" s="108">
        <v>300</v>
      </c>
      <c r="W15" s="108">
        <v>359.1</v>
      </c>
      <c r="X15" s="108">
        <v>300</v>
      </c>
      <c r="Y15" s="108">
        <v>259</v>
      </c>
      <c r="Z15" s="108">
        <v>300</v>
      </c>
      <c r="AA15" s="108">
        <v>291.07</v>
      </c>
      <c r="AB15" s="108">
        <v>413</v>
      </c>
      <c r="AC15" s="176">
        <f t="shared" si="0"/>
        <v>4414.08</v>
      </c>
      <c r="AD15" s="176">
        <f t="shared" si="1"/>
        <v>4686.04</v>
      </c>
      <c r="AE15" s="211">
        <f t="shared" si="2"/>
        <v>425.514839000002</v>
      </c>
      <c r="AF15" s="11"/>
    </row>
    <row r="16" s="4" customFormat="1" ht="35" customHeight="1" spans="1:32">
      <c r="A16" s="48">
        <v>13</v>
      </c>
      <c r="B16" s="48" t="s">
        <v>61</v>
      </c>
      <c r="C16" s="51" t="s">
        <v>62</v>
      </c>
      <c r="D16" s="75">
        <v>176.612869999999</v>
      </c>
      <c r="E16" s="48">
        <v>229.07</v>
      </c>
      <c r="F16" s="48">
        <v>229.07</v>
      </c>
      <c r="G16" s="48">
        <v>316.04</v>
      </c>
      <c r="H16" s="216">
        <v>316.04</v>
      </c>
      <c r="I16" s="108">
        <v>195.05</v>
      </c>
      <c r="J16" s="108">
        <v>195.05</v>
      </c>
      <c r="K16" s="108">
        <v>227.43</v>
      </c>
      <c r="L16" s="108">
        <v>227.43</v>
      </c>
      <c r="M16" s="108">
        <v>151.15</v>
      </c>
      <c r="N16" s="108">
        <v>151.15</v>
      </c>
      <c r="O16" s="108">
        <v>195.01</v>
      </c>
      <c r="P16" s="108">
        <v>195.01</v>
      </c>
      <c r="Q16" s="108">
        <v>226.63</v>
      </c>
      <c r="R16" s="108">
        <v>226.63</v>
      </c>
      <c r="S16" s="108">
        <v>266.95</v>
      </c>
      <c r="T16" s="108">
        <v>266.95</v>
      </c>
      <c r="U16" s="108">
        <v>197.07</v>
      </c>
      <c r="V16" s="108">
        <v>197.07</v>
      </c>
      <c r="W16" s="108">
        <v>155.11</v>
      </c>
      <c r="X16" s="108">
        <v>155.11</v>
      </c>
      <c r="Y16" s="108">
        <v>165.96</v>
      </c>
      <c r="Z16" s="108">
        <v>165.96</v>
      </c>
      <c r="AA16" s="108">
        <v>178.85</v>
      </c>
      <c r="AB16" s="108">
        <v>178.85</v>
      </c>
      <c r="AC16" s="176">
        <f t="shared" si="0"/>
        <v>2504.32</v>
      </c>
      <c r="AD16" s="176">
        <f t="shared" si="1"/>
        <v>2504.32</v>
      </c>
      <c r="AE16" s="211">
        <f t="shared" si="2"/>
        <v>176.612869999999</v>
      </c>
      <c r="AF16" s="11"/>
    </row>
    <row r="17" s="4" customFormat="1" ht="35" customHeight="1" spans="1:32">
      <c r="A17" s="48">
        <v>14</v>
      </c>
      <c r="B17" s="48" t="s">
        <v>63</v>
      </c>
      <c r="C17" s="51" t="s">
        <v>64</v>
      </c>
      <c r="D17" s="75">
        <v>300</v>
      </c>
      <c r="E17" s="48"/>
      <c r="F17" s="48"/>
      <c r="G17" s="48"/>
      <c r="H17" s="216"/>
      <c r="I17" s="108"/>
      <c r="J17" s="108">
        <v>0</v>
      </c>
      <c r="K17" s="108"/>
      <c r="L17" s="108">
        <v>0</v>
      </c>
      <c r="M17" s="108"/>
      <c r="N17" s="108">
        <v>0</v>
      </c>
      <c r="O17" s="108"/>
      <c r="P17" s="108">
        <v>0</v>
      </c>
      <c r="Q17" s="108"/>
      <c r="R17" s="108">
        <v>0</v>
      </c>
      <c r="S17" s="108"/>
      <c r="T17" s="108">
        <v>0</v>
      </c>
      <c r="U17" s="108"/>
      <c r="V17" s="108">
        <v>0</v>
      </c>
      <c r="W17" s="108"/>
      <c r="X17" s="108">
        <v>0</v>
      </c>
      <c r="Y17" s="108"/>
      <c r="Z17" s="108">
        <v>0</v>
      </c>
      <c r="AA17" s="108"/>
      <c r="AB17" s="108">
        <v>0</v>
      </c>
      <c r="AC17" s="176">
        <f t="shared" si="0"/>
        <v>0</v>
      </c>
      <c r="AD17" s="176">
        <f t="shared" si="1"/>
        <v>0</v>
      </c>
      <c r="AE17" s="211">
        <f t="shared" si="2"/>
        <v>300</v>
      </c>
      <c r="AF17" s="11"/>
    </row>
    <row r="18" s="4" customFormat="1" ht="35" customHeight="1" spans="1:32">
      <c r="A18" s="48">
        <v>15</v>
      </c>
      <c r="B18" s="48" t="s">
        <v>65</v>
      </c>
      <c r="C18" s="51" t="s">
        <v>66</v>
      </c>
      <c r="D18" s="75">
        <v>300</v>
      </c>
      <c r="E18" s="48"/>
      <c r="F18" s="48"/>
      <c r="G18" s="48"/>
      <c r="H18" s="216"/>
      <c r="I18" s="108"/>
      <c r="J18" s="108">
        <v>0</v>
      </c>
      <c r="K18" s="108"/>
      <c r="L18" s="108">
        <v>0</v>
      </c>
      <c r="M18" s="108"/>
      <c r="N18" s="108">
        <v>0</v>
      </c>
      <c r="O18" s="108"/>
      <c r="P18" s="108">
        <v>0</v>
      </c>
      <c r="Q18" s="108"/>
      <c r="R18" s="108">
        <v>0</v>
      </c>
      <c r="S18" s="108"/>
      <c r="T18" s="108">
        <v>0</v>
      </c>
      <c r="U18" s="108"/>
      <c r="V18" s="108">
        <v>0</v>
      </c>
      <c r="W18" s="108"/>
      <c r="X18" s="108">
        <v>0</v>
      </c>
      <c r="Y18" s="108"/>
      <c r="Z18" s="108">
        <v>0</v>
      </c>
      <c r="AA18" s="108"/>
      <c r="AB18" s="108">
        <v>0</v>
      </c>
      <c r="AC18" s="176">
        <f t="shared" si="0"/>
        <v>0</v>
      </c>
      <c r="AD18" s="176">
        <f t="shared" si="1"/>
        <v>0</v>
      </c>
      <c r="AE18" s="211">
        <f t="shared" si="2"/>
        <v>300</v>
      </c>
      <c r="AF18" s="11"/>
    </row>
    <row r="19" s="4" customFormat="1" ht="35" customHeight="1" spans="1:32">
      <c r="A19" s="48">
        <v>16</v>
      </c>
      <c r="B19" s="48" t="s">
        <v>67</v>
      </c>
      <c r="C19" s="51" t="s">
        <v>68</v>
      </c>
      <c r="D19" s="75">
        <v>231.53637</v>
      </c>
      <c r="E19" s="48">
        <v>247.02</v>
      </c>
      <c r="F19" s="48">
        <v>247.02</v>
      </c>
      <c r="G19" s="48">
        <v>391.21</v>
      </c>
      <c r="H19" s="216">
        <v>391.21</v>
      </c>
      <c r="I19" s="108">
        <v>265.24</v>
      </c>
      <c r="J19" s="108">
        <v>265.24</v>
      </c>
      <c r="K19" s="108">
        <v>194.51</v>
      </c>
      <c r="L19" s="108">
        <v>194.51</v>
      </c>
      <c r="M19" s="108">
        <v>168.06</v>
      </c>
      <c r="N19" s="108">
        <v>168.06</v>
      </c>
      <c r="O19" s="108">
        <v>175.57</v>
      </c>
      <c r="P19" s="108">
        <v>175.57</v>
      </c>
      <c r="Q19" s="108">
        <v>199.61</v>
      </c>
      <c r="R19" s="108">
        <v>199.61</v>
      </c>
      <c r="S19" s="108">
        <v>197.61</v>
      </c>
      <c r="T19" s="108">
        <v>197.61</v>
      </c>
      <c r="U19" s="108">
        <v>171.89</v>
      </c>
      <c r="V19" s="108">
        <v>171.89</v>
      </c>
      <c r="W19" s="108">
        <v>174.16</v>
      </c>
      <c r="X19" s="108">
        <v>174.16</v>
      </c>
      <c r="Y19" s="108">
        <v>125.69</v>
      </c>
      <c r="Z19" s="108">
        <v>125.69</v>
      </c>
      <c r="AA19" s="108">
        <v>158.91</v>
      </c>
      <c r="AB19" s="108">
        <v>158.91</v>
      </c>
      <c r="AC19" s="176">
        <f t="shared" si="0"/>
        <v>2469.48</v>
      </c>
      <c r="AD19" s="176">
        <f t="shared" si="1"/>
        <v>2469.48</v>
      </c>
      <c r="AE19" s="211">
        <f t="shared" si="2"/>
        <v>231.53637</v>
      </c>
      <c r="AF19" s="11"/>
    </row>
    <row r="20" s="4" customFormat="1" ht="35" customHeight="1" spans="1:32">
      <c r="A20" s="48">
        <v>17</v>
      </c>
      <c r="B20" s="48" t="s">
        <v>69</v>
      </c>
      <c r="C20" s="51" t="s">
        <v>70</v>
      </c>
      <c r="D20" s="75">
        <v>213.966674</v>
      </c>
      <c r="E20" s="48">
        <v>599.6</v>
      </c>
      <c r="F20" s="48"/>
      <c r="G20" s="48">
        <v>735.54</v>
      </c>
      <c r="H20" s="216"/>
      <c r="I20" s="108">
        <v>587.89</v>
      </c>
      <c r="J20" s="108">
        <v>1990.82</v>
      </c>
      <c r="K20" s="108">
        <v>454.86</v>
      </c>
      <c r="L20" s="108">
        <v>0</v>
      </c>
      <c r="M20" s="108">
        <v>333.42</v>
      </c>
      <c r="N20" s="108">
        <v>0</v>
      </c>
      <c r="O20" s="108">
        <v>411.11</v>
      </c>
      <c r="P20" s="108">
        <v>0</v>
      </c>
      <c r="Q20" s="108">
        <v>426.81</v>
      </c>
      <c r="R20" s="108">
        <v>1133.04</v>
      </c>
      <c r="S20" s="108">
        <v>552.07</v>
      </c>
      <c r="T20" s="108">
        <v>0</v>
      </c>
      <c r="U20" s="108">
        <v>499.76</v>
      </c>
      <c r="V20" s="108">
        <v>1500</v>
      </c>
      <c r="W20" s="108">
        <v>407.3</v>
      </c>
      <c r="X20" s="108">
        <v>0</v>
      </c>
      <c r="Y20" s="108">
        <v>330.82</v>
      </c>
      <c r="Z20" s="108">
        <v>1000</v>
      </c>
      <c r="AA20" s="108">
        <v>363.42</v>
      </c>
      <c r="AB20" s="108">
        <v>0</v>
      </c>
      <c r="AC20" s="176">
        <f t="shared" si="0"/>
        <v>5702.6</v>
      </c>
      <c r="AD20" s="176">
        <f t="shared" si="1"/>
        <v>5623.86</v>
      </c>
      <c r="AE20" s="211">
        <f t="shared" si="2"/>
        <v>135.226674</v>
      </c>
      <c r="AF20" s="11"/>
    </row>
    <row r="21" s="4" customFormat="1" ht="35" customHeight="1" spans="1:32">
      <c r="A21" s="48">
        <v>18</v>
      </c>
      <c r="B21" s="48" t="s">
        <v>71</v>
      </c>
      <c r="C21" s="51" t="s">
        <v>72</v>
      </c>
      <c r="D21" s="75">
        <v>401.522589</v>
      </c>
      <c r="E21" s="48">
        <v>60.94</v>
      </c>
      <c r="F21" s="48">
        <v>60.94</v>
      </c>
      <c r="G21" s="48">
        <v>143.6</v>
      </c>
      <c r="H21" s="216">
        <v>143.6</v>
      </c>
      <c r="I21" s="108">
        <v>55.21</v>
      </c>
      <c r="J21" s="108">
        <v>55.21</v>
      </c>
      <c r="K21" s="108">
        <v>64.63</v>
      </c>
      <c r="L21" s="108">
        <v>64.63</v>
      </c>
      <c r="M21" s="108">
        <v>58.17</v>
      </c>
      <c r="N21" s="108">
        <v>58.17</v>
      </c>
      <c r="O21" s="108">
        <v>68.91</v>
      </c>
      <c r="P21" s="108">
        <v>68.91</v>
      </c>
      <c r="Q21" s="108">
        <v>69.47</v>
      </c>
      <c r="R21" s="108">
        <v>569.47</v>
      </c>
      <c r="S21" s="108">
        <v>67.8</v>
      </c>
      <c r="T21" s="108">
        <v>0</v>
      </c>
      <c r="U21" s="108">
        <v>103.47</v>
      </c>
      <c r="V21" s="108">
        <v>0</v>
      </c>
      <c r="W21" s="108">
        <v>76.09</v>
      </c>
      <c r="X21" s="108">
        <v>0</v>
      </c>
      <c r="Y21" s="108">
        <v>68.02</v>
      </c>
      <c r="Z21" s="108">
        <v>0</v>
      </c>
      <c r="AA21" s="108">
        <v>62.63</v>
      </c>
      <c r="AB21" s="108">
        <v>0</v>
      </c>
      <c r="AC21" s="176">
        <f t="shared" si="0"/>
        <v>898.94</v>
      </c>
      <c r="AD21" s="176">
        <f t="shared" si="1"/>
        <v>1020.93</v>
      </c>
      <c r="AE21" s="211">
        <f t="shared" si="2"/>
        <v>523.512589</v>
      </c>
      <c r="AF21" s="11"/>
    </row>
    <row r="22" s="4" customFormat="1" ht="35" customHeight="1" spans="1:32">
      <c r="A22" s="48">
        <v>19</v>
      </c>
      <c r="B22" s="48" t="s">
        <v>73</v>
      </c>
      <c r="C22" s="51" t="s">
        <v>74</v>
      </c>
      <c r="D22" s="75">
        <v>781.53557</v>
      </c>
      <c r="E22" s="48">
        <v>286.2</v>
      </c>
      <c r="F22" s="48"/>
      <c r="G22" s="48">
        <v>306.65</v>
      </c>
      <c r="H22" s="216"/>
      <c r="I22" s="108">
        <v>240.75</v>
      </c>
      <c r="J22" s="108">
        <v>790.82</v>
      </c>
      <c r="K22" s="108">
        <v>217.85</v>
      </c>
      <c r="L22" s="108">
        <v>0</v>
      </c>
      <c r="M22" s="108">
        <v>126.85</v>
      </c>
      <c r="N22" s="108">
        <v>0</v>
      </c>
      <c r="O22" s="108">
        <v>163.91</v>
      </c>
      <c r="P22" s="108">
        <v>633.04</v>
      </c>
      <c r="Q22" s="108">
        <v>226.08</v>
      </c>
      <c r="R22" s="108">
        <v>0</v>
      </c>
      <c r="S22" s="108">
        <v>344.05</v>
      </c>
      <c r="T22" s="108">
        <v>0</v>
      </c>
      <c r="U22" s="108">
        <v>274.79</v>
      </c>
      <c r="V22" s="108">
        <v>0</v>
      </c>
      <c r="W22" s="108">
        <v>233.01</v>
      </c>
      <c r="X22" s="108">
        <v>500</v>
      </c>
      <c r="Y22" s="108">
        <v>206.76</v>
      </c>
      <c r="Z22" s="108">
        <v>0</v>
      </c>
      <c r="AA22" s="108">
        <v>186.25</v>
      </c>
      <c r="AB22" s="108">
        <v>0</v>
      </c>
      <c r="AC22" s="176">
        <f t="shared" si="0"/>
        <v>2813.15</v>
      </c>
      <c r="AD22" s="176">
        <f t="shared" si="1"/>
        <v>1923.86</v>
      </c>
      <c r="AE22" s="211">
        <f t="shared" si="2"/>
        <v>-107.75443</v>
      </c>
      <c r="AF22" s="11"/>
    </row>
    <row r="23" s="4" customFormat="1" ht="35" customHeight="1" spans="1:32">
      <c r="A23" s="48">
        <v>20</v>
      </c>
      <c r="B23" s="48" t="s">
        <v>75</v>
      </c>
      <c r="C23" s="51" t="s">
        <v>76</v>
      </c>
      <c r="D23" s="75">
        <v>351.936969999999</v>
      </c>
      <c r="E23" s="48">
        <v>41.9</v>
      </c>
      <c r="F23" s="48"/>
      <c r="G23" s="48">
        <v>101.04</v>
      </c>
      <c r="H23" s="216"/>
      <c r="I23" s="108">
        <v>117.24</v>
      </c>
      <c r="J23" s="108">
        <v>290.82</v>
      </c>
      <c r="K23" s="108">
        <v>128.67</v>
      </c>
      <c r="L23" s="108">
        <v>282.22</v>
      </c>
      <c r="M23" s="108">
        <v>111</v>
      </c>
      <c r="N23" s="108">
        <v>0</v>
      </c>
      <c r="O23" s="108">
        <v>181.13</v>
      </c>
      <c r="P23" s="108">
        <v>0</v>
      </c>
      <c r="Q23" s="108">
        <v>227.74</v>
      </c>
      <c r="R23" s="108">
        <v>0</v>
      </c>
      <c r="S23" s="108">
        <v>361.8</v>
      </c>
      <c r="T23" s="108">
        <v>600</v>
      </c>
      <c r="U23" s="108">
        <v>414.92</v>
      </c>
      <c r="V23" s="108">
        <v>500</v>
      </c>
      <c r="W23" s="108">
        <v>225.72</v>
      </c>
      <c r="X23" s="108">
        <v>500</v>
      </c>
      <c r="Y23" s="108">
        <v>193.71</v>
      </c>
      <c r="Z23" s="108">
        <v>0</v>
      </c>
      <c r="AA23" s="108">
        <v>112.76</v>
      </c>
      <c r="AB23" s="108">
        <v>0</v>
      </c>
      <c r="AC23" s="176">
        <f t="shared" si="0"/>
        <v>2217.63</v>
      </c>
      <c r="AD23" s="176">
        <f t="shared" si="1"/>
        <v>2173.04</v>
      </c>
      <c r="AE23" s="211">
        <f t="shared" si="2"/>
        <v>307.346969999999</v>
      </c>
      <c r="AF23" s="11"/>
    </row>
    <row r="24" s="4" customFormat="1" ht="35" customHeight="1" spans="1:32">
      <c r="A24" s="48">
        <v>21</v>
      </c>
      <c r="B24" s="48" t="s">
        <v>77</v>
      </c>
      <c r="C24" s="51" t="s">
        <v>78</v>
      </c>
      <c r="D24" s="75">
        <v>170.18067</v>
      </c>
      <c r="E24" s="48"/>
      <c r="F24" s="48"/>
      <c r="G24" s="48">
        <v>10.4</v>
      </c>
      <c r="H24" s="216">
        <v>10.4</v>
      </c>
      <c r="I24" s="108">
        <v>7.87</v>
      </c>
      <c r="J24" s="108">
        <v>7.87</v>
      </c>
      <c r="K24" s="108">
        <v>10.77</v>
      </c>
      <c r="L24" s="108">
        <v>10.77</v>
      </c>
      <c r="M24" s="108">
        <v>9.03</v>
      </c>
      <c r="N24" s="108">
        <v>9.03</v>
      </c>
      <c r="O24" s="108">
        <v>11.69</v>
      </c>
      <c r="P24" s="108">
        <v>11.69</v>
      </c>
      <c r="Q24" s="108">
        <v>11.02</v>
      </c>
      <c r="R24" s="108">
        <v>11.02</v>
      </c>
      <c r="S24" s="108">
        <v>10.67</v>
      </c>
      <c r="T24" s="108">
        <v>10.67</v>
      </c>
      <c r="U24" s="108">
        <v>10.96</v>
      </c>
      <c r="V24" s="108">
        <v>10.96</v>
      </c>
      <c r="W24" s="108">
        <v>9.96</v>
      </c>
      <c r="X24" s="108">
        <v>9.96</v>
      </c>
      <c r="Y24" s="108">
        <v>11.98</v>
      </c>
      <c r="Z24" s="108">
        <v>11.98</v>
      </c>
      <c r="AA24" s="108">
        <v>10.22</v>
      </c>
      <c r="AB24" s="108">
        <v>10.22</v>
      </c>
      <c r="AC24" s="176">
        <f t="shared" si="0"/>
        <v>114.57</v>
      </c>
      <c r="AD24" s="176">
        <f t="shared" si="1"/>
        <v>114.57</v>
      </c>
      <c r="AE24" s="211">
        <f t="shared" si="2"/>
        <v>170.18067</v>
      </c>
      <c r="AF24" s="11"/>
    </row>
    <row r="25" s="4" customFormat="1" ht="35" customHeight="1" spans="1:32">
      <c r="A25" s="48">
        <v>22</v>
      </c>
      <c r="B25" s="48" t="s">
        <v>79</v>
      </c>
      <c r="C25" s="51" t="s">
        <v>80</v>
      </c>
      <c r="D25" s="75">
        <v>1878.330774</v>
      </c>
      <c r="E25" s="48">
        <v>131.67</v>
      </c>
      <c r="F25" s="48"/>
      <c r="G25" s="48">
        <v>279.01</v>
      </c>
      <c r="H25" s="216"/>
      <c r="I25" s="108">
        <v>57.93</v>
      </c>
      <c r="J25" s="108">
        <v>0</v>
      </c>
      <c r="K25" s="108">
        <v>65.23</v>
      </c>
      <c r="L25" s="108">
        <v>0</v>
      </c>
      <c r="M25" s="108">
        <v>72.43</v>
      </c>
      <c r="N25" s="108">
        <v>0</v>
      </c>
      <c r="O25" s="108">
        <v>72.24</v>
      </c>
      <c r="P25" s="108">
        <v>0</v>
      </c>
      <c r="Q25" s="108">
        <v>87.67</v>
      </c>
      <c r="R25" s="108">
        <v>0</v>
      </c>
      <c r="S25" s="108">
        <v>87.77</v>
      </c>
      <c r="T25" s="108">
        <v>439.52</v>
      </c>
      <c r="U25" s="108">
        <v>131.38</v>
      </c>
      <c r="V25" s="108">
        <v>0</v>
      </c>
      <c r="W25" s="108">
        <v>85.61</v>
      </c>
      <c r="X25" s="108">
        <v>0</v>
      </c>
      <c r="Y25" s="108">
        <v>135.49</v>
      </c>
      <c r="Z25" s="108">
        <v>0</v>
      </c>
      <c r="AA25" s="108">
        <v>71.18</v>
      </c>
      <c r="AB25" s="108">
        <v>0</v>
      </c>
      <c r="AC25" s="176">
        <f t="shared" si="0"/>
        <v>1277.61</v>
      </c>
      <c r="AD25" s="176">
        <f t="shared" si="1"/>
        <v>439.52</v>
      </c>
      <c r="AE25" s="211">
        <f t="shared" si="2"/>
        <v>1040.240774</v>
      </c>
      <c r="AF25" s="11"/>
    </row>
    <row r="26" s="4" customFormat="1" ht="35" customHeight="1" spans="1:32">
      <c r="A26" s="48">
        <v>23</v>
      </c>
      <c r="B26" s="48" t="s">
        <v>81</v>
      </c>
      <c r="C26" s="51" t="s">
        <v>82</v>
      </c>
      <c r="D26" s="75">
        <v>-44.1820560000001</v>
      </c>
      <c r="E26" s="48">
        <v>116.98</v>
      </c>
      <c r="F26" s="48">
        <v>116.98</v>
      </c>
      <c r="G26" s="48">
        <v>123.7</v>
      </c>
      <c r="H26" s="216">
        <v>123.7</v>
      </c>
      <c r="I26" s="108">
        <v>122.13</v>
      </c>
      <c r="J26" s="108">
        <v>122.13</v>
      </c>
      <c r="K26" s="108">
        <v>119.7</v>
      </c>
      <c r="L26" s="108">
        <v>119.7</v>
      </c>
      <c r="M26" s="108">
        <v>102.54</v>
      </c>
      <c r="N26" s="108">
        <v>102.54</v>
      </c>
      <c r="O26" s="108">
        <v>130.02</v>
      </c>
      <c r="P26" s="108">
        <v>130.02</v>
      </c>
      <c r="Q26" s="108">
        <v>146.67</v>
      </c>
      <c r="R26" s="108">
        <v>146.67</v>
      </c>
      <c r="S26" s="108">
        <v>148.24</v>
      </c>
      <c r="T26" s="108">
        <v>148.24</v>
      </c>
      <c r="U26" s="108">
        <v>121.53</v>
      </c>
      <c r="V26" s="108">
        <v>121.53</v>
      </c>
      <c r="W26" s="108">
        <v>116.44</v>
      </c>
      <c r="X26" s="108">
        <v>116.44</v>
      </c>
      <c r="Y26" s="108">
        <v>146.91</v>
      </c>
      <c r="Z26" s="108">
        <v>146.91</v>
      </c>
      <c r="AA26" s="108">
        <v>117.89</v>
      </c>
      <c r="AB26" s="108">
        <v>117.89</v>
      </c>
      <c r="AC26" s="176">
        <f t="shared" si="0"/>
        <v>1512.75</v>
      </c>
      <c r="AD26" s="176">
        <f t="shared" si="1"/>
        <v>1512.75</v>
      </c>
      <c r="AE26" s="211">
        <f t="shared" si="2"/>
        <v>-44.1820560000001</v>
      </c>
      <c r="AF26" s="11"/>
    </row>
    <row r="27" s="4" customFormat="1" ht="35" customHeight="1" spans="1:32">
      <c r="A27" s="48">
        <v>24</v>
      </c>
      <c r="B27" s="48" t="s">
        <v>83</v>
      </c>
      <c r="C27" s="51" t="s">
        <v>84</v>
      </c>
      <c r="D27" s="75">
        <v>1326.325059</v>
      </c>
      <c r="E27" s="48">
        <v>198.05</v>
      </c>
      <c r="F27" s="48"/>
      <c r="G27" s="48">
        <v>200.53</v>
      </c>
      <c r="H27" s="216"/>
      <c r="I27" s="108">
        <v>149.88</v>
      </c>
      <c r="J27" s="108">
        <v>0</v>
      </c>
      <c r="K27" s="108">
        <v>102.34</v>
      </c>
      <c r="L27" s="108">
        <v>0</v>
      </c>
      <c r="M27" s="108">
        <v>84.58</v>
      </c>
      <c r="N27" s="108">
        <v>0</v>
      </c>
      <c r="O27" s="108">
        <v>162.24</v>
      </c>
      <c r="P27" s="108">
        <v>1499.52</v>
      </c>
      <c r="Q27" s="108">
        <v>224.98</v>
      </c>
      <c r="R27" s="108">
        <v>0</v>
      </c>
      <c r="S27" s="108">
        <v>306.88</v>
      </c>
      <c r="T27" s="108">
        <v>0</v>
      </c>
      <c r="U27" s="108">
        <v>357.45</v>
      </c>
      <c r="V27" s="108">
        <v>0</v>
      </c>
      <c r="W27" s="108">
        <v>111.39</v>
      </c>
      <c r="X27" s="108">
        <v>0</v>
      </c>
      <c r="Y27" s="108">
        <v>144.19</v>
      </c>
      <c r="Z27" s="108">
        <v>0</v>
      </c>
      <c r="AA27" s="108">
        <v>131.56</v>
      </c>
      <c r="AB27" s="108">
        <v>0</v>
      </c>
      <c r="AC27" s="176">
        <f t="shared" si="0"/>
        <v>2174.07</v>
      </c>
      <c r="AD27" s="176">
        <f t="shared" si="1"/>
        <v>1499.52</v>
      </c>
      <c r="AE27" s="211">
        <f t="shared" si="2"/>
        <v>651.775059</v>
      </c>
      <c r="AF27" s="11"/>
    </row>
    <row r="28" s="4" customFormat="1" ht="35" customHeight="1" spans="1:32">
      <c r="A28" s="48">
        <v>25</v>
      </c>
      <c r="B28" s="48" t="s">
        <v>85</v>
      </c>
      <c r="C28" s="51" t="s">
        <v>86</v>
      </c>
      <c r="D28" s="75">
        <v>-798.617871</v>
      </c>
      <c r="E28" s="48">
        <v>142.01</v>
      </c>
      <c r="F28" s="48">
        <v>142.01</v>
      </c>
      <c r="G28" s="48">
        <v>106.02</v>
      </c>
      <c r="H28" s="216">
        <v>106.02</v>
      </c>
      <c r="I28" s="108">
        <v>81.87</v>
      </c>
      <c r="J28" s="108">
        <v>81.87</v>
      </c>
      <c r="K28" s="108">
        <v>105.33</v>
      </c>
      <c r="L28" s="108">
        <v>105.33</v>
      </c>
      <c r="M28" s="108">
        <v>71.37</v>
      </c>
      <c r="N28" s="108">
        <v>71.37</v>
      </c>
      <c r="O28" s="108">
        <v>81.69</v>
      </c>
      <c r="P28" s="108">
        <v>81.69</v>
      </c>
      <c r="Q28" s="108">
        <v>94.84</v>
      </c>
      <c r="R28" s="108">
        <v>94.84</v>
      </c>
      <c r="S28" s="108">
        <v>107.19</v>
      </c>
      <c r="T28" s="108">
        <v>107.19</v>
      </c>
      <c r="U28" s="108">
        <v>76.65</v>
      </c>
      <c r="V28" s="108">
        <v>76.65</v>
      </c>
      <c r="W28" s="108">
        <v>76.09</v>
      </c>
      <c r="X28" s="108">
        <v>76.09</v>
      </c>
      <c r="Y28" s="108">
        <v>58.77</v>
      </c>
      <c r="Z28" s="108">
        <v>58.77</v>
      </c>
      <c r="AA28" s="108">
        <v>78.01</v>
      </c>
      <c r="AB28" s="108">
        <v>78.01</v>
      </c>
      <c r="AC28" s="176">
        <f t="shared" si="0"/>
        <v>1079.84</v>
      </c>
      <c r="AD28" s="176">
        <f t="shared" si="1"/>
        <v>1079.84</v>
      </c>
      <c r="AE28" s="211">
        <f t="shared" si="2"/>
        <v>-798.617871</v>
      </c>
      <c r="AF28" s="11"/>
    </row>
    <row r="29" s="4" customFormat="1" ht="35" customHeight="1" spans="1:32">
      <c r="A29" s="48">
        <v>26</v>
      </c>
      <c r="B29" s="48" t="s">
        <v>87</v>
      </c>
      <c r="C29" s="210" t="s">
        <v>88</v>
      </c>
      <c r="D29" s="75">
        <v>304.547134</v>
      </c>
      <c r="E29" s="48">
        <v>184.45</v>
      </c>
      <c r="F29" s="48">
        <v>184.45</v>
      </c>
      <c r="G29" s="48">
        <v>167.92</v>
      </c>
      <c r="H29" s="216">
        <v>167.92</v>
      </c>
      <c r="I29" s="108">
        <v>118.32</v>
      </c>
      <c r="J29" s="108">
        <v>118.32</v>
      </c>
      <c r="K29" s="108">
        <v>140.64</v>
      </c>
      <c r="L29" s="108">
        <v>140.64</v>
      </c>
      <c r="M29" s="108">
        <v>113.64</v>
      </c>
      <c r="N29" s="108">
        <v>113.64</v>
      </c>
      <c r="O29" s="108">
        <v>211.12</v>
      </c>
      <c r="P29" s="108">
        <v>211.12</v>
      </c>
      <c r="Q29" s="108">
        <v>426.26</v>
      </c>
      <c r="R29" s="108">
        <v>426.26</v>
      </c>
      <c r="S29" s="108">
        <v>391.2</v>
      </c>
      <c r="T29" s="108">
        <v>391.2</v>
      </c>
      <c r="U29" s="108">
        <v>275.89</v>
      </c>
      <c r="V29" s="108">
        <v>275.89</v>
      </c>
      <c r="W29" s="108">
        <v>312.59</v>
      </c>
      <c r="X29" s="108">
        <v>312.59</v>
      </c>
      <c r="Y29" s="108">
        <v>187.18</v>
      </c>
      <c r="Z29" s="108">
        <v>187.18</v>
      </c>
      <c r="AA29" s="108">
        <v>120.74</v>
      </c>
      <c r="AB29" s="108">
        <v>120.74</v>
      </c>
      <c r="AC29" s="176">
        <f t="shared" si="0"/>
        <v>2649.95</v>
      </c>
      <c r="AD29" s="176">
        <f t="shared" si="1"/>
        <v>2649.95</v>
      </c>
      <c r="AE29" s="211">
        <f t="shared" si="2"/>
        <v>304.547134</v>
      </c>
      <c r="AF29" s="11"/>
    </row>
    <row r="30" s="4" customFormat="1" ht="35" customHeight="1" spans="1:32">
      <c r="A30" s="48">
        <v>27</v>
      </c>
      <c r="B30" s="48" t="s">
        <v>89</v>
      </c>
      <c r="C30" s="210" t="s">
        <v>90</v>
      </c>
      <c r="D30" s="75">
        <v>331.841570000001</v>
      </c>
      <c r="E30" s="48">
        <v>186.08</v>
      </c>
      <c r="F30" s="48">
        <v>186.08</v>
      </c>
      <c r="G30" s="48">
        <v>217.11</v>
      </c>
      <c r="H30" s="216">
        <v>217.11</v>
      </c>
      <c r="I30" s="108">
        <v>159.67</v>
      </c>
      <c r="J30" s="108">
        <v>159.67</v>
      </c>
      <c r="K30" s="108">
        <v>149.02</v>
      </c>
      <c r="L30" s="108">
        <v>149.02</v>
      </c>
      <c r="M30" s="108">
        <v>208.21</v>
      </c>
      <c r="N30" s="108">
        <v>208.21</v>
      </c>
      <c r="O30" s="108">
        <v>423.34</v>
      </c>
      <c r="P30" s="108">
        <v>423.34</v>
      </c>
      <c r="Q30" s="108">
        <v>603.27</v>
      </c>
      <c r="R30" s="108">
        <v>603.27</v>
      </c>
      <c r="S30" s="108">
        <v>871.58</v>
      </c>
      <c r="T30" s="108">
        <v>871.58</v>
      </c>
      <c r="U30" s="108">
        <v>437.36</v>
      </c>
      <c r="V30" s="108">
        <v>437.36</v>
      </c>
      <c r="W30" s="108">
        <v>204.98</v>
      </c>
      <c r="X30" s="108">
        <v>204.98</v>
      </c>
      <c r="Y30" s="108">
        <v>222.54</v>
      </c>
      <c r="Z30" s="108">
        <v>222.54</v>
      </c>
      <c r="AA30" s="108">
        <v>161.76</v>
      </c>
      <c r="AB30" s="108">
        <v>161.76</v>
      </c>
      <c r="AC30" s="176">
        <f t="shared" si="0"/>
        <v>3844.92</v>
      </c>
      <c r="AD30" s="176">
        <f t="shared" si="1"/>
        <v>3844.92</v>
      </c>
      <c r="AE30" s="211">
        <f t="shared" si="2"/>
        <v>331.841570000001</v>
      </c>
      <c r="AF30" s="11"/>
    </row>
    <row r="31" s="4" customFormat="1" ht="35" customHeight="1" spans="1:32">
      <c r="A31" s="48">
        <v>28</v>
      </c>
      <c r="B31" s="48" t="s">
        <v>91</v>
      </c>
      <c r="C31" s="51" t="s">
        <v>92</v>
      </c>
      <c r="D31" s="75">
        <v>184.894609</v>
      </c>
      <c r="E31" s="48">
        <v>224.71</v>
      </c>
      <c r="F31" s="48"/>
      <c r="G31" s="48">
        <v>317.15</v>
      </c>
      <c r="H31" s="216">
        <v>1940</v>
      </c>
      <c r="I31" s="108">
        <v>149.33</v>
      </c>
      <c r="J31" s="108">
        <v>0</v>
      </c>
      <c r="K31" s="108">
        <v>132.86</v>
      </c>
      <c r="L31" s="108">
        <v>0</v>
      </c>
      <c r="M31" s="108">
        <v>95.68</v>
      </c>
      <c r="N31" s="108">
        <v>0</v>
      </c>
      <c r="O31" s="108">
        <v>135.57</v>
      </c>
      <c r="P31" s="108">
        <v>0</v>
      </c>
      <c r="Q31" s="108">
        <v>138.95</v>
      </c>
      <c r="R31" s="108">
        <v>0</v>
      </c>
      <c r="S31" s="108">
        <v>388.98</v>
      </c>
      <c r="T31" s="108">
        <v>0</v>
      </c>
      <c r="U31" s="108">
        <v>140.69</v>
      </c>
      <c r="V31" s="108">
        <v>1499.52</v>
      </c>
      <c r="W31" s="108">
        <v>166.32</v>
      </c>
      <c r="X31" s="108">
        <v>0</v>
      </c>
      <c r="Y31" s="108">
        <v>122.43</v>
      </c>
      <c r="Z31" s="108">
        <v>0</v>
      </c>
      <c r="AA31" s="108">
        <v>133.84</v>
      </c>
      <c r="AB31" s="108">
        <v>0</v>
      </c>
      <c r="AC31" s="176">
        <f t="shared" si="0"/>
        <v>2146.51</v>
      </c>
      <c r="AD31" s="176">
        <f t="shared" si="1"/>
        <v>3439.52</v>
      </c>
      <c r="AE31" s="211">
        <f t="shared" si="2"/>
        <v>1477.904609</v>
      </c>
      <c r="AF31" s="11"/>
    </row>
    <row r="32" s="4" customFormat="1" ht="35" customHeight="1" spans="1:32">
      <c r="A32" s="48">
        <v>29</v>
      </c>
      <c r="B32" s="48" t="s">
        <v>93</v>
      </c>
      <c r="C32" s="210" t="s">
        <v>94</v>
      </c>
      <c r="D32" s="75">
        <v>109.86887</v>
      </c>
      <c r="E32" s="48">
        <v>352.58</v>
      </c>
      <c r="F32" s="48">
        <v>154.26</v>
      </c>
      <c r="G32" s="48">
        <v>210.48</v>
      </c>
      <c r="H32" s="216">
        <v>210.48</v>
      </c>
      <c r="I32" s="108">
        <v>223.87</v>
      </c>
      <c r="J32" s="108">
        <v>223.87</v>
      </c>
      <c r="K32" s="108">
        <v>240</v>
      </c>
      <c r="L32" s="108">
        <v>240</v>
      </c>
      <c r="M32" s="108">
        <v>176.51</v>
      </c>
      <c r="N32" s="108">
        <v>176.51</v>
      </c>
      <c r="O32" s="108">
        <v>212.24</v>
      </c>
      <c r="P32" s="108">
        <v>212.24</v>
      </c>
      <c r="Q32" s="108">
        <v>263.58</v>
      </c>
      <c r="R32" s="108">
        <v>263.58</v>
      </c>
      <c r="S32" s="108">
        <v>299.12</v>
      </c>
      <c r="T32" s="108">
        <v>299.12</v>
      </c>
      <c r="U32" s="108">
        <v>253.99</v>
      </c>
      <c r="V32" s="108">
        <v>253.99</v>
      </c>
      <c r="W32" s="108">
        <v>210.59</v>
      </c>
      <c r="X32" s="108">
        <v>500</v>
      </c>
      <c r="Y32" s="108">
        <v>225.81</v>
      </c>
      <c r="Z32" s="108">
        <v>0</v>
      </c>
      <c r="AA32" s="108">
        <v>211.89</v>
      </c>
      <c r="AB32" s="108">
        <v>0</v>
      </c>
      <c r="AC32" s="176">
        <f t="shared" si="0"/>
        <v>2880.66</v>
      </c>
      <c r="AD32" s="176">
        <f t="shared" si="1"/>
        <v>2534.05</v>
      </c>
      <c r="AE32" s="211">
        <f t="shared" si="2"/>
        <v>-236.74113</v>
      </c>
      <c r="AF32" s="11"/>
    </row>
    <row r="33" s="4" customFormat="1" ht="35" customHeight="1" spans="1:32">
      <c r="A33" s="48">
        <v>30</v>
      </c>
      <c r="B33" s="48" t="s">
        <v>95</v>
      </c>
      <c r="C33" s="51" t="s">
        <v>96</v>
      </c>
      <c r="D33" s="75">
        <v>257.252609</v>
      </c>
      <c r="E33" s="48"/>
      <c r="F33" s="48"/>
      <c r="G33" s="48">
        <v>87.22</v>
      </c>
      <c r="H33" s="216">
        <v>140</v>
      </c>
      <c r="I33" s="108">
        <v>11.13</v>
      </c>
      <c r="J33" s="108">
        <v>0</v>
      </c>
      <c r="K33" s="108">
        <v>10.77</v>
      </c>
      <c r="L33" s="108">
        <v>0</v>
      </c>
      <c r="M33" s="108">
        <v>9.03</v>
      </c>
      <c r="N33" s="108">
        <v>33.04</v>
      </c>
      <c r="O33" s="108">
        <v>11.69</v>
      </c>
      <c r="P33" s="108">
        <v>0</v>
      </c>
      <c r="Q33" s="108">
        <v>11.02</v>
      </c>
      <c r="R33" s="108">
        <v>0</v>
      </c>
      <c r="S33" s="108">
        <v>10.67</v>
      </c>
      <c r="T33" s="108">
        <v>0</v>
      </c>
      <c r="U33" s="108">
        <v>18.08</v>
      </c>
      <c r="V33" s="108">
        <v>0</v>
      </c>
      <c r="W33" s="108">
        <v>9.96</v>
      </c>
      <c r="X33" s="108">
        <v>0</v>
      </c>
      <c r="Y33" s="108">
        <v>12.52</v>
      </c>
      <c r="Z33" s="108">
        <v>0</v>
      </c>
      <c r="AA33" s="108">
        <v>13.07</v>
      </c>
      <c r="AB33" s="108">
        <v>0</v>
      </c>
      <c r="AC33" s="176">
        <f t="shared" si="0"/>
        <v>205.16</v>
      </c>
      <c r="AD33" s="176">
        <f t="shared" si="1"/>
        <v>173.04</v>
      </c>
      <c r="AE33" s="211">
        <f t="shared" si="2"/>
        <v>225.132609</v>
      </c>
      <c r="AF33" s="11"/>
    </row>
    <row r="34" s="4" customFormat="1" ht="35" customHeight="1" spans="1:32">
      <c r="A34" s="48">
        <v>31</v>
      </c>
      <c r="B34" s="48" t="s">
        <v>97</v>
      </c>
      <c r="C34" s="51" t="s">
        <v>98</v>
      </c>
      <c r="D34" s="75">
        <v>235.770409</v>
      </c>
      <c r="E34" s="48">
        <v>168.13</v>
      </c>
      <c r="F34" s="48"/>
      <c r="G34" s="48">
        <v>201.63</v>
      </c>
      <c r="H34" s="216">
        <v>258</v>
      </c>
      <c r="I34" s="108">
        <v>156.4</v>
      </c>
      <c r="J34" s="108">
        <v>0</v>
      </c>
      <c r="K34" s="108">
        <v>137.05</v>
      </c>
      <c r="L34" s="108">
        <v>633.04</v>
      </c>
      <c r="M34" s="108">
        <v>110.47</v>
      </c>
      <c r="N34" s="108">
        <v>0</v>
      </c>
      <c r="O34" s="108">
        <v>137.8</v>
      </c>
      <c r="P34" s="108">
        <v>0</v>
      </c>
      <c r="Q34" s="108">
        <v>167.08</v>
      </c>
      <c r="R34" s="108">
        <v>500</v>
      </c>
      <c r="S34" s="108">
        <v>200.94</v>
      </c>
      <c r="T34" s="108">
        <v>300</v>
      </c>
      <c r="U34" s="108">
        <v>166.96</v>
      </c>
      <c r="V34" s="108">
        <v>500</v>
      </c>
      <c r="W34" s="108">
        <v>152.3</v>
      </c>
      <c r="X34" s="108">
        <v>3000</v>
      </c>
      <c r="Y34" s="108">
        <v>123.52</v>
      </c>
      <c r="Z34" s="108">
        <v>0</v>
      </c>
      <c r="AA34" s="108">
        <v>130.42</v>
      </c>
      <c r="AB34" s="108">
        <v>0</v>
      </c>
      <c r="AC34" s="176">
        <f t="shared" si="0"/>
        <v>1852.7</v>
      </c>
      <c r="AD34" s="176">
        <f t="shared" si="1"/>
        <v>5191.04</v>
      </c>
      <c r="AE34" s="211">
        <f t="shared" si="2"/>
        <v>3574.110409</v>
      </c>
      <c r="AF34" s="11"/>
    </row>
    <row r="35" s="4" customFormat="1" ht="35" customHeight="1" spans="1:32">
      <c r="A35" s="48">
        <v>32</v>
      </c>
      <c r="B35" s="48" t="s">
        <v>99</v>
      </c>
      <c r="C35" s="51" t="s">
        <v>100</v>
      </c>
      <c r="D35" s="75">
        <v>118.563219</v>
      </c>
      <c r="E35" s="48"/>
      <c r="F35" s="48"/>
      <c r="G35" s="48">
        <v>192.24</v>
      </c>
      <c r="H35" s="216"/>
      <c r="I35" s="108">
        <v>89.48</v>
      </c>
      <c r="J35" s="108">
        <v>70.82</v>
      </c>
      <c r="K35" s="108">
        <v>95.76</v>
      </c>
      <c r="L35" s="108">
        <v>82.22</v>
      </c>
      <c r="M35" s="108">
        <v>88.28</v>
      </c>
      <c r="N35" s="108">
        <v>0</v>
      </c>
      <c r="O35" s="108">
        <v>155.02</v>
      </c>
      <c r="P35" s="108">
        <v>300</v>
      </c>
      <c r="Q35" s="108">
        <v>220.02</v>
      </c>
      <c r="R35" s="108">
        <v>375</v>
      </c>
      <c r="S35" s="108">
        <v>188.18</v>
      </c>
      <c r="T35" s="108">
        <v>0</v>
      </c>
      <c r="U35" s="108">
        <v>55.85</v>
      </c>
      <c r="V35" s="108">
        <v>300</v>
      </c>
      <c r="W35" s="108">
        <v>176.96</v>
      </c>
      <c r="X35" s="108">
        <v>0</v>
      </c>
      <c r="Y35" s="108">
        <v>94.68</v>
      </c>
      <c r="Z35" s="108">
        <v>0</v>
      </c>
      <c r="AA35" s="108">
        <v>82</v>
      </c>
      <c r="AB35" s="108">
        <v>0</v>
      </c>
      <c r="AC35" s="176">
        <f t="shared" si="0"/>
        <v>1438.47</v>
      </c>
      <c r="AD35" s="176">
        <f t="shared" si="1"/>
        <v>1128.04</v>
      </c>
      <c r="AE35" s="211">
        <f t="shared" si="2"/>
        <v>-191.866781</v>
      </c>
      <c r="AF35" s="11"/>
    </row>
    <row r="36" s="4" customFormat="1" ht="35" customHeight="1" spans="1:32">
      <c r="A36" s="48">
        <v>33</v>
      </c>
      <c r="B36" s="48" t="s">
        <v>101</v>
      </c>
      <c r="C36" s="51" t="s">
        <v>102</v>
      </c>
      <c r="D36" s="75">
        <v>300</v>
      </c>
      <c r="E36" s="48"/>
      <c r="F36" s="48"/>
      <c r="G36" s="48"/>
      <c r="H36" s="216"/>
      <c r="I36" s="108"/>
      <c r="J36" s="108">
        <v>0</v>
      </c>
      <c r="K36" s="108"/>
      <c r="L36" s="108">
        <v>0</v>
      </c>
      <c r="M36" s="108"/>
      <c r="N36" s="108">
        <v>0</v>
      </c>
      <c r="O36" s="108"/>
      <c r="P36" s="108">
        <v>0</v>
      </c>
      <c r="Q36" s="108"/>
      <c r="R36" s="108">
        <v>0</v>
      </c>
      <c r="S36" s="108"/>
      <c r="T36" s="108">
        <v>0</v>
      </c>
      <c r="U36" s="108"/>
      <c r="V36" s="108">
        <v>0</v>
      </c>
      <c r="W36" s="108"/>
      <c r="X36" s="108">
        <v>0</v>
      </c>
      <c r="Y36" s="108"/>
      <c r="Z36" s="108">
        <v>0</v>
      </c>
      <c r="AA36" s="108"/>
      <c r="AB36" s="108">
        <v>0</v>
      </c>
      <c r="AC36" s="176">
        <f t="shared" si="0"/>
        <v>0</v>
      </c>
      <c r="AD36" s="176">
        <f t="shared" si="1"/>
        <v>0</v>
      </c>
      <c r="AE36" s="211">
        <f t="shared" si="2"/>
        <v>300</v>
      </c>
      <c r="AF36" s="11"/>
    </row>
    <row r="37" s="4" customFormat="1" ht="35" customHeight="1" spans="1:32">
      <c r="A37" s="48">
        <v>34</v>
      </c>
      <c r="B37" s="48" t="s">
        <v>103</v>
      </c>
      <c r="C37" s="51" t="s">
        <v>104</v>
      </c>
      <c r="D37" s="75">
        <v>323.764858999999</v>
      </c>
      <c r="E37" s="48">
        <v>268.24</v>
      </c>
      <c r="F37" s="48">
        <v>2806.48</v>
      </c>
      <c r="G37" s="48">
        <v>236.45</v>
      </c>
      <c r="H37" s="216"/>
      <c r="I37" s="108">
        <v>155.86</v>
      </c>
      <c r="J37" s="108">
        <v>0</v>
      </c>
      <c r="K37" s="108">
        <v>225.03</v>
      </c>
      <c r="L37" s="108">
        <v>0</v>
      </c>
      <c r="M37" s="108">
        <v>167</v>
      </c>
      <c r="N37" s="108">
        <v>33.04</v>
      </c>
      <c r="O37" s="108">
        <v>213.9</v>
      </c>
      <c r="P37" s="108">
        <v>0</v>
      </c>
      <c r="Q37" s="108">
        <v>298.32</v>
      </c>
      <c r="R37" s="108">
        <v>0</v>
      </c>
      <c r="S37" s="108">
        <v>454.99</v>
      </c>
      <c r="T37" s="108">
        <v>0</v>
      </c>
      <c r="U37" s="108">
        <v>361.82</v>
      </c>
      <c r="V37" s="108">
        <v>0</v>
      </c>
      <c r="W37" s="108">
        <v>242.53</v>
      </c>
      <c r="X37" s="108">
        <v>0</v>
      </c>
      <c r="Y37" s="108">
        <v>185.54</v>
      </c>
      <c r="Z37" s="108">
        <v>0</v>
      </c>
      <c r="AA37" s="108">
        <v>159.48</v>
      </c>
      <c r="AB37" s="108">
        <v>0</v>
      </c>
      <c r="AC37" s="176">
        <f t="shared" ref="AC37:AC68" si="3">E37+G37+I37+K37+M37+O37+Q37+S37+U37+W37+Y37+AA37</f>
        <v>2969.16</v>
      </c>
      <c r="AD37" s="176">
        <f t="shared" ref="AD37:AD68" si="4">F37+H37+J37+L37+N37+P37+R37+T37+V37+X37+Z37+AB37</f>
        <v>2839.52</v>
      </c>
      <c r="AE37" s="211">
        <f t="shared" ref="AE37:AE68" si="5">D37+AD37-AC37</f>
        <v>194.124858999998</v>
      </c>
      <c r="AF37" s="11"/>
    </row>
    <row r="38" s="4" customFormat="1" ht="35" customHeight="1" spans="1:32">
      <c r="A38" s="48">
        <v>35</v>
      </c>
      <c r="B38" s="48" t="s">
        <v>105</v>
      </c>
      <c r="C38" s="210" t="s">
        <v>106</v>
      </c>
      <c r="D38" s="75">
        <v>88.2783190000005</v>
      </c>
      <c r="E38" s="48">
        <v>216.01</v>
      </c>
      <c r="F38" s="48">
        <v>216.01</v>
      </c>
      <c r="G38" s="48">
        <v>233.69</v>
      </c>
      <c r="H38" s="216">
        <v>233.69</v>
      </c>
      <c r="I38" s="108">
        <v>224.41</v>
      </c>
      <c r="J38" s="108">
        <v>224.41</v>
      </c>
      <c r="K38" s="108">
        <v>235.21</v>
      </c>
      <c r="L38" s="108">
        <v>451.29</v>
      </c>
      <c r="M38" s="108">
        <v>170.7</v>
      </c>
      <c r="N38" s="108">
        <v>62.22</v>
      </c>
      <c r="O38" s="108">
        <v>261.12</v>
      </c>
      <c r="P38" s="108">
        <v>153.52</v>
      </c>
      <c r="Q38" s="108">
        <v>274.06</v>
      </c>
      <c r="R38" s="108">
        <v>274.06</v>
      </c>
      <c r="S38" s="108">
        <v>268.61</v>
      </c>
      <c r="T38" s="108">
        <v>268.61</v>
      </c>
      <c r="U38" s="108">
        <v>266.04</v>
      </c>
      <c r="V38" s="108">
        <v>266.04</v>
      </c>
      <c r="W38" s="108">
        <v>238.05</v>
      </c>
      <c r="X38" s="108">
        <v>238.05</v>
      </c>
      <c r="Y38" s="108">
        <v>212.75</v>
      </c>
      <c r="Z38" s="108">
        <v>212.75</v>
      </c>
      <c r="AA38" s="108">
        <v>194.23</v>
      </c>
      <c r="AB38" s="108">
        <v>194.23</v>
      </c>
      <c r="AC38" s="176">
        <f t="shared" si="3"/>
        <v>2794.88</v>
      </c>
      <c r="AD38" s="176">
        <f t="shared" si="4"/>
        <v>2794.88</v>
      </c>
      <c r="AE38" s="211">
        <f t="shared" si="5"/>
        <v>88.2783190000005</v>
      </c>
      <c r="AF38" s="11"/>
    </row>
    <row r="39" s="4" customFormat="1" ht="35" customHeight="1" spans="1:32">
      <c r="A39" s="48">
        <v>36</v>
      </c>
      <c r="B39" s="48" t="s">
        <v>107</v>
      </c>
      <c r="C39" s="51" t="s">
        <v>108</v>
      </c>
      <c r="D39" s="75">
        <v>1087.076214</v>
      </c>
      <c r="E39" s="48">
        <v>151.8</v>
      </c>
      <c r="F39" s="48"/>
      <c r="G39" s="48">
        <v>156.86</v>
      </c>
      <c r="H39" s="216"/>
      <c r="I39" s="108">
        <v>165.1</v>
      </c>
      <c r="J39" s="108">
        <v>0</v>
      </c>
      <c r="K39" s="108">
        <v>95.16</v>
      </c>
      <c r="L39" s="108">
        <v>573.04</v>
      </c>
      <c r="M39" s="108">
        <v>75.07</v>
      </c>
      <c r="N39" s="108">
        <v>0</v>
      </c>
      <c r="O39" s="108">
        <v>66.13</v>
      </c>
      <c r="P39" s="108">
        <v>0</v>
      </c>
      <c r="Q39" s="108">
        <v>90.43</v>
      </c>
      <c r="R39" s="108">
        <v>0</v>
      </c>
      <c r="S39" s="108">
        <v>151.01</v>
      </c>
      <c r="T39" s="108">
        <v>0</v>
      </c>
      <c r="U39" s="108">
        <v>91.97</v>
      </c>
      <c r="V39" s="108">
        <v>0</v>
      </c>
      <c r="W39" s="108">
        <v>48.63</v>
      </c>
      <c r="X39" s="108">
        <v>0</v>
      </c>
      <c r="Y39" s="108">
        <v>21.77</v>
      </c>
      <c r="Z39" s="108">
        <v>0</v>
      </c>
      <c r="AA39" s="108">
        <v>36.43</v>
      </c>
      <c r="AB39" s="108">
        <v>0</v>
      </c>
      <c r="AC39" s="176">
        <f t="shared" si="3"/>
        <v>1150.36</v>
      </c>
      <c r="AD39" s="176">
        <f t="shared" si="4"/>
        <v>573.04</v>
      </c>
      <c r="AE39" s="211">
        <f t="shared" si="5"/>
        <v>509.756214</v>
      </c>
      <c r="AF39" s="11"/>
    </row>
    <row r="40" s="4" customFormat="1" ht="35" customHeight="1" spans="1:32">
      <c r="A40" s="48">
        <v>37</v>
      </c>
      <c r="B40" s="48" t="s">
        <v>109</v>
      </c>
      <c r="C40" s="51" t="s">
        <v>110</v>
      </c>
      <c r="D40" s="75">
        <v>40.7229190000003</v>
      </c>
      <c r="E40" s="48">
        <v>250.83</v>
      </c>
      <c r="F40" s="48">
        <v>251</v>
      </c>
      <c r="G40" s="48">
        <v>175.66</v>
      </c>
      <c r="H40" s="216"/>
      <c r="I40" s="108">
        <v>169.45</v>
      </c>
      <c r="J40" s="108">
        <v>0</v>
      </c>
      <c r="K40" s="108">
        <v>119.1</v>
      </c>
      <c r="L40" s="108">
        <v>127.04</v>
      </c>
      <c r="M40" s="108">
        <v>121.56</v>
      </c>
      <c r="N40" s="108">
        <v>500</v>
      </c>
      <c r="O40" s="108">
        <v>99.46</v>
      </c>
      <c r="P40" s="108">
        <v>60</v>
      </c>
      <c r="Q40" s="108">
        <v>159.36</v>
      </c>
      <c r="R40" s="108">
        <v>160</v>
      </c>
      <c r="S40" s="108">
        <v>392.86</v>
      </c>
      <c r="T40" s="108">
        <v>390</v>
      </c>
      <c r="U40" s="108">
        <v>274.25</v>
      </c>
      <c r="V40" s="108">
        <v>275</v>
      </c>
      <c r="W40" s="108">
        <v>160.71</v>
      </c>
      <c r="X40" s="108">
        <v>161</v>
      </c>
      <c r="Y40" s="108">
        <v>142.56</v>
      </c>
      <c r="Z40" s="108">
        <v>143</v>
      </c>
      <c r="AA40" s="108">
        <v>118.46</v>
      </c>
      <c r="AB40" s="108">
        <v>0</v>
      </c>
      <c r="AC40" s="176">
        <f t="shared" si="3"/>
        <v>2184.26</v>
      </c>
      <c r="AD40" s="176">
        <f t="shared" si="4"/>
        <v>2067.04</v>
      </c>
      <c r="AE40" s="211">
        <f t="shared" si="5"/>
        <v>-76.497081</v>
      </c>
      <c r="AF40" s="11"/>
    </row>
    <row r="41" s="4" customFormat="1" ht="35" customHeight="1" spans="1:32">
      <c r="A41" s="48">
        <v>38</v>
      </c>
      <c r="B41" s="48" t="s">
        <v>111</v>
      </c>
      <c r="C41" s="51" t="s">
        <v>112</v>
      </c>
      <c r="D41" s="75">
        <v>359.40617</v>
      </c>
      <c r="E41" s="48">
        <v>199.68</v>
      </c>
      <c r="F41" s="48"/>
      <c r="G41" s="48">
        <v>219.32</v>
      </c>
      <c r="H41" s="216"/>
      <c r="I41" s="108">
        <v>148.78</v>
      </c>
      <c r="J41" s="108">
        <v>590.82</v>
      </c>
      <c r="K41" s="108">
        <v>133.46</v>
      </c>
      <c r="L41" s="108">
        <v>0</v>
      </c>
      <c r="M41" s="108">
        <v>70.32</v>
      </c>
      <c r="N41" s="108">
        <v>0</v>
      </c>
      <c r="O41" s="108">
        <v>118.91</v>
      </c>
      <c r="P41" s="108">
        <v>0</v>
      </c>
      <c r="Q41" s="108">
        <v>189.13</v>
      </c>
      <c r="R41" s="108">
        <v>133.04</v>
      </c>
      <c r="S41" s="108">
        <v>272.49</v>
      </c>
      <c r="T41" s="108">
        <v>0</v>
      </c>
      <c r="U41" s="108">
        <v>239.21</v>
      </c>
      <c r="V41" s="108">
        <v>550</v>
      </c>
      <c r="W41" s="108">
        <v>154.55</v>
      </c>
      <c r="X41" s="108">
        <v>0</v>
      </c>
      <c r="Y41" s="108">
        <v>110.46</v>
      </c>
      <c r="Z41" s="108">
        <v>0</v>
      </c>
      <c r="AA41" s="108">
        <v>107.64</v>
      </c>
      <c r="AB41" s="108">
        <v>0</v>
      </c>
      <c r="AC41" s="176">
        <f t="shared" si="3"/>
        <v>1963.95</v>
      </c>
      <c r="AD41" s="176">
        <f t="shared" si="4"/>
        <v>1273.86</v>
      </c>
      <c r="AE41" s="211">
        <f t="shared" si="5"/>
        <v>-330.68383</v>
      </c>
      <c r="AF41" s="11"/>
    </row>
    <row r="42" s="4" customFormat="1" ht="35" customHeight="1" spans="1:32">
      <c r="A42" s="48">
        <v>39</v>
      </c>
      <c r="B42" s="48" t="s">
        <v>113</v>
      </c>
      <c r="C42" s="51" t="s">
        <v>114</v>
      </c>
      <c r="D42" s="75">
        <v>-6.46532999999954</v>
      </c>
      <c r="E42" s="48">
        <v>272.59</v>
      </c>
      <c r="F42" s="48"/>
      <c r="G42" s="48">
        <v>182.84</v>
      </c>
      <c r="H42" s="216">
        <v>440</v>
      </c>
      <c r="I42" s="108">
        <v>242.91</v>
      </c>
      <c r="J42" s="108">
        <v>350.82</v>
      </c>
      <c r="K42" s="108">
        <v>295.06</v>
      </c>
      <c r="L42" s="108">
        <v>0</v>
      </c>
      <c r="M42" s="108">
        <v>165.94</v>
      </c>
      <c r="N42" s="108">
        <v>282.22</v>
      </c>
      <c r="O42" s="108">
        <v>185.02</v>
      </c>
      <c r="P42" s="108">
        <v>500</v>
      </c>
      <c r="Q42" s="108">
        <v>187.48</v>
      </c>
      <c r="R42" s="108">
        <v>0</v>
      </c>
      <c r="S42" s="108">
        <v>207.59</v>
      </c>
      <c r="T42" s="108">
        <v>200</v>
      </c>
      <c r="U42" s="108">
        <v>174.08</v>
      </c>
      <c r="V42" s="108">
        <v>200</v>
      </c>
      <c r="W42" s="108">
        <v>182.57</v>
      </c>
      <c r="X42" s="108">
        <v>0</v>
      </c>
      <c r="Y42" s="108">
        <v>196.97</v>
      </c>
      <c r="Z42" s="108">
        <v>300</v>
      </c>
      <c r="AA42" s="108">
        <v>211.89</v>
      </c>
      <c r="AB42" s="108">
        <v>0</v>
      </c>
      <c r="AC42" s="176">
        <f t="shared" si="3"/>
        <v>2504.94</v>
      </c>
      <c r="AD42" s="176">
        <f t="shared" si="4"/>
        <v>2273.04</v>
      </c>
      <c r="AE42" s="211">
        <f t="shared" si="5"/>
        <v>-238.365329999999</v>
      </c>
      <c r="AF42" s="11"/>
    </row>
    <row r="43" s="4" customFormat="1" ht="35" customHeight="1" spans="1:32">
      <c r="A43" s="48">
        <v>40</v>
      </c>
      <c r="B43" s="48" t="s">
        <v>115</v>
      </c>
      <c r="C43" s="51" t="s">
        <v>116</v>
      </c>
      <c r="D43" s="75">
        <v>464.625809</v>
      </c>
      <c r="E43" s="48">
        <v>224.71</v>
      </c>
      <c r="F43" s="48">
        <v>224.71</v>
      </c>
      <c r="G43" s="48">
        <v>165.71</v>
      </c>
      <c r="H43" s="216">
        <v>165.71</v>
      </c>
      <c r="I43" s="108">
        <v>166.73</v>
      </c>
      <c r="J43" s="108">
        <v>166.73</v>
      </c>
      <c r="K43" s="108">
        <v>166.38</v>
      </c>
      <c r="L43" s="108">
        <v>166.38</v>
      </c>
      <c r="M43" s="108">
        <v>149.57</v>
      </c>
      <c r="N43" s="108">
        <v>149.57</v>
      </c>
      <c r="O43" s="108">
        <v>153.35</v>
      </c>
      <c r="P43" s="108">
        <v>153.35</v>
      </c>
      <c r="Q43" s="108">
        <v>195.2</v>
      </c>
      <c r="R43" s="108">
        <v>0</v>
      </c>
      <c r="S43" s="108">
        <v>263.62</v>
      </c>
      <c r="T43" s="108">
        <v>1000</v>
      </c>
      <c r="U43" s="108">
        <v>180.65</v>
      </c>
      <c r="V43" s="108">
        <v>0</v>
      </c>
      <c r="W43" s="108">
        <v>197.7</v>
      </c>
      <c r="X43" s="108">
        <v>0</v>
      </c>
      <c r="Y43" s="108">
        <v>185</v>
      </c>
      <c r="Z43" s="108">
        <v>22.17</v>
      </c>
      <c r="AA43" s="108">
        <v>187.39</v>
      </c>
      <c r="AB43" s="108">
        <v>0</v>
      </c>
      <c r="AC43" s="176">
        <f t="shared" si="3"/>
        <v>2236.01</v>
      </c>
      <c r="AD43" s="176">
        <f t="shared" si="4"/>
        <v>2048.62</v>
      </c>
      <c r="AE43" s="211">
        <f t="shared" si="5"/>
        <v>277.235809</v>
      </c>
      <c r="AF43" s="11"/>
    </row>
    <row r="44" s="4" customFormat="1" ht="35" customHeight="1" spans="1:32">
      <c r="A44" s="48">
        <v>41</v>
      </c>
      <c r="B44" s="48" t="s">
        <v>117</v>
      </c>
      <c r="C44" s="51" t="s">
        <v>118</v>
      </c>
      <c r="D44" s="75">
        <v>346.745889</v>
      </c>
      <c r="E44" s="48">
        <v>41.35</v>
      </c>
      <c r="F44" s="48"/>
      <c r="G44" s="48">
        <v>18.69</v>
      </c>
      <c r="H44" s="216">
        <v>41.35</v>
      </c>
      <c r="I44" s="108">
        <v>37.23</v>
      </c>
      <c r="J44" s="108">
        <v>55.92</v>
      </c>
      <c r="K44" s="108">
        <v>36.5</v>
      </c>
      <c r="L44" s="108">
        <v>0</v>
      </c>
      <c r="M44" s="108">
        <v>38.09</v>
      </c>
      <c r="N44" s="108">
        <v>34.8</v>
      </c>
      <c r="O44" s="108">
        <v>43.91</v>
      </c>
      <c r="P44" s="108">
        <v>90</v>
      </c>
      <c r="Q44" s="108">
        <v>50.17</v>
      </c>
      <c r="R44" s="108">
        <v>50</v>
      </c>
      <c r="S44" s="108">
        <v>45.06</v>
      </c>
      <c r="T44" s="108">
        <v>38.93</v>
      </c>
      <c r="U44" s="108">
        <v>39.43</v>
      </c>
      <c r="V44" s="108">
        <v>39.43</v>
      </c>
      <c r="W44" s="108">
        <v>39.66</v>
      </c>
      <c r="X44" s="108">
        <v>40</v>
      </c>
      <c r="Y44" s="108">
        <v>39.72</v>
      </c>
      <c r="Z44" s="108">
        <v>40</v>
      </c>
      <c r="AA44" s="108">
        <v>32.44</v>
      </c>
      <c r="AB44" s="108">
        <v>32</v>
      </c>
      <c r="AC44" s="176">
        <f t="shared" si="3"/>
        <v>462.25</v>
      </c>
      <c r="AD44" s="176">
        <f t="shared" si="4"/>
        <v>462.43</v>
      </c>
      <c r="AE44" s="211">
        <f t="shared" si="5"/>
        <v>346.925889</v>
      </c>
      <c r="AF44" s="11"/>
    </row>
    <row r="45" s="4" customFormat="1" ht="35" customHeight="1" spans="1:32">
      <c r="A45" s="48">
        <v>42</v>
      </c>
      <c r="B45" s="48" t="s">
        <v>119</v>
      </c>
      <c r="C45" s="51" t="s">
        <v>120</v>
      </c>
      <c r="D45" s="75">
        <v>125.72637</v>
      </c>
      <c r="E45" s="48">
        <v>270.42</v>
      </c>
      <c r="F45" s="48"/>
      <c r="G45" s="48">
        <v>170.68</v>
      </c>
      <c r="H45" s="216">
        <v>440</v>
      </c>
      <c r="I45" s="108">
        <v>254.33</v>
      </c>
      <c r="J45" s="108">
        <v>350.82</v>
      </c>
      <c r="K45" s="108">
        <v>220.84</v>
      </c>
      <c r="L45" s="108">
        <v>282.22</v>
      </c>
      <c r="M45" s="108">
        <v>178.62</v>
      </c>
      <c r="N45" s="108">
        <v>0</v>
      </c>
      <c r="O45" s="108">
        <v>212.79</v>
      </c>
      <c r="P45" s="108">
        <v>0</v>
      </c>
      <c r="Q45" s="108">
        <v>250.9</v>
      </c>
      <c r="R45" s="108">
        <v>500</v>
      </c>
      <c r="S45" s="108">
        <v>87.77</v>
      </c>
      <c r="T45" s="108">
        <v>0</v>
      </c>
      <c r="U45" s="108">
        <v>99.09</v>
      </c>
      <c r="V45" s="108">
        <v>200</v>
      </c>
      <c r="W45" s="108">
        <v>268.31</v>
      </c>
      <c r="X45" s="108">
        <v>0</v>
      </c>
      <c r="Y45" s="108">
        <v>396.11</v>
      </c>
      <c r="Z45" s="108">
        <v>500</v>
      </c>
      <c r="AA45" s="108">
        <v>28.45</v>
      </c>
      <c r="AB45" s="108">
        <v>500</v>
      </c>
      <c r="AC45" s="176">
        <f t="shared" si="3"/>
        <v>2438.31</v>
      </c>
      <c r="AD45" s="176">
        <f t="shared" si="4"/>
        <v>2773.04</v>
      </c>
      <c r="AE45" s="211">
        <f t="shared" si="5"/>
        <v>460.45637</v>
      </c>
      <c r="AF45" s="11"/>
    </row>
    <row r="46" s="4" customFormat="1" ht="35" customHeight="1" spans="1:32">
      <c r="A46" s="48">
        <v>43</v>
      </c>
      <c r="B46" s="48" t="s">
        <v>121</v>
      </c>
      <c r="C46" s="51" t="s">
        <v>122</v>
      </c>
      <c r="D46" s="75">
        <v>1286.186464</v>
      </c>
      <c r="E46" s="48">
        <v>183.36</v>
      </c>
      <c r="F46" s="48"/>
      <c r="G46" s="48">
        <v>311.62</v>
      </c>
      <c r="H46" s="216"/>
      <c r="I46" s="108">
        <v>179.24</v>
      </c>
      <c r="J46" s="108">
        <v>0</v>
      </c>
      <c r="K46" s="108">
        <v>163.39</v>
      </c>
      <c r="L46" s="108">
        <v>1379.52</v>
      </c>
      <c r="M46" s="108">
        <v>146.92</v>
      </c>
      <c r="N46" s="108">
        <v>0</v>
      </c>
      <c r="O46" s="108">
        <v>155.02</v>
      </c>
      <c r="P46" s="108">
        <v>0</v>
      </c>
      <c r="Q46" s="108">
        <v>169.83</v>
      </c>
      <c r="R46" s="108">
        <v>0</v>
      </c>
      <c r="S46" s="108">
        <v>167.1</v>
      </c>
      <c r="T46" s="108">
        <v>0</v>
      </c>
      <c r="U46" s="108">
        <v>187.76</v>
      </c>
      <c r="V46" s="108">
        <v>0</v>
      </c>
      <c r="W46" s="108">
        <v>168.56</v>
      </c>
      <c r="X46" s="108">
        <v>0</v>
      </c>
      <c r="Y46" s="108">
        <v>180.65</v>
      </c>
      <c r="Z46" s="108">
        <v>0</v>
      </c>
      <c r="AA46" s="108">
        <v>161.76</v>
      </c>
      <c r="AB46" s="108">
        <v>0</v>
      </c>
      <c r="AC46" s="176">
        <f t="shared" si="3"/>
        <v>2175.21</v>
      </c>
      <c r="AD46" s="176">
        <f t="shared" si="4"/>
        <v>1379.52</v>
      </c>
      <c r="AE46" s="211">
        <f t="shared" si="5"/>
        <v>490.496464</v>
      </c>
      <c r="AF46" s="11"/>
    </row>
    <row r="47" s="4" customFormat="1" ht="35" customHeight="1" spans="1:32">
      <c r="A47" s="48">
        <v>44</v>
      </c>
      <c r="B47" s="48" t="s">
        <v>123</v>
      </c>
      <c r="C47" s="51" t="s">
        <v>124</v>
      </c>
      <c r="D47" s="75">
        <v>259.901189</v>
      </c>
      <c r="E47" s="48">
        <v>136.03</v>
      </c>
      <c r="F47" s="48"/>
      <c r="G47" s="48">
        <v>110.99</v>
      </c>
      <c r="H47" s="216">
        <v>940</v>
      </c>
      <c r="I47" s="108">
        <v>122.65</v>
      </c>
      <c r="J47" s="108">
        <v>0</v>
      </c>
      <c r="K47" s="108">
        <v>143.04</v>
      </c>
      <c r="L47" s="108">
        <v>0</v>
      </c>
      <c r="M47" s="108">
        <v>108.88</v>
      </c>
      <c r="N47" s="108">
        <v>0</v>
      </c>
      <c r="O47" s="108">
        <v>122.8</v>
      </c>
      <c r="P47" s="108">
        <v>0</v>
      </c>
      <c r="Q47" s="108">
        <v>114.14</v>
      </c>
      <c r="R47" s="108">
        <v>0</v>
      </c>
      <c r="S47" s="108">
        <v>120.5</v>
      </c>
      <c r="T47" s="108">
        <v>0</v>
      </c>
      <c r="U47" s="108">
        <v>77.74</v>
      </c>
      <c r="V47" s="108">
        <v>633.04</v>
      </c>
      <c r="W47" s="108">
        <v>122.6</v>
      </c>
      <c r="X47" s="108">
        <v>0</v>
      </c>
      <c r="Y47" s="108">
        <v>104.47</v>
      </c>
      <c r="Z47" s="108">
        <v>0</v>
      </c>
      <c r="AA47" s="108">
        <v>123.59</v>
      </c>
      <c r="AB47" s="108">
        <v>0</v>
      </c>
      <c r="AC47" s="176">
        <f t="shared" si="3"/>
        <v>1407.43</v>
      </c>
      <c r="AD47" s="176">
        <f t="shared" si="4"/>
        <v>1573.04</v>
      </c>
      <c r="AE47" s="211">
        <f t="shared" si="5"/>
        <v>425.511189</v>
      </c>
      <c r="AF47" s="11"/>
    </row>
    <row r="48" s="4" customFormat="1" ht="35" customHeight="1" spans="1:32">
      <c r="A48" s="48">
        <v>45</v>
      </c>
      <c r="B48" s="48" t="s">
        <v>125</v>
      </c>
      <c r="C48" s="51" t="s">
        <v>126</v>
      </c>
      <c r="D48" s="75">
        <v>-101.491996</v>
      </c>
      <c r="E48" s="48">
        <v>215.46</v>
      </c>
      <c r="F48" s="48">
        <v>155.46</v>
      </c>
      <c r="G48" s="48">
        <v>231.48</v>
      </c>
      <c r="H48" s="216">
        <v>291.48</v>
      </c>
      <c r="I48" s="108">
        <v>175.97</v>
      </c>
      <c r="J48" s="108">
        <v>175.97</v>
      </c>
      <c r="K48" s="108">
        <v>228.03</v>
      </c>
      <c r="L48" s="108">
        <v>10.25</v>
      </c>
      <c r="M48" s="108">
        <v>165.94</v>
      </c>
      <c r="N48" s="108">
        <v>383.72</v>
      </c>
      <c r="O48" s="108">
        <v>191.13</v>
      </c>
      <c r="P48" s="108">
        <v>191.13</v>
      </c>
      <c r="Q48" s="108">
        <v>165.97</v>
      </c>
      <c r="R48" s="108">
        <v>165.97</v>
      </c>
      <c r="S48" s="108">
        <v>230.33</v>
      </c>
      <c r="T48" s="108">
        <v>230.33</v>
      </c>
      <c r="U48" s="108">
        <v>168.06</v>
      </c>
      <c r="V48" s="108">
        <v>168.06</v>
      </c>
      <c r="W48" s="108">
        <v>165.75</v>
      </c>
      <c r="X48" s="108">
        <v>165.75</v>
      </c>
      <c r="Y48" s="108">
        <v>161.6</v>
      </c>
      <c r="Z48" s="108">
        <v>161.6</v>
      </c>
      <c r="AA48" s="108">
        <v>264.87</v>
      </c>
      <c r="AB48" s="108">
        <v>264.87</v>
      </c>
      <c r="AC48" s="176">
        <f t="shared" si="3"/>
        <v>2364.59</v>
      </c>
      <c r="AD48" s="176">
        <f t="shared" si="4"/>
        <v>2364.59</v>
      </c>
      <c r="AE48" s="211">
        <f t="shared" si="5"/>
        <v>-101.491995999999</v>
      </c>
      <c r="AF48" s="11"/>
    </row>
    <row r="49" s="4" customFormat="1" ht="35" customHeight="1" spans="1:32">
      <c r="A49" s="48">
        <v>46</v>
      </c>
      <c r="B49" s="48" t="s">
        <v>127</v>
      </c>
      <c r="C49" s="51" t="s">
        <v>128</v>
      </c>
      <c r="D49" s="75">
        <v>343.833474</v>
      </c>
      <c r="E49" s="48">
        <v>153.98</v>
      </c>
      <c r="F49" s="48"/>
      <c r="G49" s="48">
        <v>80.04</v>
      </c>
      <c r="H49" s="216">
        <v>240</v>
      </c>
      <c r="I49" s="108">
        <v>132.99</v>
      </c>
      <c r="J49" s="108">
        <v>150.82</v>
      </c>
      <c r="K49" s="108">
        <v>173.56</v>
      </c>
      <c r="L49" s="108">
        <v>82.22</v>
      </c>
      <c r="M49" s="108">
        <v>150.09</v>
      </c>
      <c r="N49" s="108">
        <v>200</v>
      </c>
      <c r="O49" s="108">
        <v>200.01</v>
      </c>
      <c r="P49" s="108">
        <v>0</v>
      </c>
      <c r="Q49" s="108">
        <v>167.08</v>
      </c>
      <c r="R49" s="108">
        <v>1000</v>
      </c>
      <c r="S49" s="108">
        <v>245.31</v>
      </c>
      <c r="T49" s="108">
        <v>0</v>
      </c>
      <c r="U49" s="108">
        <v>171.34</v>
      </c>
      <c r="V49" s="108">
        <v>0</v>
      </c>
      <c r="W49" s="108">
        <v>146.7</v>
      </c>
      <c r="X49" s="108">
        <v>0</v>
      </c>
      <c r="Y49" s="108">
        <v>125.15</v>
      </c>
      <c r="Z49" s="108">
        <v>0</v>
      </c>
      <c r="AA49" s="108">
        <v>123.02</v>
      </c>
      <c r="AB49" s="108">
        <v>1000</v>
      </c>
      <c r="AC49" s="176">
        <f t="shared" si="3"/>
        <v>1869.27</v>
      </c>
      <c r="AD49" s="176">
        <f t="shared" si="4"/>
        <v>2673.04</v>
      </c>
      <c r="AE49" s="211">
        <f t="shared" si="5"/>
        <v>1147.603474</v>
      </c>
      <c r="AF49" s="11"/>
    </row>
    <row r="50" s="4" customFormat="1" ht="35" customHeight="1" spans="1:32">
      <c r="A50" s="48">
        <v>47</v>
      </c>
      <c r="B50" s="48" t="s">
        <v>129</v>
      </c>
      <c r="C50" s="51" t="s">
        <v>130</v>
      </c>
      <c r="D50" s="75">
        <v>918.581389</v>
      </c>
      <c r="E50" s="48">
        <v>97.94</v>
      </c>
      <c r="F50" s="48"/>
      <c r="G50" s="48">
        <v>130.34</v>
      </c>
      <c r="H50" s="216"/>
      <c r="I50" s="108">
        <v>80.21</v>
      </c>
      <c r="J50" s="108">
        <v>0</v>
      </c>
      <c r="K50" s="108">
        <v>81.39</v>
      </c>
      <c r="L50" s="108">
        <v>0</v>
      </c>
      <c r="M50" s="108">
        <v>116.28</v>
      </c>
      <c r="N50" s="108">
        <v>0</v>
      </c>
      <c r="O50" s="108">
        <v>155.02</v>
      </c>
      <c r="P50" s="108">
        <v>633.04</v>
      </c>
      <c r="Q50" s="108">
        <v>222.77</v>
      </c>
      <c r="R50" s="108">
        <v>0</v>
      </c>
      <c r="S50" s="108">
        <v>291.91</v>
      </c>
      <c r="T50" s="108">
        <v>0</v>
      </c>
      <c r="U50" s="108">
        <v>296.69</v>
      </c>
      <c r="V50" s="108">
        <v>1000</v>
      </c>
      <c r="W50" s="108">
        <v>150.06</v>
      </c>
      <c r="X50" s="108">
        <v>0</v>
      </c>
      <c r="Y50" s="108">
        <v>134.4</v>
      </c>
      <c r="Z50" s="108">
        <v>0</v>
      </c>
      <c r="AA50" s="108">
        <v>108.78</v>
      </c>
      <c r="AB50" s="108">
        <v>0</v>
      </c>
      <c r="AC50" s="176">
        <f t="shared" si="3"/>
        <v>1865.79</v>
      </c>
      <c r="AD50" s="176">
        <f t="shared" si="4"/>
        <v>1633.04</v>
      </c>
      <c r="AE50" s="211">
        <f t="shared" si="5"/>
        <v>685.831389</v>
      </c>
      <c r="AF50" s="11"/>
    </row>
    <row r="51" s="4" customFormat="1" ht="35" customHeight="1" spans="1:32">
      <c r="A51" s="48">
        <v>48</v>
      </c>
      <c r="B51" s="48" t="s">
        <v>131</v>
      </c>
      <c r="C51" s="51" t="s">
        <v>132</v>
      </c>
      <c r="D51" s="75">
        <v>1.76695400000017</v>
      </c>
      <c r="E51" s="48">
        <v>274.77</v>
      </c>
      <c r="F51" s="48">
        <v>240</v>
      </c>
      <c r="G51" s="48">
        <v>417.18</v>
      </c>
      <c r="H51" s="216">
        <v>400</v>
      </c>
      <c r="I51" s="108">
        <v>307.64</v>
      </c>
      <c r="J51" s="108">
        <v>350.82</v>
      </c>
      <c r="K51" s="108">
        <v>245.98</v>
      </c>
      <c r="L51" s="108">
        <v>200</v>
      </c>
      <c r="M51" s="108">
        <v>220.36</v>
      </c>
      <c r="N51" s="108">
        <v>0</v>
      </c>
      <c r="O51" s="108">
        <v>209.46</v>
      </c>
      <c r="P51" s="108">
        <v>500</v>
      </c>
      <c r="Q51" s="108">
        <v>259.72</v>
      </c>
      <c r="R51" s="108">
        <v>200</v>
      </c>
      <c r="S51" s="108">
        <v>329.63</v>
      </c>
      <c r="T51" s="108">
        <v>600</v>
      </c>
      <c r="U51" s="108">
        <v>191.59</v>
      </c>
      <c r="V51" s="108">
        <v>0</v>
      </c>
      <c r="W51" s="108">
        <v>151.74</v>
      </c>
      <c r="X51" s="108">
        <v>0</v>
      </c>
      <c r="Y51" s="108">
        <v>170.31</v>
      </c>
      <c r="Z51" s="108">
        <v>0</v>
      </c>
      <c r="AA51" s="108">
        <v>149.79</v>
      </c>
      <c r="AB51" s="108">
        <v>0</v>
      </c>
      <c r="AC51" s="176">
        <f t="shared" si="3"/>
        <v>2928.17</v>
      </c>
      <c r="AD51" s="176">
        <f t="shared" si="4"/>
        <v>2490.82</v>
      </c>
      <c r="AE51" s="211">
        <f t="shared" si="5"/>
        <v>-435.583046</v>
      </c>
      <c r="AF51" s="11"/>
    </row>
    <row r="52" s="4" customFormat="1" ht="35" customHeight="1" spans="1:32">
      <c r="A52" s="48">
        <v>49</v>
      </c>
      <c r="B52" s="48" t="s">
        <v>133</v>
      </c>
      <c r="C52" s="51" t="s">
        <v>134</v>
      </c>
      <c r="D52" s="75">
        <v>2249.270419</v>
      </c>
      <c r="E52" s="48">
        <v>393.93</v>
      </c>
      <c r="F52" s="48"/>
      <c r="G52" s="48">
        <v>318.8</v>
      </c>
      <c r="H52" s="216"/>
      <c r="I52" s="108">
        <v>242.89</v>
      </c>
      <c r="J52" s="108">
        <v>0</v>
      </c>
      <c r="K52" s="108">
        <v>263.94</v>
      </c>
      <c r="L52" s="108">
        <v>0</v>
      </c>
      <c r="M52" s="108">
        <v>164.36</v>
      </c>
      <c r="N52" s="108">
        <v>0</v>
      </c>
      <c r="O52" s="108">
        <v>165.57</v>
      </c>
      <c r="P52" s="108">
        <v>0</v>
      </c>
      <c r="Q52" s="108">
        <v>145.02</v>
      </c>
      <c r="R52" s="108">
        <v>1439.52</v>
      </c>
      <c r="S52" s="108">
        <v>164.32</v>
      </c>
      <c r="T52" s="108">
        <v>0</v>
      </c>
      <c r="U52" s="108">
        <v>149.99</v>
      </c>
      <c r="V52" s="108">
        <v>0</v>
      </c>
      <c r="W52" s="108">
        <v>113.07</v>
      </c>
      <c r="X52" s="108">
        <v>0</v>
      </c>
      <c r="Y52" s="108">
        <v>124.06</v>
      </c>
      <c r="Z52" s="108">
        <v>0</v>
      </c>
      <c r="AA52" s="108">
        <v>133.27</v>
      </c>
      <c r="AB52" s="108">
        <v>0</v>
      </c>
      <c r="AC52" s="176">
        <f t="shared" si="3"/>
        <v>2379.22</v>
      </c>
      <c r="AD52" s="176">
        <f t="shared" si="4"/>
        <v>1439.52</v>
      </c>
      <c r="AE52" s="211">
        <f t="shared" si="5"/>
        <v>1309.570419</v>
      </c>
      <c r="AF52" s="11"/>
    </row>
    <row r="53" s="4" customFormat="1" ht="35" customHeight="1" spans="1:32">
      <c r="A53" s="48">
        <v>50</v>
      </c>
      <c r="B53" s="48" t="s">
        <v>135</v>
      </c>
      <c r="C53" s="51" t="s">
        <v>136</v>
      </c>
      <c r="D53" s="75">
        <v>250.565249000001</v>
      </c>
      <c r="E53" s="48">
        <v>458.13</v>
      </c>
      <c r="F53" s="48">
        <v>458.13</v>
      </c>
      <c r="G53" s="48">
        <v>183.95</v>
      </c>
      <c r="H53" s="216">
        <v>183.95</v>
      </c>
      <c r="I53" s="108">
        <v>91.09</v>
      </c>
      <c r="J53" s="108">
        <v>91.09</v>
      </c>
      <c r="K53" s="108">
        <v>236.41</v>
      </c>
      <c r="L53" s="108">
        <v>236.41</v>
      </c>
      <c r="M53" s="108">
        <v>196.06</v>
      </c>
      <c r="N53" s="108">
        <v>196.06</v>
      </c>
      <c r="O53" s="108">
        <v>253.34</v>
      </c>
      <c r="P53" s="108">
        <v>253.34</v>
      </c>
      <c r="Q53" s="108">
        <v>339.13</v>
      </c>
      <c r="R53" s="108">
        <v>339.13</v>
      </c>
      <c r="S53" s="108">
        <v>401.19</v>
      </c>
      <c r="T53" s="108">
        <v>401.19</v>
      </c>
      <c r="U53" s="108">
        <v>306.54</v>
      </c>
      <c r="V53" s="108">
        <v>306.54</v>
      </c>
      <c r="W53" s="108">
        <v>227.96</v>
      </c>
      <c r="X53" s="108">
        <v>227.96</v>
      </c>
      <c r="Y53" s="108">
        <v>212.75</v>
      </c>
      <c r="Z53" s="108">
        <v>212.75</v>
      </c>
      <c r="AA53" s="108">
        <v>218.72</v>
      </c>
      <c r="AB53" s="108">
        <v>218.72</v>
      </c>
      <c r="AC53" s="176">
        <f t="shared" si="3"/>
        <v>3125.27</v>
      </c>
      <c r="AD53" s="176">
        <f t="shared" si="4"/>
        <v>3125.27</v>
      </c>
      <c r="AE53" s="211">
        <f t="shared" si="5"/>
        <v>250.565249000001</v>
      </c>
      <c r="AF53" s="11"/>
    </row>
    <row r="54" s="4" customFormat="1" ht="35" customHeight="1" spans="1:32">
      <c r="A54" s="48">
        <v>51</v>
      </c>
      <c r="B54" s="48" t="s">
        <v>137</v>
      </c>
      <c r="C54" s="51" t="s">
        <v>138</v>
      </c>
      <c r="D54" s="75">
        <v>883.658570000001</v>
      </c>
      <c r="E54" s="48">
        <v>144.19</v>
      </c>
      <c r="F54" s="48"/>
      <c r="G54" s="48">
        <v>172.34</v>
      </c>
      <c r="H54" s="216"/>
      <c r="I54" s="108">
        <v>112.85</v>
      </c>
      <c r="J54" s="108">
        <v>0</v>
      </c>
      <c r="K54" s="108">
        <v>102.34</v>
      </c>
      <c r="L54" s="108">
        <v>0.82</v>
      </c>
      <c r="M54" s="108">
        <v>93.04</v>
      </c>
      <c r="N54" s="108">
        <v>782.22</v>
      </c>
      <c r="O54" s="108">
        <v>131.13</v>
      </c>
      <c r="P54" s="108">
        <v>0</v>
      </c>
      <c r="Q54" s="108">
        <v>188.58</v>
      </c>
      <c r="R54" s="108">
        <v>0</v>
      </c>
      <c r="S54" s="108">
        <v>459.98</v>
      </c>
      <c r="T54" s="108">
        <v>0</v>
      </c>
      <c r="U54" s="108">
        <v>283</v>
      </c>
      <c r="V54" s="108">
        <v>1000</v>
      </c>
      <c r="W54" s="108">
        <v>144.46</v>
      </c>
      <c r="X54" s="108">
        <v>0</v>
      </c>
      <c r="Y54" s="108">
        <v>126.24</v>
      </c>
      <c r="Z54" s="108">
        <v>0</v>
      </c>
      <c r="AA54" s="108">
        <v>97.38</v>
      </c>
      <c r="AB54" s="108">
        <v>0</v>
      </c>
      <c r="AC54" s="176">
        <f t="shared" si="3"/>
        <v>2055.53</v>
      </c>
      <c r="AD54" s="176">
        <f t="shared" si="4"/>
        <v>1783.04</v>
      </c>
      <c r="AE54" s="211">
        <f t="shared" si="5"/>
        <v>611.16857</v>
      </c>
      <c r="AF54" s="11"/>
    </row>
    <row r="55" s="4" customFormat="1" ht="35" customHeight="1" spans="1:32">
      <c r="A55" s="48">
        <v>52</v>
      </c>
      <c r="B55" s="48" t="s">
        <v>139</v>
      </c>
      <c r="C55" s="51" t="s">
        <v>140</v>
      </c>
      <c r="D55" s="75">
        <v>727.772014</v>
      </c>
      <c r="E55" s="48">
        <v>127.32</v>
      </c>
      <c r="F55" s="48"/>
      <c r="G55" s="48">
        <v>229.27</v>
      </c>
      <c r="H55" s="216">
        <v>240</v>
      </c>
      <c r="I55" s="108">
        <v>118.29</v>
      </c>
      <c r="J55" s="108">
        <v>50.82</v>
      </c>
      <c r="K55" s="108">
        <v>75.41</v>
      </c>
      <c r="L55" s="108">
        <v>200</v>
      </c>
      <c r="M55" s="108">
        <v>70.32</v>
      </c>
      <c r="N55" s="108">
        <v>82.22</v>
      </c>
      <c r="O55" s="108">
        <v>91.69</v>
      </c>
      <c r="P55" s="108">
        <v>0</v>
      </c>
      <c r="Q55" s="108">
        <v>147.78</v>
      </c>
      <c r="R55" s="108">
        <v>200</v>
      </c>
      <c r="S55" s="108">
        <v>250.86</v>
      </c>
      <c r="T55" s="108">
        <v>300</v>
      </c>
      <c r="U55" s="108">
        <v>158.75</v>
      </c>
      <c r="V55" s="108">
        <v>200</v>
      </c>
      <c r="W55" s="108">
        <v>92.34</v>
      </c>
      <c r="X55" s="108">
        <v>180</v>
      </c>
      <c r="Y55" s="108">
        <v>95.77</v>
      </c>
      <c r="Z55" s="108">
        <v>0</v>
      </c>
      <c r="AA55" s="108">
        <v>89.41</v>
      </c>
      <c r="AB55" s="108">
        <v>200</v>
      </c>
      <c r="AC55" s="176">
        <f t="shared" si="3"/>
        <v>1547.21</v>
      </c>
      <c r="AD55" s="176">
        <f t="shared" si="4"/>
        <v>1653.04</v>
      </c>
      <c r="AE55" s="211">
        <f t="shared" si="5"/>
        <v>833.602014</v>
      </c>
      <c r="AF55" s="11"/>
    </row>
    <row r="56" s="4" customFormat="1" ht="35" customHeight="1" spans="1:32">
      <c r="A56" s="48">
        <v>53</v>
      </c>
      <c r="B56" s="48" t="s">
        <v>141</v>
      </c>
      <c r="C56" s="51" t="s">
        <v>142</v>
      </c>
      <c r="D56" s="75">
        <v>178.959876</v>
      </c>
      <c r="E56" s="48">
        <v>127.32</v>
      </c>
      <c r="F56" s="48">
        <v>127.32</v>
      </c>
      <c r="G56" s="48">
        <v>210.48</v>
      </c>
      <c r="H56" s="216">
        <v>210.48</v>
      </c>
      <c r="I56" s="108">
        <v>112.85</v>
      </c>
      <c r="J56" s="108">
        <v>112.85</v>
      </c>
      <c r="K56" s="108">
        <v>117.9</v>
      </c>
      <c r="L56" s="108">
        <v>117.9</v>
      </c>
      <c r="M56" s="108">
        <v>95.68</v>
      </c>
      <c r="N56" s="108">
        <v>95.68</v>
      </c>
      <c r="O56" s="108">
        <v>124.46</v>
      </c>
      <c r="P56" s="108">
        <v>124.46</v>
      </c>
      <c r="Q56" s="108">
        <v>136.75</v>
      </c>
      <c r="R56" s="108">
        <v>136.75</v>
      </c>
      <c r="S56" s="108">
        <v>192.61</v>
      </c>
      <c r="T56" s="108">
        <v>192.61</v>
      </c>
      <c r="U56" s="108">
        <v>194.88</v>
      </c>
      <c r="V56" s="108">
        <v>194.88</v>
      </c>
      <c r="W56" s="108">
        <v>113.64</v>
      </c>
      <c r="X56" s="108">
        <v>113.64</v>
      </c>
      <c r="Y56" s="108">
        <v>121.88</v>
      </c>
      <c r="Z56" s="108">
        <v>121.88</v>
      </c>
      <c r="AA56" s="108">
        <v>115.04</v>
      </c>
      <c r="AB56" s="108">
        <v>115.04</v>
      </c>
      <c r="AC56" s="176">
        <f t="shared" si="3"/>
        <v>1663.49</v>
      </c>
      <c r="AD56" s="176">
        <f t="shared" si="4"/>
        <v>1663.49</v>
      </c>
      <c r="AE56" s="211">
        <f t="shared" si="5"/>
        <v>178.959876</v>
      </c>
      <c r="AF56" s="11"/>
    </row>
    <row r="57" s="4" customFormat="1" ht="35" customHeight="1" spans="1:32">
      <c r="A57" s="48">
        <v>54</v>
      </c>
      <c r="B57" s="48" t="s">
        <v>143</v>
      </c>
      <c r="C57" s="51" t="s">
        <v>144</v>
      </c>
      <c r="D57" s="75">
        <v>-875.969259</v>
      </c>
      <c r="E57" s="48">
        <v>195.88</v>
      </c>
      <c r="F57" s="48"/>
      <c r="G57" s="48">
        <v>135.86</v>
      </c>
      <c r="H57" s="216">
        <v>240</v>
      </c>
      <c r="I57" s="108">
        <v>165.63</v>
      </c>
      <c r="J57" s="108">
        <v>150.82</v>
      </c>
      <c r="K57" s="108">
        <v>176.56</v>
      </c>
      <c r="L57" s="108">
        <v>282.22</v>
      </c>
      <c r="M57" s="108">
        <v>146.92</v>
      </c>
      <c r="N57" s="108">
        <v>200</v>
      </c>
      <c r="O57" s="108">
        <v>201.13</v>
      </c>
      <c r="P57" s="108">
        <v>200</v>
      </c>
      <c r="Q57" s="108">
        <v>221.67</v>
      </c>
      <c r="R57" s="108">
        <v>200</v>
      </c>
      <c r="S57" s="108">
        <v>253.63</v>
      </c>
      <c r="T57" s="108">
        <v>200</v>
      </c>
      <c r="U57" s="108">
        <v>204.18</v>
      </c>
      <c r="V57" s="108">
        <v>200</v>
      </c>
      <c r="W57" s="108">
        <v>171.36</v>
      </c>
      <c r="X57" s="108">
        <v>200</v>
      </c>
      <c r="Y57" s="108">
        <v>165.41</v>
      </c>
      <c r="Z57" s="108">
        <v>200</v>
      </c>
      <c r="AA57" s="108">
        <v>144.67</v>
      </c>
      <c r="AB57" s="108">
        <v>0</v>
      </c>
      <c r="AC57" s="176">
        <f t="shared" si="3"/>
        <v>2182.9</v>
      </c>
      <c r="AD57" s="176">
        <f t="shared" si="4"/>
        <v>2073.04</v>
      </c>
      <c r="AE57" s="211">
        <f t="shared" si="5"/>
        <v>-985.829259000001</v>
      </c>
      <c r="AF57" s="11"/>
    </row>
    <row r="58" s="4" customFormat="1" ht="35" customHeight="1" spans="1:32">
      <c r="A58" s="48">
        <v>55</v>
      </c>
      <c r="B58" s="48" t="s">
        <v>145</v>
      </c>
      <c r="C58" s="51" t="s">
        <v>146</v>
      </c>
      <c r="D58" s="75">
        <v>105.131396</v>
      </c>
      <c r="E58" s="48">
        <v>313.95</v>
      </c>
      <c r="F58" s="48">
        <v>313.95</v>
      </c>
      <c r="G58" s="48">
        <v>562.54</v>
      </c>
      <c r="H58" s="216">
        <v>562.54</v>
      </c>
      <c r="I58" s="108">
        <v>393.6</v>
      </c>
      <c r="J58" s="108">
        <v>393.6</v>
      </c>
      <c r="K58" s="108">
        <v>306.43</v>
      </c>
      <c r="L58" s="108">
        <v>306.43</v>
      </c>
      <c r="M58" s="108">
        <v>189.19</v>
      </c>
      <c r="N58" s="108">
        <v>189.19</v>
      </c>
      <c r="O58" s="108">
        <v>243.9</v>
      </c>
      <c r="P58" s="108">
        <v>243.9</v>
      </c>
      <c r="Q58" s="108">
        <v>201.27</v>
      </c>
      <c r="R58" s="108">
        <v>201.27</v>
      </c>
      <c r="S58" s="108">
        <v>245.87</v>
      </c>
      <c r="T58" s="108">
        <v>245.87</v>
      </c>
      <c r="U58" s="108">
        <v>264.39</v>
      </c>
      <c r="V58" s="108">
        <v>264.39</v>
      </c>
      <c r="W58" s="108">
        <v>278.96</v>
      </c>
      <c r="X58" s="108">
        <v>278.96</v>
      </c>
      <c r="Y58" s="108">
        <v>242.13</v>
      </c>
      <c r="Z58" s="108">
        <v>128.96</v>
      </c>
      <c r="AA58" s="108">
        <v>226.13</v>
      </c>
      <c r="AB58" s="108">
        <v>339.3</v>
      </c>
      <c r="AC58" s="176">
        <f t="shared" si="3"/>
        <v>3468.36</v>
      </c>
      <c r="AD58" s="176">
        <f t="shared" si="4"/>
        <v>3468.36</v>
      </c>
      <c r="AE58" s="211">
        <f t="shared" si="5"/>
        <v>105.131396</v>
      </c>
      <c r="AF58" s="11"/>
    </row>
    <row r="59" s="4" customFormat="1" ht="35" customHeight="1" spans="1:32">
      <c r="A59" s="48">
        <v>56</v>
      </c>
      <c r="B59" s="48" t="s">
        <v>147</v>
      </c>
      <c r="C59" s="51" t="s">
        <v>148</v>
      </c>
      <c r="D59" s="75">
        <v>409.31817</v>
      </c>
      <c r="E59" s="48">
        <v>193.7</v>
      </c>
      <c r="F59" s="48">
        <v>193.7</v>
      </c>
      <c r="G59" s="48">
        <v>198.87</v>
      </c>
      <c r="H59" s="216">
        <v>198.87</v>
      </c>
      <c r="I59" s="108">
        <v>291.86</v>
      </c>
      <c r="J59" s="108">
        <v>291.86</v>
      </c>
      <c r="K59" s="108">
        <v>258.55</v>
      </c>
      <c r="L59" s="108">
        <v>258.55</v>
      </c>
      <c r="M59" s="108">
        <v>220.89</v>
      </c>
      <c r="N59" s="108">
        <v>220.89</v>
      </c>
      <c r="O59" s="108">
        <v>303.9</v>
      </c>
      <c r="P59" s="108">
        <v>303.9</v>
      </c>
      <c r="Q59" s="108">
        <v>358.98</v>
      </c>
      <c r="R59" s="108">
        <v>358.98</v>
      </c>
      <c r="S59" s="108">
        <v>363.47</v>
      </c>
      <c r="T59" s="108">
        <v>363.47</v>
      </c>
      <c r="U59" s="108">
        <v>240.31</v>
      </c>
      <c r="V59" s="108">
        <v>240.31</v>
      </c>
      <c r="W59" s="108">
        <v>251.5</v>
      </c>
      <c r="X59" s="108">
        <v>251.5</v>
      </c>
      <c r="Y59" s="108">
        <v>221.45</v>
      </c>
      <c r="Z59" s="108">
        <v>221.45</v>
      </c>
      <c r="AA59" s="108">
        <v>216.45</v>
      </c>
      <c r="AB59" s="108">
        <v>216.45</v>
      </c>
      <c r="AC59" s="176">
        <f t="shared" si="3"/>
        <v>3119.93</v>
      </c>
      <c r="AD59" s="176">
        <f t="shared" si="4"/>
        <v>3119.93</v>
      </c>
      <c r="AE59" s="211">
        <f t="shared" si="5"/>
        <v>409.31817</v>
      </c>
      <c r="AF59" s="11"/>
    </row>
    <row r="60" s="4" customFormat="1" ht="35" customHeight="1" spans="1:32">
      <c r="A60" s="48">
        <v>57</v>
      </c>
      <c r="B60" s="48" t="s">
        <v>149</v>
      </c>
      <c r="C60" s="51" t="s">
        <v>150</v>
      </c>
      <c r="D60" s="75">
        <v>588.530411</v>
      </c>
      <c r="E60" s="48">
        <v>439.63</v>
      </c>
      <c r="F60" s="48">
        <v>440</v>
      </c>
      <c r="G60" s="48">
        <v>479.64</v>
      </c>
      <c r="H60" s="216">
        <v>1000</v>
      </c>
      <c r="I60" s="108">
        <v>380.54</v>
      </c>
      <c r="J60" s="108">
        <v>0</v>
      </c>
      <c r="K60" s="108">
        <v>326.18</v>
      </c>
      <c r="L60" s="108">
        <v>66.9</v>
      </c>
      <c r="M60" s="108">
        <v>212.96</v>
      </c>
      <c r="N60" s="108">
        <v>382.22</v>
      </c>
      <c r="O60" s="108">
        <v>203.35</v>
      </c>
      <c r="P60" s="108">
        <v>0</v>
      </c>
      <c r="Q60" s="108">
        <v>185.83</v>
      </c>
      <c r="R60" s="108">
        <v>0</v>
      </c>
      <c r="S60" s="108">
        <v>253.08</v>
      </c>
      <c r="T60" s="108">
        <v>1000</v>
      </c>
      <c r="U60" s="108">
        <v>181.19</v>
      </c>
      <c r="V60" s="108">
        <v>0</v>
      </c>
      <c r="W60" s="108">
        <v>190.97</v>
      </c>
      <c r="X60" s="108">
        <v>0</v>
      </c>
      <c r="Y60" s="108">
        <v>214.92</v>
      </c>
      <c r="Z60" s="108">
        <v>500</v>
      </c>
      <c r="AA60" s="108">
        <v>239.8</v>
      </c>
      <c r="AB60" s="108">
        <v>0</v>
      </c>
      <c r="AC60" s="176">
        <f t="shared" si="3"/>
        <v>3308.09</v>
      </c>
      <c r="AD60" s="176">
        <f t="shared" si="4"/>
        <v>3389.12</v>
      </c>
      <c r="AE60" s="211">
        <f t="shared" si="5"/>
        <v>669.560411</v>
      </c>
      <c r="AF60" s="11"/>
    </row>
    <row r="61" s="4" customFormat="1" ht="35" customHeight="1" spans="1:32">
      <c r="A61" s="48">
        <v>58</v>
      </c>
      <c r="B61" s="48" t="s">
        <v>151</v>
      </c>
      <c r="C61" s="51" t="s">
        <v>152</v>
      </c>
      <c r="D61" s="75">
        <v>611.091156</v>
      </c>
      <c r="E61" s="48">
        <v>24.48</v>
      </c>
      <c r="F61" s="48">
        <v>6.45</v>
      </c>
      <c r="G61" s="48">
        <v>23.66</v>
      </c>
      <c r="H61" s="216">
        <v>23.66</v>
      </c>
      <c r="I61" s="108">
        <v>7.83</v>
      </c>
      <c r="J61" s="108">
        <v>7.83</v>
      </c>
      <c r="K61" s="108">
        <v>10.77</v>
      </c>
      <c r="L61" s="108">
        <v>10.77</v>
      </c>
      <c r="M61" s="108">
        <v>80.88</v>
      </c>
      <c r="N61" s="108">
        <v>80.88</v>
      </c>
      <c r="O61" s="108">
        <v>125.02</v>
      </c>
      <c r="P61" s="108">
        <v>125.02</v>
      </c>
      <c r="Q61" s="108">
        <v>142.26</v>
      </c>
      <c r="R61" s="108">
        <v>142.26</v>
      </c>
      <c r="S61" s="108">
        <v>388.43</v>
      </c>
      <c r="T61" s="108">
        <v>388.43</v>
      </c>
      <c r="U61" s="108">
        <v>175.17</v>
      </c>
      <c r="V61" s="108">
        <v>175.17</v>
      </c>
      <c r="W61" s="108">
        <v>143.9</v>
      </c>
      <c r="X61" s="108">
        <v>143.9</v>
      </c>
      <c r="Y61" s="108">
        <v>67.47</v>
      </c>
      <c r="Z61" s="108">
        <v>67.47</v>
      </c>
      <c r="AA61" s="108">
        <v>57.51</v>
      </c>
      <c r="AB61" s="108">
        <v>57.51</v>
      </c>
      <c r="AC61" s="176">
        <f t="shared" si="3"/>
        <v>1247.38</v>
      </c>
      <c r="AD61" s="176">
        <f t="shared" si="4"/>
        <v>1229.35</v>
      </c>
      <c r="AE61" s="211">
        <f t="shared" si="5"/>
        <v>593.061156</v>
      </c>
      <c r="AF61" s="11"/>
    </row>
    <row r="62" s="4" customFormat="1" ht="35" customHeight="1" spans="1:32">
      <c r="A62" s="48">
        <v>59</v>
      </c>
      <c r="B62" s="48" t="s">
        <v>153</v>
      </c>
      <c r="C62" s="51" t="s">
        <v>154</v>
      </c>
      <c r="D62" s="75">
        <v>1288.721056</v>
      </c>
      <c r="E62" s="48">
        <v>221.45</v>
      </c>
      <c r="F62" s="48">
        <v>221.45</v>
      </c>
      <c r="G62" s="48">
        <v>303.33</v>
      </c>
      <c r="H62" s="216">
        <v>303.33</v>
      </c>
      <c r="I62" s="108">
        <v>210.24</v>
      </c>
      <c r="J62" s="108">
        <v>210.24</v>
      </c>
      <c r="K62" s="108">
        <v>228.63</v>
      </c>
      <c r="L62" s="108">
        <v>228.63</v>
      </c>
      <c r="M62" s="108">
        <v>165.42</v>
      </c>
      <c r="N62" s="108">
        <v>165.42</v>
      </c>
      <c r="O62" s="108">
        <v>251.68</v>
      </c>
      <c r="P62" s="108">
        <v>251.68</v>
      </c>
      <c r="Q62" s="108">
        <v>288.95</v>
      </c>
      <c r="R62" s="108">
        <v>288.95</v>
      </c>
      <c r="S62" s="108">
        <v>394.53</v>
      </c>
      <c r="T62" s="108">
        <v>394.53</v>
      </c>
      <c r="U62" s="108">
        <v>359.09</v>
      </c>
      <c r="V62" s="108">
        <v>359.09</v>
      </c>
      <c r="W62" s="108">
        <v>315.39</v>
      </c>
      <c r="X62" s="108">
        <v>315.39</v>
      </c>
      <c r="Y62" s="108">
        <v>246.48</v>
      </c>
      <c r="Z62" s="108">
        <v>246.48</v>
      </c>
      <c r="AA62" s="108">
        <v>183.4</v>
      </c>
      <c r="AB62" s="108">
        <v>183.4</v>
      </c>
      <c r="AC62" s="176">
        <f t="shared" si="3"/>
        <v>3168.59</v>
      </c>
      <c r="AD62" s="176">
        <f t="shared" si="4"/>
        <v>3168.59</v>
      </c>
      <c r="AE62" s="211">
        <f t="shared" si="5"/>
        <v>1288.721056</v>
      </c>
      <c r="AF62" s="11"/>
    </row>
    <row r="63" s="4" customFormat="1" ht="35" customHeight="1" spans="1:32">
      <c r="A63" s="48">
        <v>60</v>
      </c>
      <c r="B63" s="48" t="s">
        <v>155</v>
      </c>
      <c r="C63" s="210" t="s">
        <v>156</v>
      </c>
      <c r="D63" s="75">
        <v>-290.028429999999</v>
      </c>
      <c r="E63" s="48">
        <v>213.83</v>
      </c>
      <c r="F63" s="48">
        <v>213.83</v>
      </c>
      <c r="G63" s="48">
        <v>315.49</v>
      </c>
      <c r="H63" s="216">
        <v>315.49</v>
      </c>
      <c r="I63" s="108">
        <v>259.75</v>
      </c>
      <c r="J63" s="108">
        <v>259.75</v>
      </c>
      <c r="K63" s="108">
        <v>253.76</v>
      </c>
      <c r="L63" s="108">
        <v>253.76</v>
      </c>
      <c r="M63" s="108">
        <v>146.4</v>
      </c>
      <c r="N63" s="108">
        <v>146.4</v>
      </c>
      <c r="O63" s="108">
        <v>130.57</v>
      </c>
      <c r="P63" s="108">
        <v>130.57</v>
      </c>
      <c r="Q63" s="108">
        <v>127.92</v>
      </c>
      <c r="R63" s="108">
        <v>127.92</v>
      </c>
      <c r="S63" s="108">
        <v>193.72</v>
      </c>
      <c r="T63" s="108">
        <v>193.72</v>
      </c>
      <c r="U63" s="108">
        <v>140.14</v>
      </c>
      <c r="V63" s="108">
        <v>140.14</v>
      </c>
      <c r="W63" s="108">
        <v>82.81</v>
      </c>
      <c r="X63" s="108">
        <v>82.81</v>
      </c>
      <c r="Y63" s="108">
        <v>106.1</v>
      </c>
      <c r="Z63" s="108">
        <v>106.1</v>
      </c>
      <c r="AA63" s="108">
        <v>95.1</v>
      </c>
      <c r="AB63" s="108">
        <v>95.1</v>
      </c>
      <c r="AC63" s="176">
        <f t="shared" si="3"/>
        <v>2065.59</v>
      </c>
      <c r="AD63" s="176">
        <f t="shared" si="4"/>
        <v>2065.59</v>
      </c>
      <c r="AE63" s="211">
        <f t="shared" si="5"/>
        <v>-290.028429999999</v>
      </c>
      <c r="AF63" s="11"/>
    </row>
    <row r="64" s="4" customFormat="1" ht="35" customHeight="1" spans="1:32">
      <c r="A64" s="48">
        <v>61</v>
      </c>
      <c r="B64" s="48" t="s">
        <v>157</v>
      </c>
      <c r="C64" s="210" t="s">
        <v>158</v>
      </c>
      <c r="D64" s="75">
        <v>576.508996</v>
      </c>
      <c r="E64" s="48">
        <v>99.57</v>
      </c>
      <c r="F64" s="48"/>
      <c r="G64" s="48">
        <v>31.96</v>
      </c>
      <c r="H64" s="216"/>
      <c r="I64" s="108">
        <v>151.47</v>
      </c>
      <c r="J64" s="108">
        <v>290.82</v>
      </c>
      <c r="K64" s="108">
        <v>150.82</v>
      </c>
      <c r="L64" s="108">
        <v>0</v>
      </c>
      <c r="M64" s="108">
        <v>87.22</v>
      </c>
      <c r="N64" s="108">
        <v>25.91</v>
      </c>
      <c r="O64" s="108">
        <v>98.91</v>
      </c>
      <c r="P64" s="108">
        <v>200</v>
      </c>
      <c r="Q64" s="108">
        <v>84.36</v>
      </c>
      <c r="R64" s="108">
        <v>0</v>
      </c>
      <c r="S64" s="108">
        <v>197.05</v>
      </c>
      <c r="T64" s="108">
        <v>200</v>
      </c>
      <c r="U64" s="108">
        <v>102.92</v>
      </c>
      <c r="V64" s="108">
        <v>46.69</v>
      </c>
      <c r="W64" s="108">
        <v>143.34</v>
      </c>
      <c r="X64" s="108">
        <v>200</v>
      </c>
      <c r="Y64" s="108">
        <v>155.07</v>
      </c>
      <c r="Z64" s="108">
        <v>0</v>
      </c>
      <c r="AA64" s="108">
        <v>87.13</v>
      </c>
      <c r="AB64" s="108">
        <v>500</v>
      </c>
      <c r="AC64" s="176">
        <f t="shared" si="3"/>
        <v>1389.82</v>
      </c>
      <c r="AD64" s="176">
        <f t="shared" si="4"/>
        <v>1463.42</v>
      </c>
      <c r="AE64" s="211">
        <f t="shared" si="5"/>
        <v>650.108996</v>
      </c>
      <c r="AF64" s="11"/>
    </row>
    <row r="65" s="4" customFormat="1" ht="35" customHeight="1" spans="1:32">
      <c r="A65" s="48">
        <v>62</v>
      </c>
      <c r="B65" s="48" t="s">
        <v>159</v>
      </c>
      <c r="C65" s="51" t="s">
        <v>160</v>
      </c>
      <c r="D65" s="75">
        <v>401.929391000001</v>
      </c>
      <c r="E65" s="48">
        <v>200.23</v>
      </c>
      <c r="F65" s="48">
        <v>200</v>
      </c>
      <c r="G65" s="48">
        <v>265.19</v>
      </c>
      <c r="H65" s="216">
        <v>265</v>
      </c>
      <c r="I65" s="108">
        <v>163.99</v>
      </c>
      <c r="J65" s="108">
        <v>164.82</v>
      </c>
      <c r="K65" s="108">
        <v>166.38</v>
      </c>
      <c r="L65" s="108">
        <v>166</v>
      </c>
      <c r="M65" s="108">
        <v>137.41</v>
      </c>
      <c r="N65" s="108">
        <v>137.22</v>
      </c>
      <c r="O65" s="108">
        <v>193.35</v>
      </c>
      <c r="P65" s="108">
        <v>0</v>
      </c>
      <c r="Q65" s="108">
        <v>380.49</v>
      </c>
      <c r="R65" s="108">
        <v>575</v>
      </c>
      <c r="S65" s="108">
        <v>507.69</v>
      </c>
      <c r="T65" s="108">
        <v>508</v>
      </c>
      <c r="U65" s="108">
        <v>353.61</v>
      </c>
      <c r="V65" s="108">
        <v>354</v>
      </c>
      <c r="W65" s="108">
        <v>223.48</v>
      </c>
      <c r="X65" s="108">
        <v>230</v>
      </c>
      <c r="Y65" s="108">
        <v>201.32</v>
      </c>
      <c r="Z65" s="108">
        <v>202</v>
      </c>
      <c r="AA65" s="108">
        <v>129.29</v>
      </c>
      <c r="AB65" s="108">
        <v>130</v>
      </c>
      <c r="AC65" s="176">
        <f t="shared" si="3"/>
        <v>2922.43</v>
      </c>
      <c r="AD65" s="176">
        <f t="shared" si="4"/>
        <v>2932.04</v>
      </c>
      <c r="AE65" s="211">
        <f t="shared" si="5"/>
        <v>411.539391000001</v>
      </c>
      <c r="AF65" s="11"/>
    </row>
    <row r="66" s="4" customFormat="1" ht="35" customHeight="1" spans="1:32">
      <c r="A66" s="48">
        <v>63</v>
      </c>
      <c r="B66" s="48" t="s">
        <v>161</v>
      </c>
      <c r="C66" s="51" t="s">
        <v>162</v>
      </c>
      <c r="D66" s="75">
        <v>1070.722181</v>
      </c>
      <c r="E66" s="48">
        <v>291.64</v>
      </c>
      <c r="F66" s="48">
        <v>291.64</v>
      </c>
      <c r="G66" s="48">
        <v>317.15</v>
      </c>
      <c r="H66" s="216">
        <v>317.15</v>
      </c>
      <c r="I66" s="108">
        <v>236.35</v>
      </c>
      <c r="J66" s="108">
        <v>236.35</v>
      </c>
      <c r="K66" s="108">
        <v>228.03</v>
      </c>
      <c r="L66" s="108">
        <v>228.03</v>
      </c>
      <c r="M66" s="108">
        <v>272.14</v>
      </c>
      <c r="N66" s="108">
        <v>272.14</v>
      </c>
      <c r="O66" s="108">
        <v>159.46</v>
      </c>
      <c r="P66" s="108">
        <v>159.46</v>
      </c>
      <c r="Q66" s="108">
        <v>264.68</v>
      </c>
      <c r="R66" s="108">
        <v>264.68</v>
      </c>
      <c r="S66" s="108">
        <v>347.38</v>
      </c>
      <c r="T66" s="108">
        <v>347.38</v>
      </c>
      <c r="U66" s="108">
        <v>313.11</v>
      </c>
      <c r="V66" s="108">
        <v>313.11</v>
      </c>
      <c r="W66" s="108">
        <v>252.06</v>
      </c>
      <c r="X66" s="108">
        <v>252.06</v>
      </c>
      <c r="Y66" s="108">
        <v>229.07</v>
      </c>
      <c r="Z66" s="108">
        <v>229.07</v>
      </c>
      <c r="AA66" s="108">
        <v>215.88</v>
      </c>
      <c r="AB66" s="108">
        <v>215.88</v>
      </c>
      <c r="AC66" s="176">
        <f t="shared" si="3"/>
        <v>3126.95</v>
      </c>
      <c r="AD66" s="176">
        <f t="shared" si="4"/>
        <v>3126.95</v>
      </c>
      <c r="AE66" s="211">
        <f t="shared" si="5"/>
        <v>1070.722181</v>
      </c>
      <c r="AF66" s="11"/>
    </row>
    <row r="67" s="4" customFormat="1" ht="35" customHeight="1" spans="1:32">
      <c r="A67" s="48">
        <v>64</v>
      </c>
      <c r="B67" s="48" t="s">
        <v>163</v>
      </c>
      <c r="C67" s="51" t="s">
        <v>164</v>
      </c>
      <c r="D67" s="75">
        <v>-318.979944</v>
      </c>
      <c r="E67" s="48">
        <v>337.34</v>
      </c>
      <c r="F67" s="48">
        <v>337.34</v>
      </c>
      <c r="G67" s="48">
        <v>430.45</v>
      </c>
      <c r="H67" s="216">
        <v>430.45</v>
      </c>
      <c r="I67" s="108">
        <v>324.49</v>
      </c>
      <c r="J67" s="108">
        <v>324.49</v>
      </c>
      <c r="K67" s="108">
        <v>254.36</v>
      </c>
      <c r="L67" s="108">
        <v>254.36</v>
      </c>
      <c r="M67" s="108">
        <v>129.49</v>
      </c>
      <c r="N67" s="108">
        <v>129.49</v>
      </c>
      <c r="O67" s="108">
        <v>216.68</v>
      </c>
      <c r="P67" s="108">
        <v>216.68</v>
      </c>
      <c r="Q67" s="108">
        <v>187.48</v>
      </c>
      <c r="R67" s="108">
        <v>187.48</v>
      </c>
      <c r="S67" s="108">
        <v>188.18</v>
      </c>
      <c r="T67" s="108">
        <v>188.18</v>
      </c>
      <c r="U67" s="108">
        <v>167.51</v>
      </c>
      <c r="V67" s="108">
        <v>167.51</v>
      </c>
      <c r="W67" s="108">
        <v>149.5</v>
      </c>
      <c r="X67" s="108">
        <v>149.5</v>
      </c>
      <c r="Y67" s="108">
        <v>149.63</v>
      </c>
      <c r="Z67" s="108">
        <v>149.63</v>
      </c>
      <c r="AA67" s="108">
        <v>177.14</v>
      </c>
      <c r="AB67" s="108">
        <v>177.14</v>
      </c>
      <c r="AC67" s="176">
        <f t="shared" si="3"/>
        <v>2712.25</v>
      </c>
      <c r="AD67" s="176">
        <f t="shared" si="4"/>
        <v>2712.25</v>
      </c>
      <c r="AE67" s="211">
        <f t="shared" si="5"/>
        <v>-318.979944</v>
      </c>
      <c r="AF67" s="11"/>
    </row>
    <row r="68" s="4" customFormat="1" ht="35" customHeight="1" spans="1:32">
      <c r="A68" s="48">
        <v>65</v>
      </c>
      <c r="B68" s="108"/>
      <c r="C68" s="108" t="s">
        <v>165</v>
      </c>
      <c r="D68" s="75">
        <v>304.6763</v>
      </c>
      <c r="E68" s="48">
        <v>27.13</v>
      </c>
      <c r="F68" s="48">
        <v>232.44</v>
      </c>
      <c r="G68" s="48">
        <v>37.03</v>
      </c>
      <c r="H68" s="216"/>
      <c r="I68" s="108">
        <v>32.7</v>
      </c>
      <c r="J68" s="108">
        <v>0</v>
      </c>
      <c r="K68" s="108">
        <v>31.7</v>
      </c>
      <c r="L68" s="108">
        <v>0</v>
      </c>
      <c r="M68" s="108">
        <v>46.49</v>
      </c>
      <c r="N68" s="108">
        <v>0</v>
      </c>
      <c r="O68" s="108">
        <v>62.22</v>
      </c>
      <c r="P68" s="108">
        <v>0</v>
      </c>
      <c r="Q68" s="108">
        <v>78.86</v>
      </c>
      <c r="R68" s="108">
        <v>400</v>
      </c>
      <c r="S68" s="108">
        <v>94.86</v>
      </c>
      <c r="T68" s="108">
        <v>0</v>
      </c>
      <c r="U68" s="108">
        <v>73.89</v>
      </c>
      <c r="V68" s="108">
        <v>0</v>
      </c>
      <c r="W68" s="108">
        <v>63.87</v>
      </c>
      <c r="X68" s="108">
        <v>0</v>
      </c>
      <c r="Y68" s="108">
        <v>55.5</v>
      </c>
      <c r="Z68" s="108">
        <v>0</v>
      </c>
      <c r="AA68" s="108">
        <v>59.25</v>
      </c>
      <c r="AB68" s="108">
        <v>0</v>
      </c>
      <c r="AC68" s="176">
        <f t="shared" si="3"/>
        <v>663.5</v>
      </c>
      <c r="AD68" s="176">
        <f t="shared" si="4"/>
        <v>632.44</v>
      </c>
      <c r="AE68" s="211">
        <f t="shared" si="5"/>
        <v>273.6163</v>
      </c>
      <c r="AF68" s="11"/>
    </row>
    <row r="69" s="4" customFormat="1" ht="35" customHeight="1" spans="1:32">
      <c r="A69" s="48">
        <v>66</v>
      </c>
      <c r="B69" s="108"/>
      <c r="C69" s="108" t="s">
        <v>315</v>
      </c>
      <c r="D69" s="75">
        <v>859.99</v>
      </c>
      <c r="E69" s="48">
        <v>51.85</v>
      </c>
      <c r="F69" s="48"/>
      <c r="G69" s="48"/>
      <c r="H69" s="216"/>
      <c r="I69" s="108">
        <v>44.2</v>
      </c>
      <c r="J69" s="108">
        <v>0</v>
      </c>
      <c r="K69" s="108">
        <v>49.3</v>
      </c>
      <c r="L69" s="108">
        <v>0</v>
      </c>
      <c r="M69" s="108">
        <v>48.45</v>
      </c>
      <c r="N69" s="108">
        <v>0</v>
      </c>
      <c r="O69" s="108">
        <v>51.85</v>
      </c>
      <c r="P69" s="108">
        <v>0</v>
      </c>
      <c r="Q69" s="108">
        <v>49.3</v>
      </c>
      <c r="R69" s="108">
        <v>0</v>
      </c>
      <c r="S69" s="108">
        <v>51.85</v>
      </c>
      <c r="T69" s="108">
        <v>0</v>
      </c>
      <c r="U69" s="108">
        <v>51</v>
      </c>
      <c r="V69" s="108">
        <v>0</v>
      </c>
      <c r="W69" s="108">
        <v>49.3</v>
      </c>
      <c r="X69" s="108">
        <v>0</v>
      </c>
      <c r="Y69" s="108">
        <v>51</v>
      </c>
      <c r="Z69" s="108">
        <v>0</v>
      </c>
      <c r="AA69" s="108">
        <v>49.3</v>
      </c>
      <c r="AB69" s="108"/>
      <c r="AC69" s="176">
        <f t="shared" ref="AC69:AC100" si="6">E69+G69+I69+K69+M69+O69+Q69+S69+U69+W69+Y69+AA69</f>
        <v>547.4</v>
      </c>
      <c r="AD69" s="176">
        <f t="shared" ref="AD69:AD100" si="7">F69+H69+J69+L69+N69+P69+R69+T69+V69+X69+Z69+AB69</f>
        <v>0</v>
      </c>
      <c r="AE69" s="211">
        <f t="shared" ref="AE69:AE100" si="8">D69+AD69-AC69</f>
        <v>312.59</v>
      </c>
      <c r="AF69" s="11"/>
    </row>
    <row r="70" s="4" customFormat="1" ht="35" customHeight="1" spans="1:32">
      <c r="A70" s="48">
        <v>67</v>
      </c>
      <c r="B70" s="48" t="s">
        <v>167</v>
      </c>
      <c r="C70" s="51" t="s">
        <v>168</v>
      </c>
      <c r="D70" s="75">
        <v>150.260772000001</v>
      </c>
      <c r="E70" s="48">
        <v>307.42</v>
      </c>
      <c r="F70" s="48">
        <v>307.42</v>
      </c>
      <c r="G70" s="48">
        <v>457.26</v>
      </c>
      <c r="H70" s="216">
        <v>457.26</v>
      </c>
      <c r="I70" s="108">
        <v>355.6</v>
      </c>
      <c r="J70" s="108">
        <v>355.6</v>
      </c>
      <c r="K70" s="108">
        <v>292.82</v>
      </c>
      <c r="L70" s="108">
        <v>292.82</v>
      </c>
      <c r="M70" s="108">
        <v>219.49</v>
      </c>
      <c r="N70" s="108">
        <v>219.49</v>
      </c>
      <c r="O70" s="108">
        <v>288.93</v>
      </c>
      <c r="P70" s="108">
        <v>288.93</v>
      </c>
      <c r="Q70" s="108">
        <v>387.77</v>
      </c>
      <c r="R70" s="108">
        <v>387.77</v>
      </c>
      <c r="S70" s="108">
        <v>466.54</v>
      </c>
      <c r="T70" s="108">
        <v>466.54</v>
      </c>
      <c r="U70" s="108">
        <v>369.23</v>
      </c>
      <c r="V70" s="108">
        <v>369.23</v>
      </c>
      <c r="W70" s="108">
        <v>318.24</v>
      </c>
      <c r="X70" s="108">
        <v>318.24</v>
      </c>
      <c r="Y70" s="108">
        <v>242.91</v>
      </c>
      <c r="Z70" s="108">
        <v>242.91</v>
      </c>
      <c r="AA70" s="108">
        <v>238.71</v>
      </c>
      <c r="AB70" s="108">
        <v>238.71</v>
      </c>
      <c r="AC70" s="176">
        <f t="shared" si="6"/>
        <v>3944.92</v>
      </c>
      <c r="AD70" s="176">
        <f t="shared" si="7"/>
        <v>3944.92</v>
      </c>
      <c r="AE70" s="211">
        <f t="shared" si="8"/>
        <v>150.260772000001</v>
      </c>
      <c r="AF70" s="11"/>
    </row>
    <row r="71" s="4" customFormat="1" ht="35" customHeight="1" spans="1:32">
      <c r="A71" s="48">
        <v>68</v>
      </c>
      <c r="B71" s="48" t="s">
        <v>169</v>
      </c>
      <c r="C71" s="51" t="s">
        <v>170</v>
      </c>
      <c r="D71" s="75">
        <v>117.302253</v>
      </c>
      <c r="E71" s="48">
        <v>29.38</v>
      </c>
      <c r="F71" s="48"/>
      <c r="G71" s="48">
        <v>33.9</v>
      </c>
      <c r="H71" s="216"/>
      <c r="I71" s="108">
        <v>28.6</v>
      </c>
      <c r="J71" s="108">
        <v>0</v>
      </c>
      <c r="K71" s="108">
        <v>39.65</v>
      </c>
      <c r="L71" s="108">
        <v>0</v>
      </c>
      <c r="M71" s="108">
        <v>16.62</v>
      </c>
      <c r="N71" s="108">
        <v>253.04</v>
      </c>
      <c r="O71" s="108">
        <v>28.39</v>
      </c>
      <c r="P71" s="108">
        <v>0</v>
      </c>
      <c r="Q71" s="108">
        <v>35.95</v>
      </c>
      <c r="R71" s="108">
        <v>0</v>
      </c>
      <c r="S71" s="108">
        <v>38.86</v>
      </c>
      <c r="T71" s="108">
        <v>0</v>
      </c>
      <c r="U71" s="108">
        <v>36.98</v>
      </c>
      <c r="V71" s="108">
        <v>0</v>
      </c>
      <c r="W71" s="108">
        <v>35.23</v>
      </c>
      <c r="X71" s="108">
        <v>0</v>
      </c>
      <c r="Y71" s="108">
        <v>30.71</v>
      </c>
      <c r="Z71" s="108">
        <v>0</v>
      </c>
      <c r="AA71" s="108">
        <v>22.23</v>
      </c>
      <c r="AB71" s="108"/>
      <c r="AC71" s="176">
        <f t="shared" si="6"/>
        <v>376.5</v>
      </c>
      <c r="AD71" s="176">
        <f t="shared" si="7"/>
        <v>253.04</v>
      </c>
      <c r="AE71" s="211">
        <f t="shared" si="8"/>
        <v>-6.15774700000026</v>
      </c>
      <c r="AF71" s="11"/>
    </row>
    <row r="72" s="4" customFormat="1" ht="35" customHeight="1" spans="1:32">
      <c r="A72" s="48">
        <v>69</v>
      </c>
      <c r="B72" s="48" t="s">
        <v>171</v>
      </c>
      <c r="C72" s="51" t="s">
        <v>172</v>
      </c>
      <c r="D72" s="75">
        <v>230.487418</v>
      </c>
      <c r="E72" s="48">
        <v>482.07</v>
      </c>
      <c r="F72" s="48">
        <v>482.07</v>
      </c>
      <c r="G72" s="48">
        <v>500.37</v>
      </c>
      <c r="H72" s="216">
        <v>500.37</v>
      </c>
      <c r="I72" s="108">
        <v>223.93</v>
      </c>
      <c r="J72" s="108">
        <v>223.93</v>
      </c>
      <c r="K72" s="108">
        <v>167.13</v>
      </c>
      <c r="L72" s="108">
        <v>167.13</v>
      </c>
      <c r="M72" s="108">
        <v>125.98</v>
      </c>
      <c r="N72" s="108">
        <v>125.98</v>
      </c>
      <c r="O72" s="108">
        <v>161.16</v>
      </c>
      <c r="P72" s="108">
        <v>161.16</v>
      </c>
      <c r="Q72" s="108">
        <v>271.41</v>
      </c>
      <c r="R72" s="108">
        <v>271.41</v>
      </c>
      <c r="S72" s="108">
        <v>456.02</v>
      </c>
      <c r="T72" s="108">
        <v>456.02</v>
      </c>
      <c r="U72" s="108">
        <v>234.04</v>
      </c>
      <c r="V72" s="108">
        <v>234.04</v>
      </c>
      <c r="W72" s="108">
        <v>146.75</v>
      </c>
      <c r="X72" s="108">
        <v>146.75</v>
      </c>
      <c r="Y72" s="108">
        <v>141.71</v>
      </c>
      <c r="Z72" s="108">
        <v>141.71</v>
      </c>
      <c r="AA72" s="108">
        <v>146.42</v>
      </c>
      <c r="AB72" s="108">
        <v>146.42</v>
      </c>
      <c r="AC72" s="176">
        <f t="shared" si="6"/>
        <v>3056.99</v>
      </c>
      <c r="AD72" s="176">
        <f t="shared" si="7"/>
        <v>3056.99</v>
      </c>
      <c r="AE72" s="211">
        <f t="shared" si="8"/>
        <v>230.487418</v>
      </c>
      <c r="AF72" s="11"/>
    </row>
    <row r="73" s="4" customFormat="1" ht="35" customHeight="1" spans="1:32">
      <c r="A73" s="48">
        <v>70</v>
      </c>
      <c r="B73" s="48" t="s">
        <v>173</v>
      </c>
      <c r="C73" s="51" t="s">
        <v>174</v>
      </c>
      <c r="D73" s="75">
        <v>56.6888720000002</v>
      </c>
      <c r="E73" s="48">
        <v>347.14</v>
      </c>
      <c r="F73" s="48"/>
      <c r="G73" s="48">
        <v>161.02</v>
      </c>
      <c r="H73" s="216">
        <v>540</v>
      </c>
      <c r="I73" s="108">
        <v>230.46</v>
      </c>
      <c r="J73" s="108">
        <v>0</v>
      </c>
      <c r="K73" s="108">
        <v>189.87</v>
      </c>
      <c r="L73" s="108">
        <v>0</v>
      </c>
      <c r="M73" s="108">
        <v>156.09</v>
      </c>
      <c r="N73" s="108">
        <v>583.04</v>
      </c>
      <c r="O73" s="108">
        <v>200.6</v>
      </c>
      <c r="P73" s="108">
        <v>200</v>
      </c>
      <c r="Q73" s="108">
        <v>233.36</v>
      </c>
      <c r="R73" s="108">
        <v>0</v>
      </c>
      <c r="S73" s="108">
        <v>246.88</v>
      </c>
      <c r="T73" s="108">
        <v>0</v>
      </c>
      <c r="U73" s="108">
        <v>189.15</v>
      </c>
      <c r="V73" s="108">
        <v>640</v>
      </c>
      <c r="W73" s="108">
        <v>184.86</v>
      </c>
      <c r="X73" s="108">
        <v>0</v>
      </c>
      <c r="Y73" s="108">
        <v>202.11</v>
      </c>
      <c r="Z73" s="108">
        <v>0</v>
      </c>
      <c r="AA73" s="108">
        <v>51.28</v>
      </c>
      <c r="AB73" s="108">
        <v>500</v>
      </c>
      <c r="AC73" s="176">
        <f t="shared" si="6"/>
        <v>2392.82</v>
      </c>
      <c r="AD73" s="176">
        <f t="shared" si="7"/>
        <v>2463.04</v>
      </c>
      <c r="AE73" s="211">
        <f t="shared" si="8"/>
        <v>126.908872</v>
      </c>
      <c r="AF73" s="11"/>
    </row>
    <row r="74" s="4" customFormat="1" ht="35" customHeight="1" spans="1:32">
      <c r="A74" s="48">
        <v>71</v>
      </c>
      <c r="B74" s="48" t="s">
        <v>175</v>
      </c>
      <c r="C74" s="51" t="s">
        <v>176</v>
      </c>
      <c r="D74" s="75">
        <v>463.484872</v>
      </c>
      <c r="E74" s="48">
        <v>193.16</v>
      </c>
      <c r="F74" s="48">
        <v>193.16</v>
      </c>
      <c r="G74" s="48">
        <v>196.39</v>
      </c>
      <c r="H74" s="216">
        <v>196.39</v>
      </c>
      <c r="I74" s="108">
        <v>151.57</v>
      </c>
      <c r="J74" s="108">
        <v>151.57</v>
      </c>
      <c r="K74" s="108">
        <v>152.77</v>
      </c>
      <c r="L74" s="108">
        <v>152.77</v>
      </c>
      <c r="M74" s="108">
        <v>161.38</v>
      </c>
      <c r="N74" s="108">
        <v>161.38</v>
      </c>
      <c r="O74" s="108">
        <v>149.49</v>
      </c>
      <c r="P74" s="108">
        <v>149.49</v>
      </c>
      <c r="Q74" s="108">
        <v>136.31</v>
      </c>
      <c r="R74" s="108">
        <v>136.31</v>
      </c>
      <c r="S74" s="108">
        <v>173.1</v>
      </c>
      <c r="T74" s="108">
        <v>173.1</v>
      </c>
      <c r="U74" s="108">
        <v>156.86</v>
      </c>
      <c r="V74" s="108">
        <v>156.86</v>
      </c>
      <c r="W74" s="108">
        <v>121.54</v>
      </c>
      <c r="X74" s="108">
        <v>121.54</v>
      </c>
      <c r="Y74" s="108">
        <v>108.52</v>
      </c>
      <c r="Z74" s="108">
        <v>108.52</v>
      </c>
      <c r="AA74" s="108">
        <v>100.85</v>
      </c>
      <c r="AB74" s="108">
        <v>100.85</v>
      </c>
      <c r="AC74" s="176">
        <f t="shared" si="6"/>
        <v>1801.94</v>
      </c>
      <c r="AD74" s="176">
        <f t="shared" si="7"/>
        <v>1801.94</v>
      </c>
      <c r="AE74" s="211">
        <f t="shared" si="8"/>
        <v>463.484872</v>
      </c>
      <c r="AF74" s="11"/>
    </row>
    <row r="75" s="4" customFormat="1" ht="35" customHeight="1" spans="1:32">
      <c r="A75" s="48">
        <v>72</v>
      </c>
      <c r="B75" s="48" t="s">
        <v>177</v>
      </c>
      <c r="C75" s="51" t="s">
        <v>178</v>
      </c>
      <c r="D75" s="75">
        <v>593.805973</v>
      </c>
      <c r="E75" s="48">
        <v>159.97</v>
      </c>
      <c r="F75" s="48"/>
      <c r="G75" s="48">
        <v>125.65</v>
      </c>
      <c r="H75" s="216"/>
      <c r="I75" s="108">
        <v>184.21</v>
      </c>
      <c r="J75" s="108">
        <v>790.82</v>
      </c>
      <c r="K75" s="108">
        <v>163.54</v>
      </c>
      <c r="L75" s="108">
        <v>0</v>
      </c>
      <c r="M75" s="108">
        <v>120.17</v>
      </c>
      <c r="N75" s="108">
        <v>0</v>
      </c>
      <c r="O75" s="108">
        <v>170.6</v>
      </c>
      <c r="P75" s="108">
        <v>0</v>
      </c>
      <c r="Q75" s="108">
        <v>185.94</v>
      </c>
      <c r="R75" s="108">
        <v>633.04</v>
      </c>
      <c r="S75" s="108">
        <v>214.15</v>
      </c>
      <c r="T75" s="108">
        <v>0</v>
      </c>
      <c r="U75" s="108">
        <v>180.39</v>
      </c>
      <c r="V75" s="108">
        <v>0</v>
      </c>
      <c r="W75" s="108">
        <v>210.64</v>
      </c>
      <c r="X75" s="108">
        <v>0</v>
      </c>
      <c r="Y75" s="108">
        <v>120.49</v>
      </c>
      <c r="Z75" s="108">
        <v>0</v>
      </c>
      <c r="AA75" s="108">
        <v>117.37</v>
      </c>
      <c r="AB75" s="108"/>
      <c r="AC75" s="176">
        <f t="shared" si="6"/>
        <v>1953.12</v>
      </c>
      <c r="AD75" s="176">
        <f t="shared" si="7"/>
        <v>1423.86</v>
      </c>
      <c r="AE75" s="211">
        <f t="shared" si="8"/>
        <v>64.5459729999998</v>
      </c>
      <c r="AF75" s="11"/>
    </row>
    <row r="76" s="4" customFormat="1" ht="35" customHeight="1" spans="1:32">
      <c r="A76" s="48">
        <v>73</v>
      </c>
      <c r="B76" s="48" t="s">
        <v>179</v>
      </c>
      <c r="C76" s="51" t="s">
        <v>180</v>
      </c>
      <c r="D76" s="75">
        <v>620.450953</v>
      </c>
      <c r="E76" s="48">
        <v>259.54</v>
      </c>
      <c r="F76" s="48">
        <v>424.68</v>
      </c>
      <c r="G76" s="48">
        <v>240.61</v>
      </c>
      <c r="H76" s="216"/>
      <c r="I76" s="108">
        <v>269.63</v>
      </c>
      <c r="J76" s="108">
        <v>10.82</v>
      </c>
      <c r="K76" s="108">
        <v>237.16</v>
      </c>
      <c r="L76" s="108">
        <v>200</v>
      </c>
      <c r="M76" s="108">
        <v>203.64</v>
      </c>
      <c r="N76" s="108">
        <v>0</v>
      </c>
      <c r="O76" s="108">
        <v>182.27</v>
      </c>
      <c r="P76" s="108">
        <v>922.72</v>
      </c>
      <c r="Q76" s="108">
        <v>233.91</v>
      </c>
      <c r="R76" s="108">
        <v>0</v>
      </c>
      <c r="S76" s="108">
        <v>170.88</v>
      </c>
      <c r="T76" s="108">
        <v>0</v>
      </c>
      <c r="U76" s="108">
        <v>180.39</v>
      </c>
      <c r="V76" s="108">
        <v>133.04</v>
      </c>
      <c r="W76" s="108">
        <v>212.88</v>
      </c>
      <c r="X76" s="108">
        <v>0</v>
      </c>
      <c r="Y76" s="108">
        <v>291.88</v>
      </c>
      <c r="Z76" s="108">
        <v>0</v>
      </c>
      <c r="AA76" s="108">
        <v>213.07</v>
      </c>
      <c r="AB76" s="108"/>
      <c r="AC76" s="176">
        <f t="shared" si="6"/>
        <v>2695.86</v>
      </c>
      <c r="AD76" s="176">
        <f t="shared" si="7"/>
        <v>1691.26</v>
      </c>
      <c r="AE76" s="211">
        <f t="shared" si="8"/>
        <v>-384.149047</v>
      </c>
      <c r="AF76" s="11"/>
    </row>
    <row r="77" s="4" customFormat="1" ht="35" customHeight="1" spans="1:32">
      <c r="A77" s="48">
        <v>74</v>
      </c>
      <c r="B77" s="48" t="s">
        <v>181</v>
      </c>
      <c r="C77" s="51" t="s">
        <v>182</v>
      </c>
      <c r="D77" s="75">
        <v>298.88</v>
      </c>
      <c r="E77" s="48"/>
      <c r="F77" s="48"/>
      <c r="G77" s="48"/>
      <c r="H77" s="216"/>
      <c r="I77" s="108"/>
      <c r="J77" s="108">
        <v>0</v>
      </c>
      <c r="K77" s="108"/>
      <c r="L77" s="108">
        <v>0</v>
      </c>
      <c r="M77" s="108"/>
      <c r="N77" s="108">
        <v>0</v>
      </c>
      <c r="O77" s="108"/>
      <c r="P77" s="108">
        <v>0</v>
      </c>
      <c r="Q77" s="108"/>
      <c r="R77" s="108">
        <v>0</v>
      </c>
      <c r="S77" s="108"/>
      <c r="T77" s="108">
        <v>0</v>
      </c>
      <c r="U77" s="108"/>
      <c r="V77" s="108">
        <v>0</v>
      </c>
      <c r="W77" s="108"/>
      <c r="X77" s="108">
        <v>0</v>
      </c>
      <c r="Y77" s="108"/>
      <c r="Z77" s="108">
        <v>0</v>
      </c>
      <c r="AA77" s="108"/>
      <c r="AB77" s="108"/>
      <c r="AC77" s="176">
        <f t="shared" si="6"/>
        <v>0</v>
      </c>
      <c r="AD77" s="176">
        <f t="shared" si="7"/>
        <v>0</v>
      </c>
      <c r="AE77" s="211">
        <f t="shared" si="8"/>
        <v>298.88</v>
      </c>
      <c r="AF77" s="11"/>
    </row>
    <row r="78" s="4" customFormat="1" ht="35" customHeight="1" spans="1:32">
      <c r="A78" s="48">
        <v>75</v>
      </c>
      <c r="B78" s="48" t="s">
        <v>183</v>
      </c>
      <c r="C78" s="51" t="s">
        <v>184</v>
      </c>
      <c r="D78" s="75">
        <v>0.0268720000012763</v>
      </c>
      <c r="E78" s="48">
        <v>691.01</v>
      </c>
      <c r="F78" s="48"/>
      <c r="G78" s="48">
        <v>925.4</v>
      </c>
      <c r="H78" s="216">
        <v>1940</v>
      </c>
      <c r="I78" s="108">
        <v>336.01</v>
      </c>
      <c r="J78" s="108">
        <v>850.82</v>
      </c>
      <c r="K78" s="108">
        <v>404.74</v>
      </c>
      <c r="L78" s="108">
        <v>0</v>
      </c>
      <c r="M78" s="108">
        <v>260.17</v>
      </c>
      <c r="N78" s="108">
        <v>782.22</v>
      </c>
      <c r="O78" s="108">
        <v>438.92</v>
      </c>
      <c r="P78" s="108">
        <v>0</v>
      </c>
      <c r="Q78" s="108">
        <v>482.06</v>
      </c>
      <c r="R78" s="108">
        <v>0</v>
      </c>
      <c r="S78" s="108">
        <v>538.1</v>
      </c>
      <c r="T78" s="108">
        <v>1000</v>
      </c>
      <c r="U78" s="108">
        <v>421.23</v>
      </c>
      <c r="V78" s="108">
        <v>0</v>
      </c>
      <c r="W78" s="108">
        <v>367.56</v>
      </c>
      <c r="X78" s="108">
        <v>1000</v>
      </c>
      <c r="Y78" s="108">
        <v>283.72</v>
      </c>
      <c r="Z78" s="108">
        <v>0</v>
      </c>
      <c r="AA78" s="108">
        <v>280.29</v>
      </c>
      <c r="AB78" s="108"/>
      <c r="AC78" s="176">
        <f t="shared" si="6"/>
        <v>5429.21</v>
      </c>
      <c r="AD78" s="176">
        <f t="shared" si="7"/>
        <v>5573.04</v>
      </c>
      <c r="AE78" s="211">
        <f t="shared" si="8"/>
        <v>143.856872000001</v>
      </c>
      <c r="AF78" s="11"/>
    </row>
    <row r="79" s="4" customFormat="1" ht="35" customHeight="1" spans="1:32">
      <c r="A79" s="48">
        <v>76</v>
      </c>
      <c r="B79" s="48" t="s">
        <v>185</v>
      </c>
      <c r="C79" s="51" t="s">
        <v>186</v>
      </c>
      <c r="D79" s="75">
        <v>467.423708</v>
      </c>
      <c r="E79" s="48">
        <v>27.75</v>
      </c>
      <c r="F79" s="48"/>
      <c r="G79" s="48">
        <v>30.58</v>
      </c>
      <c r="H79" s="216"/>
      <c r="I79" s="108">
        <v>33.5</v>
      </c>
      <c r="J79" s="108">
        <v>115.5</v>
      </c>
      <c r="K79" s="108">
        <v>35.46</v>
      </c>
      <c r="L79" s="108">
        <v>0</v>
      </c>
      <c r="M79" s="108">
        <v>27.71</v>
      </c>
      <c r="N79" s="108">
        <v>0</v>
      </c>
      <c r="O79" s="108">
        <v>35.61</v>
      </c>
      <c r="P79" s="108">
        <v>0</v>
      </c>
      <c r="Q79" s="108">
        <v>47.53</v>
      </c>
      <c r="R79" s="108">
        <v>0</v>
      </c>
      <c r="S79" s="108">
        <v>83.79</v>
      </c>
      <c r="T79" s="108">
        <v>0</v>
      </c>
      <c r="U79" s="108">
        <v>65.45</v>
      </c>
      <c r="V79" s="108">
        <v>0</v>
      </c>
      <c r="W79" s="108">
        <v>50.92</v>
      </c>
      <c r="X79" s="108">
        <v>0</v>
      </c>
      <c r="Y79" s="108">
        <v>42.14</v>
      </c>
      <c r="Z79" s="108">
        <v>133.04</v>
      </c>
      <c r="AA79" s="108">
        <v>41.03</v>
      </c>
      <c r="AB79" s="108"/>
      <c r="AC79" s="176">
        <f t="shared" si="6"/>
        <v>521.47</v>
      </c>
      <c r="AD79" s="176">
        <f t="shared" si="7"/>
        <v>248.54</v>
      </c>
      <c r="AE79" s="211">
        <f t="shared" si="8"/>
        <v>194.493708</v>
      </c>
      <c r="AF79" s="11"/>
    </row>
    <row r="80" s="4" customFormat="1" ht="35" customHeight="1" spans="1:32">
      <c r="A80" s="48">
        <v>77</v>
      </c>
      <c r="B80" s="48" t="s">
        <v>187</v>
      </c>
      <c r="C80" s="213" t="s">
        <v>188</v>
      </c>
      <c r="D80" s="75">
        <v>890.560172000001</v>
      </c>
      <c r="E80" s="48">
        <v>287.83</v>
      </c>
      <c r="F80" s="48"/>
      <c r="G80" s="48">
        <v>377.12</v>
      </c>
      <c r="H80" s="216">
        <v>264.95</v>
      </c>
      <c r="I80" s="108">
        <v>236.99</v>
      </c>
      <c r="J80" s="108">
        <v>236.99</v>
      </c>
      <c r="K80" s="108">
        <v>183.89</v>
      </c>
      <c r="L80" s="108">
        <v>600</v>
      </c>
      <c r="M80" s="108">
        <v>147.11</v>
      </c>
      <c r="N80" s="108">
        <v>0</v>
      </c>
      <c r="O80" s="108">
        <v>187.82</v>
      </c>
      <c r="P80" s="108">
        <v>0</v>
      </c>
      <c r="Q80" s="108">
        <v>210.2</v>
      </c>
      <c r="R80" s="108">
        <v>133.04</v>
      </c>
      <c r="S80" s="108">
        <v>302.9</v>
      </c>
      <c r="T80" s="108">
        <v>0</v>
      </c>
      <c r="U80" s="108">
        <v>266.33</v>
      </c>
      <c r="V80" s="108">
        <v>49.07</v>
      </c>
      <c r="W80" s="108">
        <v>189.91</v>
      </c>
      <c r="X80" s="108">
        <v>189.91</v>
      </c>
      <c r="Y80" s="108">
        <v>194.49</v>
      </c>
      <c r="Z80" s="108">
        <v>194.49</v>
      </c>
      <c r="AA80" s="108">
        <v>145.28</v>
      </c>
      <c r="AB80" s="108">
        <v>145.28</v>
      </c>
      <c r="AC80" s="176">
        <f t="shared" si="6"/>
        <v>2729.87</v>
      </c>
      <c r="AD80" s="176">
        <f t="shared" si="7"/>
        <v>1813.73</v>
      </c>
      <c r="AE80" s="211">
        <f t="shared" si="8"/>
        <v>-25.579827999999</v>
      </c>
      <c r="AF80" s="11"/>
    </row>
    <row r="81" s="4" customFormat="1" ht="35" customHeight="1" spans="1:32">
      <c r="A81" s="48">
        <v>78</v>
      </c>
      <c r="B81" s="48" t="s">
        <v>189</v>
      </c>
      <c r="C81" s="51" t="s">
        <v>190</v>
      </c>
      <c r="D81" s="75">
        <v>-11.853141999999</v>
      </c>
      <c r="E81" s="48">
        <v>409.71</v>
      </c>
      <c r="F81" s="48">
        <v>409.71</v>
      </c>
      <c r="G81" s="48">
        <v>362.75</v>
      </c>
      <c r="H81" s="216"/>
      <c r="I81" s="108">
        <v>328.94</v>
      </c>
      <c r="J81" s="108">
        <v>0</v>
      </c>
      <c r="K81" s="108">
        <v>308.38</v>
      </c>
      <c r="L81" s="108">
        <v>0</v>
      </c>
      <c r="M81" s="108">
        <v>247.49</v>
      </c>
      <c r="N81" s="108">
        <v>1000.07</v>
      </c>
      <c r="O81" s="108">
        <v>336.15</v>
      </c>
      <c r="P81" s="108">
        <v>0</v>
      </c>
      <c r="Q81" s="108">
        <v>478.2</v>
      </c>
      <c r="R81" s="108">
        <v>1061.84</v>
      </c>
      <c r="S81" s="108">
        <v>645.72</v>
      </c>
      <c r="T81" s="108">
        <v>645.72</v>
      </c>
      <c r="U81" s="108">
        <v>353.36</v>
      </c>
      <c r="V81" s="108">
        <v>400</v>
      </c>
      <c r="W81" s="108">
        <v>346.27</v>
      </c>
      <c r="X81" s="108">
        <v>346.27</v>
      </c>
      <c r="Y81" s="108">
        <v>229.31</v>
      </c>
      <c r="Z81" s="108">
        <v>229.31</v>
      </c>
      <c r="AA81" s="108">
        <v>251.24</v>
      </c>
      <c r="AB81" s="108"/>
      <c r="AC81" s="176">
        <f t="shared" si="6"/>
        <v>4297.52</v>
      </c>
      <c r="AD81" s="176">
        <f t="shared" si="7"/>
        <v>4092.92</v>
      </c>
      <c r="AE81" s="211">
        <f t="shared" si="8"/>
        <v>-216.453141999999</v>
      </c>
      <c r="AF81" s="11"/>
    </row>
    <row r="82" s="4" customFormat="1" ht="35" customHeight="1" spans="1:32">
      <c r="A82" s="48">
        <v>79</v>
      </c>
      <c r="B82" s="48" t="s">
        <v>191</v>
      </c>
      <c r="C82" s="51" t="s">
        <v>192</v>
      </c>
      <c r="D82" s="75">
        <v>367.338872000001</v>
      </c>
      <c r="E82" s="48">
        <v>217.64</v>
      </c>
      <c r="F82" s="48">
        <v>217.64</v>
      </c>
      <c r="G82" s="48">
        <v>290.35</v>
      </c>
      <c r="H82" s="216">
        <v>290.35</v>
      </c>
      <c r="I82" s="108">
        <v>146.67</v>
      </c>
      <c r="J82" s="108">
        <v>146.67</v>
      </c>
      <c r="K82" s="108">
        <v>159.95</v>
      </c>
      <c r="L82" s="108">
        <v>159.95</v>
      </c>
      <c r="M82" s="108">
        <v>113.3</v>
      </c>
      <c r="N82" s="108">
        <v>113.3</v>
      </c>
      <c r="O82" s="108">
        <v>128.38</v>
      </c>
      <c r="P82" s="108">
        <v>128.38</v>
      </c>
      <c r="Q82" s="108">
        <v>177.12</v>
      </c>
      <c r="R82" s="108">
        <v>177.12</v>
      </c>
      <c r="S82" s="108">
        <v>238.56</v>
      </c>
      <c r="T82" s="108">
        <v>238.56</v>
      </c>
      <c r="U82" s="108">
        <v>169.99</v>
      </c>
      <c r="V82" s="108">
        <v>169.99</v>
      </c>
      <c r="W82" s="108">
        <v>110.33</v>
      </c>
      <c r="X82" s="108">
        <v>110.33</v>
      </c>
      <c r="Y82" s="108">
        <v>118.31</v>
      </c>
      <c r="Z82" s="108">
        <v>110.33</v>
      </c>
      <c r="AA82" s="108">
        <v>88.31</v>
      </c>
      <c r="AB82" s="108">
        <v>96.29</v>
      </c>
      <c r="AC82" s="176">
        <f t="shared" si="6"/>
        <v>1958.91</v>
      </c>
      <c r="AD82" s="176">
        <f t="shared" si="7"/>
        <v>1958.91</v>
      </c>
      <c r="AE82" s="211">
        <f t="shared" si="8"/>
        <v>367.338872000001</v>
      </c>
      <c r="AF82" s="11"/>
    </row>
    <row r="83" s="4" customFormat="1" ht="35" customHeight="1" spans="1:32">
      <c r="A83" s="48">
        <v>80</v>
      </c>
      <c r="B83" s="48" t="s">
        <v>193</v>
      </c>
      <c r="C83" s="51" t="s">
        <v>194</v>
      </c>
      <c r="D83" s="75">
        <v>290.75</v>
      </c>
      <c r="E83" s="48"/>
      <c r="F83" s="48"/>
      <c r="G83" s="48"/>
      <c r="H83" s="216"/>
      <c r="I83" s="108"/>
      <c r="J83" s="108">
        <v>0</v>
      </c>
      <c r="K83" s="108"/>
      <c r="L83" s="108">
        <v>0</v>
      </c>
      <c r="M83" s="108"/>
      <c r="N83" s="108">
        <v>0</v>
      </c>
      <c r="O83" s="108"/>
      <c r="P83" s="108">
        <v>0</v>
      </c>
      <c r="Q83" s="108"/>
      <c r="R83" s="108">
        <v>0</v>
      </c>
      <c r="S83" s="108"/>
      <c r="T83" s="108">
        <v>0</v>
      </c>
      <c r="U83" s="108"/>
      <c r="V83" s="108">
        <v>0</v>
      </c>
      <c r="W83" s="108"/>
      <c r="X83" s="108">
        <v>0</v>
      </c>
      <c r="Y83" s="108"/>
      <c r="Z83" s="108">
        <v>0</v>
      </c>
      <c r="AA83" s="108"/>
      <c r="AB83" s="108"/>
      <c r="AC83" s="176">
        <f t="shared" si="6"/>
        <v>0</v>
      </c>
      <c r="AD83" s="176">
        <f t="shared" si="7"/>
        <v>0</v>
      </c>
      <c r="AE83" s="211">
        <f t="shared" si="8"/>
        <v>290.75</v>
      </c>
      <c r="AF83" s="11"/>
    </row>
    <row r="84" s="4" customFormat="1" ht="35" customHeight="1" spans="1:32">
      <c r="A84" s="48">
        <v>81</v>
      </c>
      <c r="B84" s="48" t="s">
        <v>195</v>
      </c>
      <c r="C84" s="51" t="s">
        <v>196</v>
      </c>
      <c r="D84" s="75">
        <v>1194.388463</v>
      </c>
      <c r="E84" s="48">
        <v>276.95</v>
      </c>
      <c r="F84" s="48"/>
      <c r="G84" s="48">
        <v>304.72</v>
      </c>
      <c r="H84" s="216"/>
      <c r="I84" s="108">
        <v>199.99</v>
      </c>
      <c r="J84" s="108">
        <v>2790.82</v>
      </c>
      <c r="K84" s="108">
        <v>216.21</v>
      </c>
      <c r="L84" s="108">
        <v>0</v>
      </c>
      <c r="M84" s="108">
        <v>138.66</v>
      </c>
      <c r="N84" s="108">
        <v>0</v>
      </c>
      <c r="O84" s="108">
        <v>181.71</v>
      </c>
      <c r="P84" s="108">
        <v>0</v>
      </c>
      <c r="Q84" s="108">
        <v>177.12</v>
      </c>
      <c r="R84" s="108">
        <v>0</v>
      </c>
      <c r="S84" s="108">
        <v>260.75</v>
      </c>
      <c r="T84" s="108">
        <v>0</v>
      </c>
      <c r="U84" s="108">
        <v>172.18</v>
      </c>
      <c r="V84" s="108">
        <v>0</v>
      </c>
      <c r="W84" s="108">
        <v>120.41</v>
      </c>
      <c r="X84" s="108">
        <v>0</v>
      </c>
      <c r="Y84" s="108">
        <v>168.37</v>
      </c>
      <c r="Z84" s="108">
        <v>0</v>
      </c>
      <c r="AA84" s="108">
        <v>188.57</v>
      </c>
      <c r="AB84" s="108">
        <v>3000</v>
      </c>
      <c r="AC84" s="176">
        <f t="shared" si="6"/>
        <v>2405.64</v>
      </c>
      <c r="AD84" s="176">
        <f t="shared" si="7"/>
        <v>5790.82</v>
      </c>
      <c r="AE84" s="211">
        <f t="shared" si="8"/>
        <v>4579.568463</v>
      </c>
      <c r="AF84" s="11"/>
    </row>
    <row r="85" s="4" customFormat="1" ht="35" customHeight="1" spans="1:32">
      <c r="A85" s="48">
        <v>82</v>
      </c>
      <c r="B85" s="48" t="s">
        <v>197</v>
      </c>
      <c r="C85" s="51" t="s">
        <v>198</v>
      </c>
      <c r="D85" s="75">
        <v>122.424038</v>
      </c>
      <c r="E85" s="48">
        <v>142.01</v>
      </c>
      <c r="F85" s="48"/>
      <c r="G85" s="48">
        <v>164.33</v>
      </c>
      <c r="H85" s="216"/>
      <c r="I85" s="108">
        <v>216.86</v>
      </c>
      <c r="J85" s="108">
        <v>790.82</v>
      </c>
      <c r="K85" s="108">
        <v>166.53</v>
      </c>
      <c r="L85" s="108">
        <v>0</v>
      </c>
      <c r="M85" s="108">
        <v>134.43</v>
      </c>
      <c r="N85" s="108">
        <v>0</v>
      </c>
      <c r="O85" s="108">
        <v>113.38</v>
      </c>
      <c r="P85" s="108">
        <v>0</v>
      </c>
      <c r="Q85" s="108">
        <v>126.93</v>
      </c>
      <c r="R85" s="108">
        <v>0</v>
      </c>
      <c r="S85" s="108">
        <v>130.94</v>
      </c>
      <c r="T85" s="108">
        <v>633.04</v>
      </c>
      <c r="U85" s="108">
        <v>143.72</v>
      </c>
      <c r="V85" s="108">
        <v>0</v>
      </c>
      <c r="W85" s="108">
        <v>174.22</v>
      </c>
      <c r="X85" s="108">
        <v>0</v>
      </c>
      <c r="Y85" s="108">
        <v>172.18</v>
      </c>
      <c r="Z85" s="108">
        <v>0</v>
      </c>
      <c r="AA85" s="108">
        <v>189.71</v>
      </c>
      <c r="AB85" s="108"/>
      <c r="AC85" s="176">
        <f t="shared" si="6"/>
        <v>1875.24</v>
      </c>
      <c r="AD85" s="176">
        <f t="shared" si="7"/>
        <v>1423.86</v>
      </c>
      <c r="AE85" s="211">
        <f t="shared" si="8"/>
        <v>-328.955962</v>
      </c>
      <c r="AF85" s="11"/>
    </row>
    <row r="86" s="4" customFormat="1" ht="35" customHeight="1" spans="1:32">
      <c r="A86" s="48">
        <v>83</v>
      </c>
      <c r="B86" s="48" t="s">
        <v>199</v>
      </c>
      <c r="C86" s="51" t="s">
        <v>200</v>
      </c>
      <c r="D86" s="75">
        <v>461.527593</v>
      </c>
      <c r="E86" s="48">
        <v>149.08</v>
      </c>
      <c r="F86" s="48"/>
      <c r="G86" s="48">
        <v>116.25</v>
      </c>
      <c r="H86" s="216">
        <v>240</v>
      </c>
      <c r="I86" s="108">
        <v>170.61</v>
      </c>
      <c r="J86" s="108">
        <v>170.82</v>
      </c>
      <c r="K86" s="108">
        <v>171.32</v>
      </c>
      <c r="L86" s="108">
        <v>170</v>
      </c>
      <c r="M86" s="108">
        <v>121.22</v>
      </c>
      <c r="N86" s="108">
        <v>122.22</v>
      </c>
      <c r="O86" s="108">
        <v>147.82</v>
      </c>
      <c r="P86" s="108">
        <v>0</v>
      </c>
      <c r="Q86" s="108">
        <v>160.57</v>
      </c>
      <c r="R86" s="108">
        <v>305</v>
      </c>
      <c r="S86" s="108">
        <v>141.48</v>
      </c>
      <c r="T86" s="108">
        <v>141</v>
      </c>
      <c r="U86" s="108">
        <v>104.86</v>
      </c>
      <c r="V86" s="108">
        <v>150</v>
      </c>
      <c r="W86" s="108">
        <v>105.84</v>
      </c>
      <c r="X86" s="108">
        <v>0</v>
      </c>
      <c r="Y86" s="108">
        <v>99.27</v>
      </c>
      <c r="Z86" s="108">
        <v>300</v>
      </c>
      <c r="AA86" s="108">
        <v>114.52</v>
      </c>
      <c r="AB86" s="108"/>
      <c r="AC86" s="176">
        <f t="shared" si="6"/>
        <v>1602.84</v>
      </c>
      <c r="AD86" s="176">
        <f t="shared" si="7"/>
        <v>1599.04</v>
      </c>
      <c r="AE86" s="211">
        <f t="shared" si="8"/>
        <v>457.727593000001</v>
      </c>
      <c r="AF86" s="11"/>
    </row>
    <row r="87" s="4" customFormat="1" ht="35" customHeight="1" spans="1:32">
      <c r="A87" s="48">
        <v>84</v>
      </c>
      <c r="B87" s="48" t="s">
        <v>201</v>
      </c>
      <c r="C87" s="51" t="s">
        <v>202</v>
      </c>
      <c r="D87" s="75">
        <v>1678.979772</v>
      </c>
      <c r="E87" s="48">
        <v>364.55</v>
      </c>
      <c r="F87" s="48"/>
      <c r="G87" s="48">
        <v>358.88</v>
      </c>
      <c r="H87" s="216"/>
      <c r="I87" s="108">
        <v>306.63</v>
      </c>
      <c r="J87" s="108">
        <v>0</v>
      </c>
      <c r="K87" s="108">
        <v>272.47</v>
      </c>
      <c r="L87" s="108">
        <v>0</v>
      </c>
      <c r="M87" s="108">
        <v>221.61</v>
      </c>
      <c r="N87" s="108">
        <v>73.04</v>
      </c>
      <c r="O87" s="108">
        <v>219.49</v>
      </c>
      <c r="P87" s="108">
        <v>300.3</v>
      </c>
      <c r="Q87" s="108">
        <v>236.67</v>
      </c>
      <c r="R87" s="108">
        <v>36.67</v>
      </c>
      <c r="S87" s="108">
        <v>282.38</v>
      </c>
      <c r="T87" s="108">
        <v>500</v>
      </c>
      <c r="U87" s="108">
        <v>258.12</v>
      </c>
      <c r="V87" s="108">
        <v>940.5</v>
      </c>
      <c r="W87" s="108">
        <v>194.39</v>
      </c>
      <c r="X87" s="108">
        <v>0</v>
      </c>
      <c r="Y87" s="108">
        <v>209.72</v>
      </c>
      <c r="Z87" s="108">
        <v>0</v>
      </c>
      <c r="AA87" s="108">
        <v>191.99</v>
      </c>
      <c r="AB87" s="108"/>
      <c r="AC87" s="176">
        <f t="shared" si="6"/>
        <v>3116.9</v>
      </c>
      <c r="AD87" s="176">
        <f t="shared" si="7"/>
        <v>1850.51</v>
      </c>
      <c r="AE87" s="211">
        <f t="shared" si="8"/>
        <v>412.589772</v>
      </c>
      <c r="AF87" s="11"/>
    </row>
    <row r="88" s="4" customFormat="1" ht="35" customHeight="1" spans="1:32">
      <c r="A88" s="48">
        <v>85</v>
      </c>
      <c r="B88" s="48" t="s">
        <v>203</v>
      </c>
      <c r="C88" s="51" t="s">
        <v>204</v>
      </c>
      <c r="D88" s="75">
        <v>959.109868</v>
      </c>
      <c r="E88" s="48">
        <v>94.67</v>
      </c>
      <c r="F88" s="48"/>
      <c r="G88" s="48">
        <v>143.88</v>
      </c>
      <c r="H88" s="216"/>
      <c r="I88" s="108">
        <v>92.8</v>
      </c>
      <c r="J88" s="108">
        <v>0</v>
      </c>
      <c r="K88" s="108">
        <v>111.47</v>
      </c>
      <c r="L88" s="108">
        <v>0</v>
      </c>
      <c r="M88" s="108">
        <v>90.58</v>
      </c>
      <c r="N88" s="108">
        <v>73.04</v>
      </c>
      <c r="O88" s="108">
        <v>105.6</v>
      </c>
      <c r="P88" s="108">
        <v>0</v>
      </c>
      <c r="Q88" s="108">
        <v>117.56</v>
      </c>
      <c r="R88" s="108">
        <v>0</v>
      </c>
      <c r="S88" s="108">
        <v>129.28</v>
      </c>
      <c r="T88" s="108">
        <v>126.93</v>
      </c>
      <c r="U88" s="108">
        <v>110.33</v>
      </c>
      <c r="V88" s="108">
        <v>110.33</v>
      </c>
      <c r="W88" s="108">
        <v>105.84</v>
      </c>
      <c r="X88" s="108">
        <v>105.84</v>
      </c>
      <c r="Y88" s="108">
        <v>117.23</v>
      </c>
      <c r="Z88" s="108">
        <v>117.23</v>
      </c>
      <c r="AA88" s="108">
        <v>90.59</v>
      </c>
      <c r="AB88" s="108">
        <v>90.59</v>
      </c>
      <c r="AC88" s="176">
        <f t="shared" si="6"/>
        <v>1309.83</v>
      </c>
      <c r="AD88" s="176">
        <f t="shared" si="7"/>
        <v>623.96</v>
      </c>
      <c r="AE88" s="211">
        <f t="shared" si="8"/>
        <v>273.239867999999</v>
      </c>
      <c r="AF88" s="11"/>
    </row>
    <row r="89" s="4" customFormat="1" ht="35" customHeight="1" spans="1:32">
      <c r="A89" s="48">
        <v>86</v>
      </c>
      <c r="B89" s="48" t="s">
        <v>205</v>
      </c>
      <c r="C89" s="51" t="s">
        <v>206</v>
      </c>
      <c r="D89" s="75">
        <v>960.564108</v>
      </c>
      <c r="E89" s="48">
        <v>367.81</v>
      </c>
      <c r="F89" s="48"/>
      <c r="G89" s="48">
        <v>252.77</v>
      </c>
      <c r="H89" s="216"/>
      <c r="I89" s="108">
        <v>356.15</v>
      </c>
      <c r="J89" s="108">
        <v>0</v>
      </c>
      <c r="K89" s="108">
        <v>338.31</v>
      </c>
      <c r="L89" s="108">
        <v>1073.04</v>
      </c>
      <c r="M89" s="108">
        <v>240.1</v>
      </c>
      <c r="N89" s="108">
        <v>0</v>
      </c>
      <c r="O89" s="108">
        <v>291.15</v>
      </c>
      <c r="P89" s="108">
        <v>0</v>
      </c>
      <c r="Q89" s="108">
        <v>290.71</v>
      </c>
      <c r="R89" s="108">
        <v>0</v>
      </c>
      <c r="S89" s="108">
        <v>315.11</v>
      </c>
      <c r="T89" s="108">
        <v>1500</v>
      </c>
      <c r="U89" s="108">
        <v>273.45</v>
      </c>
      <c r="V89" s="108">
        <v>0</v>
      </c>
      <c r="W89" s="108">
        <v>254.92</v>
      </c>
      <c r="X89" s="108">
        <v>0</v>
      </c>
      <c r="Y89" s="108">
        <v>278.28</v>
      </c>
      <c r="Z89" s="108">
        <v>0</v>
      </c>
      <c r="AA89" s="108">
        <v>305.36</v>
      </c>
      <c r="AB89" s="108">
        <v>300</v>
      </c>
      <c r="AC89" s="176">
        <f t="shared" si="6"/>
        <v>3564.12</v>
      </c>
      <c r="AD89" s="176">
        <f t="shared" si="7"/>
        <v>2873.04</v>
      </c>
      <c r="AE89" s="211">
        <f t="shared" si="8"/>
        <v>269.484107999999</v>
      </c>
      <c r="AF89" s="11"/>
    </row>
    <row r="90" s="4" customFormat="1" ht="35" customHeight="1" spans="1:32">
      <c r="A90" s="48">
        <v>87</v>
      </c>
      <c r="B90" s="48" t="s">
        <v>207</v>
      </c>
      <c r="C90" s="51" t="s">
        <v>208</v>
      </c>
      <c r="D90" s="75">
        <v>535.857272</v>
      </c>
      <c r="E90" s="48">
        <v>164.32</v>
      </c>
      <c r="F90" s="48"/>
      <c r="G90" s="48">
        <v>182.02</v>
      </c>
      <c r="H90" s="216">
        <v>98.69</v>
      </c>
      <c r="I90" s="108">
        <v>127.62</v>
      </c>
      <c r="J90" s="108">
        <v>127.62</v>
      </c>
      <c r="K90" s="108">
        <v>128.83</v>
      </c>
      <c r="L90" s="108">
        <v>128.83</v>
      </c>
      <c r="M90" s="108">
        <v>117</v>
      </c>
      <c r="N90" s="108">
        <v>117</v>
      </c>
      <c r="O90" s="108">
        <v>265.6</v>
      </c>
      <c r="P90" s="108">
        <v>265.6</v>
      </c>
      <c r="Q90" s="108">
        <v>372.88</v>
      </c>
      <c r="R90" s="108">
        <v>372.88</v>
      </c>
      <c r="S90" s="108">
        <v>458.78</v>
      </c>
      <c r="T90" s="108">
        <v>458.78</v>
      </c>
      <c r="U90" s="108">
        <v>399.89</v>
      </c>
      <c r="V90" s="108">
        <v>399.89</v>
      </c>
      <c r="W90" s="108">
        <v>311.52</v>
      </c>
      <c r="X90" s="108">
        <v>311.52</v>
      </c>
      <c r="Y90" s="108">
        <v>167.83</v>
      </c>
      <c r="Z90" s="108">
        <v>167.83</v>
      </c>
      <c r="AA90" s="108">
        <v>95.72</v>
      </c>
      <c r="AB90" s="108">
        <v>95.72</v>
      </c>
      <c r="AC90" s="176">
        <f t="shared" si="6"/>
        <v>2792.01</v>
      </c>
      <c r="AD90" s="176">
        <f t="shared" si="7"/>
        <v>2544.36</v>
      </c>
      <c r="AE90" s="211">
        <f t="shared" si="8"/>
        <v>288.207272</v>
      </c>
      <c r="AF90" s="11"/>
    </row>
    <row r="91" s="4" customFormat="1" ht="35" customHeight="1" spans="1:32">
      <c r="A91" s="48">
        <v>88</v>
      </c>
      <c r="B91" s="48" t="s">
        <v>209</v>
      </c>
      <c r="C91" s="51" t="s">
        <v>210</v>
      </c>
      <c r="D91" s="75">
        <v>-20.2702169999993</v>
      </c>
      <c r="E91" s="48">
        <v>398.83</v>
      </c>
      <c r="F91" s="48">
        <v>390</v>
      </c>
      <c r="G91" s="48">
        <v>247.24</v>
      </c>
      <c r="H91" s="216"/>
      <c r="I91" s="108">
        <v>331.66</v>
      </c>
      <c r="J91" s="108">
        <v>550.82</v>
      </c>
      <c r="K91" s="108">
        <v>355.66</v>
      </c>
      <c r="L91" s="108">
        <v>132.22</v>
      </c>
      <c r="M91" s="108">
        <v>228.47</v>
      </c>
      <c r="N91" s="108">
        <v>230</v>
      </c>
      <c r="O91" s="108">
        <v>311.15</v>
      </c>
      <c r="P91" s="108">
        <v>710</v>
      </c>
      <c r="Q91" s="108">
        <v>278.03</v>
      </c>
      <c r="R91" s="108">
        <v>0</v>
      </c>
      <c r="S91" s="108">
        <v>427.71</v>
      </c>
      <c r="T91" s="108">
        <v>1510</v>
      </c>
      <c r="U91" s="108">
        <v>304.65</v>
      </c>
      <c r="V91" s="108">
        <v>0</v>
      </c>
      <c r="W91" s="108">
        <v>239.22</v>
      </c>
      <c r="X91" s="108">
        <v>0</v>
      </c>
      <c r="Y91" s="108">
        <v>228.22</v>
      </c>
      <c r="Z91" s="108">
        <v>0</v>
      </c>
      <c r="AA91" s="108">
        <v>300.23</v>
      </c>
      <c r="AB91" s="108">
        <v>500</v>
      </c>
      <c r="AC91" s="176">
        <f t="shared" si="6"/>
        <v>3651.07</v>
      </c>
      <c r="AD91" s="176">
        <f t="shared" si="7"/>
        <v>4023.04</v>
      </c>
      <c r="AE91" s="211">
        <f t="shared" si="8"/>
        <v>351.699783000001</v>
      </c>
      <c r="AF91" s="11"/>
    </row>
    <row r="92" s="4" customFormat="1" ht="35" customHeight="1" spans="1:32">
      <c r="A92" s="48">
        <v>89</v>
      </c>
      <c r="B92" s="48" t="s">
        <v>211</v>
      </c>
      <c r="C92" s="51" t="s">
        <v>212</v>
      </c>
      <c r="D92" s="75">
        <v>92.4318280000002</v>
      </c>
      <c r="E92" s="48">
        <v>287.28</v>
      </c>
      <c r="F92" s="48">
        <v>287.28</v>
      </c>
      <c r="G92" s="48">
        <v>310.8</v>
      </c>
      <c r="H92" s="216">
        <v>310.8</v>
      </c>
      <c r="I92" s="108">
        <v>248.96</v>
      </c>
      <c r="J92" s="108">
        <v>248.96</v>
      </c>
      <c r="K92" s="108">
        <v>253.32</v>
      </c>
      <c r="L92" s="108">
        <v>253.32</v>
      </c>
      <c r="M92" s="108">
        <v>164.55</v>
      </c>
      <c r="N92" s="108">
        <v>164.55</v>
      </c>
      <c r="O92" s="108">
        <v>216.71</v>
      </c>
      <c r="P92" s="108">
        <v>216.71</v>
      </c>
      <c r="Q92" s="108">
        <v>266.45</v>
      </c>
      <c r="R92" s="108">
        <v>266.45</v>
      </c>
      <c r="S92" s="108">
        <v>321.21</v>
      </c>
      <c r="T92" s="108">
        <v>321.21</v>
      </c>
      <c r="U92" s="108">
        <v>255.38</v>
      </c>
      <c r="V92" s="108">
        <v>255.38</v>
      </c>
      <c r="W92" s="108">
        <v>203.92</v>
      </c>
      <c r="X92" s="108">
        <v>203.92</v>
      </c>
      <c r="Y92" s="108">
        <v>195.03</v>
      </c>
      <c r="Z92" s="108">
        <v>195.03</v>
      </c>
      <c r="AA92" s="108">
        <v>194.27</v>
      </c>
      <c r="AB92" s="108">
        <v>194.27</v>
      </c>
      <c r="AC92" s="176">
        <f t="shared" si="6"/>
        <v>2917.88</v>
      </c>
      <c r="AD92" s="176">
        <f t="shared" si="7"/>
        <v>2917.88</v>
      </c>
      <c r="AE92" s="211">
        <f t="shared" si="8"/>
        <v>92.4318280000002</v>
      </c>
      <c r="AF92" s="11"/>
    </row>
    <row r="93" s="4" customFormat="1" ht="35" customHeight="1" spans="1:32">
      <c r="A93" s="48">
        <v>90</v>
      </c>
      <c r="B93" s="48" t="s">
        <v>213</v>
      </c>
      <c r="C93" s="51" t="s">
        <v>214</v>
      </c>
      <c r="D93" s="75">
        <v>611.239672000001</v>
      </c>
      <c r="E93" s="48">
        <v>140.92</v>
      </c>
      <c r="F93" s="48"/>
      <c r="G93" s="48">
        <v>253.87</v>
      </c>
      <c r="H93" s="216"/>
      <c r="I93" s="108">
        <v>149.93</v>
      </c>
      <c r="J93" s="108">
        <v>790.82</v>
      </c>
      <c r="K93" s="108">
        <v>121.05</v>
      </c>
      <c r="L93" s="108"/>
      <c r="M93" s="108">
        <v>143.94</v>
      </c>
      <c r="N93" s="108"/>
      <c r="O93" s="108">
        <v>198.93</v>
      </c>
      <c r="P93" s="108">
        <v>517.72</v>
      </c>
      <c r="Q93" s="108">
        <v>316.08</v>
      </c>
      <c r="R93" s="108"/>
      <c r="S93" s="108">
        <v>461.55</v>
      </c>
      <c r="T93" s="108">
        <v>0</v>
      </c>
      <c r="U93" s="108">
        <v>308.48</v>
      </c>
      <c r="V93" s="108">
        <v>633.04</v>
      </c>
      <c r="W93" s="108">
        <v>202.24</v>
      </c>
      <c r="X93" s="108">
        <v>0</v>
      </c>
      <c r="Y93" s="108">
        <v>145.52</v>
      </c>
      <c r="Z93" s="108">
        <v>0</v>
      </c>
      <c r="AA93" s="108">
        <v>143</v>
      </c>
      <c r="AB93" s="108"/>
      <c r="AC93" s="176">
        <f t="shared" si="6"/>
        <v>2585.51</v>
      </c>
      <c r="AD93" s="176">
        <f t="shared" si="7"/>
        <v>1941.58</v>
      </c>
      <c r="AE93" s="211">
        <f t="shared" si="8"/>
        <v>-32.6903279999992</v>
      </c>
      <c r="AF93" s="11"/>
    </row>
    <row r="94" s="4" customFormat="1" ht="35" customHeight="1" spans="1:32">
      <c r="A94" s="48">
        <v>91</v>
      </c>
      <c r="B94" s="48" t="s">
        <v>215</v>
      </c>
      <c r="C94" s="51" t="s">
        <v>216</v>
      </c>
      <c r="D94" s="75">
        <v>336.384648</v>
      </c>
      <c r="E94" s="48">
        <v>168.13</v>
      </c>
      <c r="F94" s="48"/>
      <c r="G94" s="48">
        <v>136.15</v>
      </c>
      <c r="H94" s="216">
        <v>240</v>
      </c>
      <c r="I94" s="108">
        <v>127.62</v>
      </c>
      <c r="J94" s="108">
        <v>150.82</v>
      </c>
      <c r="K94" s="108">
        <v>131.22</v>
      </c>
      <c r="L94" s="108"/>
      <c r="M94" s="108">
        <v>110.66</v>
      </c>
      <c r="N94" s="108">
        <v>232.22</v>
      </c>
      <c r="O94" s="108">
        <v>122.83</v>
      </c>
      <c r="P94" s="108"/>
      <c r="Q94" s="108">
        <v>180.42</v>
      </c>
      <c r="R94" s="108"/>
      <c r="S94" s="108">
        <v>218.03</v>
      </c>
      <c r="T94" s="108">
        <v>500</v>
      </c>
      <c r="U94" s="108">
        <v>225.83</v>
      </c>
      <c r="V94" s="108">
        <v>300</v>
      </c>
      <c r="W94" s="108">
        <v>120.98</v>
      </c>
      <c r="X94" s="108">
        <v>0</v>
      </c>
      <c r="Y94" s="108">
        <v>93.29</v>
      </c>
      <c r="Z94" s="108">
        <v>300</v>
      </c>
      <c r="AA94" s="108">
        <v>104.83</v>
      </c>
      <c r="AB94" s="108"/>
      <c r="AC94" s="176">
        <f t="shared" si="6"/>
        <v>1739.99</v>
      </c>
      <c r="AD94" s="176">
        <f t="shared" si="7"/>
        <v>1723.04</v>
      </c>
      <c r="AE94" s="211">
        <f t="shared" si="8"/>
        <v>319.434648</v>
      </c>
      <c r="AF94" s="11"/>
    </row>
    <row r="95" s="4" customFormat="1" ht="35" customHeight="1" spans="1:32">
      <c r="A95" s="48">
        <v>92</v>
      </c>
      <c r="B95" s="48" t="s">
        <v>217</v>
      </c>
      <c r="C95" s="51" t="s">
        <v>218</v>
      </c>
      <c r="D95" s="75">
        <v>614.679872</v>
      </c>
      <c r="E95" s="48">
        <v>229.07</v>
      </c>
      <c r="F95" s="48"/>
      <c r="G95" s="48">
        <v>184.23</v>
      </c>
      <c r="H95" s="216">
        <v>24.75</v>
      </c>
      <c r="I95" s="108">
        <v>162.45</v>
      </c>
      <c r="J95" s="108">
        <v>1850.82</v>
      </c>
      <c r="K95" s="108">
        <v>134.21</v>
      </c>
      <c r="L95" s="108"/>
      <c r="M95" s="108">
        <v>78.43</v>
      </c>
      <c r="N95" s="108"/>
      <c r="O95" s="108">
        <v>83.94</v>
      </c>
      <c r="P95" s="108"/>
      <c r="Q95" s="108">
        <v>104.32</v>
      </c>
      <c r="R95" s="108"/>
      <c r="S95" s="108">
        <v>144.81</v>
      </c>
      <c r="T95" s="108"/>
      <c r="U95" s="108">
        <v>149.19</v>
      </c>
      <c r="V95" s="108">
        <v>0</v>
      </c>
      <c r="W95" s="108">
        <v>108.09</v>
      </c>
      <c r="X95" s="108">
        <v>0</v>
      </c>
      <c r="Y95" s="108">
        <v>106.34</v>
      </c>
      <c r="Z95" s="108">
        <v>0</v>
      </c>
      <c r="AA95" s="108">
        <v>92.3</v>
      </c>
      <c r="AB95" s="108"/>
      <c r="AC95" s="176">
        <f t="shared" si="6"/>
        <v>1577.38</v>
      </c>
      <c r="AD95" s="176">
        <f t="shared" si="7"/>
        <v>1875.57</v>
      </c>
      <c r="AE95" s="211">
        <f t="shared" si="8"/>
        <v>912.869872</v>
      </c>
      <c r="AF95" s="11"/>
    </row>
    <row r="96" s="4" customFormat="1" ht="35" customHeight="1" spans="1:32">
      <c r="A96" s="48">
        <v>93</v>
      </c>
      <c r="B96" s="48" t="s">
        <v>219</v>
      </c>
      <c r="C96" s="51" t="s">
        <v>220</v>
      </c>
      <c r="D96" s="75">
        <v>-177.915982</v>
      </c>
      <c r="E96" s="48">
        <v>219.82</v>
      </c>
      <c r="F96" s="48">
        <v>1940</v>
      </c>
      <c r="G96" s="48">
        <v>198.05</v>
      </c>
      <c r="H96" s="216"/>
      <c r="I96" s="108">
        <v>201.62</v>
      </c>
      <c r="J96" s="108">
        <v>0</v>
      </c>
      <c r="K96" s="108">
        <v>152.17</v>
      </c>
      <c r="L96" s="108"/>
      <c r="M96" s="108">
        <v>124.92</v>
      </c>
      <c r="N96" s="108"/>
      <c r="O96" s="108">
        <v>152.82</v>
      </c>
      <c r="P96" s="108"/>
      <c r="Q96" s="108">
        <v>167.19</v>
      </c>
      <c r="R96" s="108"/>
      <c r="S96" s="108">
        <v>231.35</v>
      </c>
      <c r="T96" s="108"/>
      <c r="U96" s="108">
        <v>304.1</v>
      </c>
      <c r="V96" s="108">
        <v>517.72</v>
      </c>
      <c r="W96" s="108">
        <v>147.32</v>
      </c>
      <c r="X96" s="108">
        <v>0</v>
      </c>
      <c r="Y96" s="108">
        <v>146.06</v>
      </c>
      <c r="Z96" s="108">
        <v>0</v>
      </c>
      <c r="AA96" s="108">
        <v>158.95</v>
      </c>
      <c r="AB96" s="108"/>
      <c r="AC96" s="176">
        <f t="shared" si="6"/>
        <v>2204.37</v>
      </c>
      <c r="AD96" s="176">
        <f t="shared" si="7"/>
        <v>2457.72</v>
      </c>
      <c r="AE96" s="211">
        <f t="shared" si="8"/>
        <v>75.4340179999999</v>
      </c>
      <c r="AF96" s="11"/>
    </row>
    <row r="97" s="4" customFormat="1" ht="35" customHeight="1" spans="1:32">
      <c r="A97" s="48">
        <v>94</v>
      </c>
      <c r="B97" s="48" t="s">
        <v>221</v>
      </c>
      <c r="C97" s="51" t="s">
        <v>222</v>
      </c>
      <c r="D97" s="75">
        <v>-209.417636999999</v>
      </c>
      <c r="E97" s="48">
        <v>263.89</v>
      </c>
      <c r="F97" s="48">
        <v>250</v>
      </c>
      <c r="G97" s="48">
        <v>203.02</v>
      </c>
      <c r="H97" s="216">
        <v>200</v>
      </c>
      <c r="I97" s="108">
        <v>239.71</v>
      </c>
      <c r="J97" s="108">
        <v>250.82</v>
      </c>
      <c r="K97" s="108">
        <v>209.63</v>
      </c>
      <c r="L97" s="108"/>
      <c r="M97" s="108">
        <v>170.36</v>
      </c>
      <c r="N97" s="108">
        <v>382.22</v>
      </c>
      <c r="O97" s="108">
        <v>176.16</v>
      </c>
      <c r="P97" s="108">
        <v>200</v>
      </c>
      <c r="Q97" s="108">
        <v>184.28</v>
      </c>
      <c r="R97" s="108">
        <v>200</v>
      </c>
      <c r="S97" s="108">
        <v>232.46</v>
      </c>
      <c r="T97" s="108">
        <v>300</v>
      </c>
      <c r="U97" s="108">
        <v>206.67</v>
      </c>
      <c r="V97" s="108">
        <v>100</v>
      </c>
      <c r="W97" s="108">
        <v>155.16</v>
      </c>
      <c r="X97" s="108">
        <v>150</v>
      </c>
      <c r="Y97" s="108">
        <v>187.96</v>
      </c>
      <c r="Z97" s="108">
        <v>200</v>
      </c>
      <c r="AA97" s="108">
        <v>173.19</v>
      </c>
      <c r="AB97" s="108">
        <v>200</v>
      </c>
      <c r="AC97" s="176">
        <f t="shared" si="6"/>
        <v>2402.49</v>
      </c>
      <c r="AD97" s="176">
        <f t="shared" si="7"/>
        <v>2433.04</v>
      </c>
      <c r="AE97" s="211">
        <f t="shared" si="8"/>
        <v>-178.867636999999</v>
      </c>
      <c r="AF97" s="11"/>
    </row>
    <row r="98" s="4" customFormat="1" ht="35" customHeight="1" spans="1:32">
      <c r="A98" s="48">
        <v>95</v>
      </c>
      <c r="B98" s="48" t="s">
        <v>223</v>
      </c>
      <c r="C98" s="51" t="s">
        <v>224</v>
      </c>
      <c r="D98" s="75">
        <v>228.071423</v>
      </c>
      <c r="E98" s="48">
        <v>61.48</v>
      </c>
      <c r="F98" s="48">
        <v>440</v>
      </c>
      <c r="G98" s="48">
        <v>58.77</v>
      </c>
      <c r="H98" s="216"/>
      <c r="I98" s="108">
        <v>50.36</v>
      </c>
      <c r="J98" s="108">
        <v>0</v>
      </c>
      <c r="K98" s="108">
        <v>84.54</v>
      </c>
      <c r="L98" s="108"/>
      <c r="M98" s="108">
        <v>63.11</v>
      </c>
      <c r="N98" s="108">
        <v>433.04</v>
      </c>
      <c r="O98" s="108">
        <v>105.05</v>
      </c>
      <c r="P98" s="108"/>
      <c r="Q98" s="108">
        <v>145.13</v>
      </c>
      <c r="R98" s="108"/>
      <c r="S98" s="108">
        <v>158.68</v>
      </c>
      <c r="T98" s="108"/>
      <c r="U98" s="108">
        <v>270.71</v>
      </c>
      <c r="V98" s="108">
        <v>500</v>
      </c>
      <c r="W98" s="108">
        <v>96.32</v>
      </c>
      <c r="X98" s="108">
        <v>0</v>
      </c>
      <c r="Y98" s="108">
        <v>78.6</v>
      </c>
      <c r="Z98" s="108">
        <v>0</v>
      </c>
      <c r="AA98" s="108">
        <v>79.2</v>
      </c>
      <c r="AB98" s="108"/>
      <c r="AC98" s="176">
        <f t="shared" si="6"/>
        <v>1251.95</v>
      </c>
      <c r="AD98" s="176">
        <f t="shared" si="7"/>
        <v>1373.04</v>
      </c>
      <c r="AE98" s="211">
        <f t="shared" si="8"/>
        <v>349.161423</v>
      </c>
      <c r="AF98" s="11"/>
    </row>
    <row r="99" s="4" customFormat="1" ht="35" customHeight="1" spans="1:32">
      <c r="A99" s="48">
        <v>96</v>
      </c>
      <c r="B99" s="48" t="s">
        <v>225</v>
      </c>
      <c r="C99" s="51" t="s">
        <v>226</v>
      </c>
      <c r="D99" s="75">
        <v>962.194772000001</v>
      </c>
      <c r="E99" s="48">
        <v>205.67</v>
      </c>
      <c r="F99" s="48"/>
      <c r="G99" s="48">
        <v>138.36</v>
      </c>
      <c r="H99" s="216">
        <v>240</v>
      </c>
      <c r="I99" s="108">
        <v>145.04</v>
      </c>
      <c r="J99" s="108">
        <v>150.82</v>
      </c>
      <c r="K99" s="108">
        <v>167.73</v>
      </c>
      <c r="L99" s="108"/>
      <c r="M99" s="108">
        <v>116.47</v>
      </c>
      <c r="N99" s="108">
        <v>282.22</v>
      </c>
      <c r="O99" s="108">
        <v>206.71</v>
      </c>
      <c r="P99" s="108"/>
      <c r="Q99" s="108">
        <v>279.68</v>
      </c>
      <c r="R99" s="108">
        <v>500</v>
      </c>
      <c r="S99" s="108">
        <v>427.16</v>
      </c>
      <c r="T99" s="108">
        <v>800</v>
      </c>
      <c r="U99" s="108">
        <v>424.52</v>
      </c>
      <c r="V99" s="108">
        <v>0</v>
      </c>
      <c r="W99" s="108">
        <v>250.43</v>
      </c>
      <c r="X99" s="108">
        <v>500</v>
      </c>
      <c r="Y99" s="108">
        <v>155.31</v>
      </c>
      <c r="Z99" s="108">
        <v>0</v>
      </c>
      <c r="AA99" s="108">
        <v>160.66</v>
      </c>
      <c r="AB99" s="108"/>
      <c r="AC99" s="176">
        <f t="shared" si="6"/>
        <v>2677.74</v>
      </c>
      <c r="AD99" s="176">
        <f t="shared" si="7"/>
        <v>2473.04</v>
      </c>
      <c r="AE99" s="211">
        <f t="shared" si="8"/>
        <v>757.494772000001</v>
      </c>
      <c r="AF99" s="11"/>
    </row>
    <row r="100" s="4" customFormat="1" ht="35" customHeight="1" spans="1:32">
      <c r="A100" s="48">
        <v>97</v>
      </c>
      <c r="B100" s="48" t="s">
        <v>227</v>
      </c>
      <c r="C100" s="51" t="s">
        <v>228</v>
      </c>
      <c r="D100" s="75">
        <v>808.500788</v>
      </c>
      <c r="E100" s="48">
        <v>83.79</v>
      </c>
      <c r="F100" s="48"/>
      <c r="G100" s="48">
        <v>81.43</v>
      </c>
      <c r="H100" s="216"/>
      <c r="I100" s="108">
        <v>63.96</v>
      </c>
      <c r="J100" s="108">
        <v>0</v>
      </c>
      <c r="K100" s="108">
        <v>61.19</v>
      </c>
      <c r="L100" s="108">
        <v>73.04</v>
      </c>
      <c r="M100" s="108">
        <v>76.85</v>
      </c>
      <c r="N100" s="108"/>
      <c r="O100" s="108">
        <v>73.94</v>
      </c>
      <c r="P100" s="108"/>
      <c r="Q100" s="108">
        <v>89.44</v>
      </c>
      <c r="R100" s="108"/>
      <c r="S100" s="108">
        <v>122.62</v>
      </c>
      <c r="T100" s="108">
        <v>80.18</v>
      </c>
      <c r="U100" s="108">
        <v>81.32</v>
      </c>
      <c r="V100" s="108">
        <v>500</v>
      </c>
      <c r="W100" s="108">
        <v>59.89</v>
      </c>
      <c r="X100" s="108">
        <v>0</v>
      </c>
      <c r="Y100" s="108">
        <v>64.45</v>
      </c>
      <c r="Z100" s="108">
        <v>0</v>
      </c>
      <c r="AA100" s="108">
        <v>15.39</v>
      </c>
      <c r="AB100" s="108"/>
      <c r="AC100" s="176">
        <f t="shared" si="6"/>
        <v>874.27</v>
      </c>
      <c r="AD100" s="176">
        <f t="shared" si="7"/>
        <v>653.22</v>
      </c>
      <c r="AE100" s="211">
        <f t="shared" si="8"/>
        <v>587.450788</v>
      </c>
      <c r="AF100" s="11"/>
    </row>
    <row r="101" s="4" customFormat="1" ht="35" customHeight="1" spans="1:32">
      <c r="A101" s="48">
        <v>98</v>
      </c>
      <c r="B101" s="48" t="s">
        <v>229</v>
      </c>
      <c r="C101" s="51" t="s">
        <v>230</v>
      </c>
      <c r="D101" s="75">
        <v>159.888672</v>
      </c>
      <c r="E101" s="48">
        <v>185.54</v>
      </c>
      <c r="F101" s="48">
        <v>185.54</v>
      </c>
      <c r="G101" s="48">
        <v>196.39</v>
      </c>
      <c r="H101" s="216">
        <v>196.39</v>
      </c>
      <c r="I101" s="108">
        <v>164.62</v>
      </c>
      <c r="J101" s="108">
        <v>164.62</v>
      </c>
      <c r="K101" s="108">
        <v>127.63</v>
      </c>
      <c r="L101" s="108">
        <v>127.63</v>
      </c>
      <c r="M101" s="108">
        <v>93.22</v>
      </c>
      <c r="N101" s="108">
        <v>93.22</v>
      </c>
      <c r="O101" s="108">
        <v>125.05</v>
      </c>
      <c r="P101" s="108">
        <v>125.05</v>
      </c>
      <c r="Q101" s="108">
        <v>169.95</v>
      </c>
      <c r="R101" s="108">
        <v>169.95</v>
      </c>
      <c r="S101" s="108">
        <v>185.31</v>
      </c>
      <c r="T101" s="108">
        <v>185.31</v>
      </c>
      <c r="U101" s="108">
        <v>142.63</v>
      </c>
      <c r="V101" s="108">
        <v>142.63</v>
      </c>
      <c r="W101" s="108">
        <v>123.78</v>
      </c>
      <c r="X101" s="108">
        <v>123.78</v>
      </c>
      <c r="Y101" s="108">
        <v>106.34</v>
      </c>
      <c r="Z101" s="108">
        <v>106.34</v>
      </c>
      <c r="AA101" s="108">
        <v>121.92</v>
      </c>
      <c r="AB101" s="108">
        <v>121.92</v>
      </c>
      <c r="AC101" s="176">
        <f t="shared" ref="AC101:AC135" si="9">E101+G101+I101+K101+M101+O101+Q101+S101+U101+W101+Y101+AA101</f>
        <v>1742.38</v>
      </c>
      <c r="AD101" s="176">
        <f t="shared" ref="AD101:AD135" si="10">F101+H101+J101+L101+N101+P101+R101+T101+V101+X101+Z101+AB101</f>
        <v>1742.38</v>
      </c>
      <c r="AE101" s="211">
        <f t="shared" ref="AE101:AE135" si="11">D101+AD101-AC101</f>
        <v>159.888672</v>
      </c>
      <c r="AF101" s="11"/>
    </row>
    <row r="102" s="4" customFormat="1" ht="35" customHeight="1" spans="1:32">
      <c r="A102" s="48">
        <v>99</v>
      </c>
      <c r="B102" s="48" t="s">
        <v>231</v>
      </c>
      <c r="C102" s="51" t="s">
        <v>232</v>
      </c>
      <c r="D102" s="75">
        <v>338.810672000001</v>
      </c>
      <c r="E102" s="48">
        <v>263.34</v>
      </c>
      <c r="F102" s="48">
        <v>263.34</v>
      </c>
      <c r="G102" s="48">
        <v>192.52</v>
      </c>
      <c r="H102" s="216">
        <v>192.52</v>
      </c>
      <c r="I102" s="108">
        <v>133.07</v>
      </c>
      <c r="J102" s="108">
        <v>133.07</v>
      </c>
      <c r="K102" s="108">
        <v>167.73</v>
      </c>
      <c r="L102" s="108">
        <v>167.73</v>
      </c>
      <c r="M102" s="108">
        <v>102.73</v>
      </c>
      <c r="N102" s="108">
        <v>102.73</v>
      </c>
      <c r="O102" s="108">
        <v>135.6</v>
      </c>
      <c r="P102" s="108">
        <v>135.6</v>
      </c>
      <c r="Q102" s="108">
        <v>128.04</v>
      </c>
      <c r="R102" s="108">
        <v>128.04</v>
      </c>
      <c r="S102" s="108">
        <v>153.13</v>
      </c>
      <c r="T102" s="108">
        <v>153.13</v>
      </c>
      <c r="U102" s="108">
        <v>119.64</v>
      </c>
      <c r="V102" s="108">
        <v>119.64</v>
      </c>
      <c r="W102" s="108">
        <v>122.66</v>
      </c>
      <c r="X102" s="108">
        <v>122.66</v>
      </c>
      <c r="Y102" s="108">
        <v>142.8</v>
      </c>
      <c r="Z102" s="108">
        <v>122.65</v>
      </c>
      <c r="AA102" s="108">
        <v>150.98</v>
      </c>
      <c r="AB102" s="108">
        <v>171.13</v>
      </c>
      <c r="AC102" s="176">
        <f t="shared" si="9"/>
        <v>1812.24</v>
      </c>
      <c r="AD102" s="176">
        <f t="shared" si="10"/>
        <v>1812.24</v>
      </c>
      <c r="AE102" s="211">
        <f t="shared" si="11"/>
        <v>338.810672000001</v>
      </c>
      <c r="AF102" s="11"/>
    </row>
    <row r="103" s="4" customFormat="1" ht="35" customHeight="1" spans="1:32">
      <c r="A103" s="48">
        <v>100</v>
      </c>
      <c r="B103" s="48" t="s">
        <v>233</v>
      </c>
      <c r="C103" s="210" t="s">
        <v>234</v>
      </c>
      <c r="D103" s="75">
        <v>1046.408198</v>
      </c>
      <c r="E103" s="48">
        <v>161.05</v>
      </c>
      <c r="F103" s="48"/>
      <c r="G103" s="48">
        <v>217.95</v>
      </c>
      <c r="H103" s="216"/>
      <c r="I103" s="108">
        <v>123.27</v>
      </c>
      <c r="J103" s="108">
        <v>0</v>
      </c>
      <c r="K103" s="108">
        <v>109.08</v>
      </c>
      <c r="L103" s="108">
        <v>0</v>
      </c>
      <c r="M103" s="108">
        <v>85.83</v>
      </c>
      <c r="N103" s="108">
        <v>573.04</v>
      </c>
      <c r="O103" s="108">
        <v>108.94</v>
      </c>
      <c r="P103" s="108">
        <v>0</v>
      </c>
      <c r="Q103" s="108">
        <v>123.63</v>
      </c>
      <c r="R103" s="108">
        <v>0</v>
      </c>
      <c r="S103" s="108">
        <v>133.16</v>
      </c>
      <c r="T103" s="108">
        <v>0</v>
      </c>
      <c r="U103" s="108">
        <v>107.05</v>
      </c>
      <c r="V103" s="108">
        <v>0</v>
      </c>
      <c r="W103" s="108">
        <v>112.01</v>
      </c>
      <c r="X103" s="108">
        <v>0</v>
      </c>
      <c r="Y103" s="108">
        <v>90.02</v>
      </c>
      <c r="Z103" s="108">
        <v>0</v>
      </c>
      <c r="AA103" s="108">
        <v>123.63</v>
      </c>
      <c r="AB103" s="108">
        <v>60.5</v>
      </c>
      <c r="AC103" s="176">
        <f t="shared" si="9"/>
        <v>1495.62</v>
      </c>
      <c r="AD103" s="176">
        <f t="shared" si="10"/>
        <v>633.54</v>
      </c>
      <c r="AE103" s="211">
        <f t="shared" si="11"/>
        <v>184.328198</v>
      </c>
      <c r="AF103" s="11"/>
    </row>
    <row r="104" s="4" customFormat="1" ht="35" customHeight="1" spans="1:32">
      <c r="A104" s="48">
        <v>101</v>
      </c>
      <c r="B104" s="48" t="s">
        <v>235</v>
      </c>
      <c r="C104" s="51" t="s">
        <v>236</v>
      </c>
      <c r="D104" s="75">
        <v>-1924.117422</v>
      </c>
      <c r="E104" s="48">
        <v>306.87</v>
      </c>
      <c r="F104" s="48"/>
      <c r="G104" s="48">
        <v>349.49</v>
      </c>
      <c r="H104" s="216">
        <v>1940</v>
      </c>
      <c r="I104" s="108">
        <v>318.06</v>
      </c>
      <c r="J104" s="108">
        <v>0</v>
      </c>
      <c r="K104" s="108">
        <v>233.57</v>
      </c>
      <c r="L104" s="108">
        <v>0</v>
      </c>
      <c r="M104" s="108">
        <v>138.13</v>
      </c>
      <c r="N104" s="108">
        <v>0</v>
      </c>
      <c r="O104" s="108">
        <v>175.05</v>
      </c>
      <c r="P104" s="108">
        <v>0</v>
      </c>
      <c r="Q104" s="108">
        <v>217.92</v>
      </c>
      <c r="R104" s="108">
        <v>0</v>
      </c>
      <c r="S104" s="108">
        <v>381.12</v>
      </c>
      <c r="T104" s="108">
        <v>1457.72</v>
      </c>
      <c r="U104" s="108">
        <v>278.92</v>
      </c>
      <c r="V104" s="108">
        <v>0</v>
      </c>
      <c r="W104" s="108">
        <v>208.96</v>
      </c>
      <c r="X104" s="108">
        <v>0</v>
      </c>
      <c r="Y104" s="108">
        <v>223.33</v>
      </c>
      <c r="Z104" s="108">
        <v>0</v>
      </c>
      <c r="AA104" s="108">
        <v>237</v>
      </c>
      <c r="AB104" s="108"/>
      <c r="AC104" s="176">
        <f t="shared" si="9"/>
        <v>3068.42</v>
      </c>
      <c r="AD104" s="176">
        <f t="shared" si="10"/>
        <v>3397.72</v>
      </c>
      <c r="AE104" s="211">
        <f t="shared" si="11"/>
        <v>-1594.817422</v>
      </c>
      <c r="AF104" s="11"/>
    </row>
    <row r="105" s="4" customFormat="1" ht="35" customHeight="1" spans="1:32">
      <c r="A105" s="48">
        <v>102</v>
      </c>
      <c r="B105" s="48" t="s">
        <v>237</v>
      </c>
      <c r="C105" s="51" t="s">
        <v>238</v>
      </c>
      <c r="D105" s="75">
        <v>42</v>
      </c>
      <c r="E105" s="48">
        <v>152.35</v>
      </c>
      <c r="F105" s="48">
        <v>152.35</v>
      </c>
      <c r="G105" s="48">
        <v>151.07</v>
      </c>
      <c r="H105" s="216">
        <v>151.07</v>
      </c>
      <c r="I105" s="108">
        <v>146.12</v>
      </c>
      <c r="J105" s="108">
        <v>146.12</v>
      </c>
      <c r="K105" s="108">
        <v>152.17</v>
      </c>
      <c r="L105" s="108">
        <v>152.17</v>
      </c>
      <c r="M105" s="108">
        <v>113.83</v>
      </c>
      <c r="N105" s="108">
        <v>113.83</v>
      </c>
      <c r="O105" s="108">
        <v>132.27</v>
      </c>
      <c r="P105" s="108">
        <v>132.27</v>
      </c>
      <c r="Q105" s="108">
        <v>129.14</v>
      </c>
      <c r="R105" s="108">
        <v>129.14</v>
      </c>
      <c r="S105" s="108">
        <v>214.71</v>
      </c>
      <c r="T105" s="108">
        <v>214.71</v>
      </c>
      <c r="U105" s="108">
        <v>190.79</v>
      </c>
      <c r="V105" s="108">
        <v>190.79</v>
      </c>
      <c r="W105" s="108">
        <v>128.82</v>
      </c>
      <c r="X105" s="108">
        <v>128.82</v>
      </c>
      <c r="Y105" s="108">
        <v>131.92</v>
      </c>
      <c r="Z105" s="108">
        <v>131.92</v>
      </c>
      <c r="AA105" s="108">
        <v>149.27</v>
      </c>
      <c r="AB105" s="108">
        <v>149.27</v>
      </c>
      <c r="AC105" s="176">
        <f t="shared" si="9"/>
        <v>1792.46</v>
      </c>
      <c r="AD105" s="176">
        <f t="shared" si="10"/>
        <v>1792.46</v>
      </c>
      <c r="AE105" s="211">
        <f t="shared" si="11"/>
        <v>42</v>
      </c>
      <c r="AF105" s="11"/>
    </row>
    <row r="106" s="4" customFormat="1" ht="35" customHeight="1" spans="1:32">
      <c r="A106" s="48">
        <v>103</v>
      </c>
      <c r="B106" s="48" t="s">
        <v>239</v>
      </c>
      <c r="C106" s="51" t="s">
        <v>240</v>
      </c>
      <c r="D106" s="75">
        <v>467.157273</v>
      </c>
      <c r="E106" s="48">
        <v>195.33</v>
      </c>
      <c r="F106" s="48">
        <v>195.33</v>
      </c>
      <c r="G106" s="48">
        <v>229.55</v>
      </c>
      <c r="H106" s="216">
        <v>229.55</v>
      </c>
      <c r="I106" s="108">
        <v>167.89</v>
      </c>
      <c r="J106" s="108">
        <v>167.89</v>
      </c>
      <c r="K106" s="108">
        <v>141.99</v>
      </c>
      <c r="L106" s="108">
        <v>141.99</v>
      </c>
      <c r="M106" s="108">
        <v>93.22</v>
      </c>
      <c r="N106" s="108">
        <v>93.22</v>
      </c>
      <c r="O106" s="108">
        <v>88.38</v>
      </c>
      <c r="P106" s="108">
        <v>88.38</v>
      </c>
      <c r="Q106" s="108">
        <v>97.16</v>
      </c>
      <c r="R106" s="108">
        <v>97.16</v>
      </c>
      <c r="S106" s="108">
        <v>150.36</v>
      </c>
      <c r="T106" s="108">
        <v>150.36</v>
      </c>
      <c r="U106" s="108">
        <v>108.69</v>
      </c>
      <c r="V106" s="108">
        <v>108.69</v>
      </c>
      <c r="W106" s="108">
        <v>180.94</v>
      </c>
      <c r="X106" s="108">
        <v>180.94</v>
      </c>
      <c r="Y106" s="108">
        <v>148.78</v>
      </c>
      <c r="Z106" s="108">
        <v>148.78</v>
      </c>
      <c r="AA106" s="108">
        <v>141.86</v>
      </c>
      <c r="AB106" s="108">
        <v>141.86</v>
      </c>
      <c r="AC106" s="176">
        <f t="shared" si="9"/>
        <v>1744.15</v>
      </c>
      <c r="AD106" s="176">
        <f t="shared" si="10"/>
        <v>1744.15</v>
      </c>
      <c r="AE106" s="211">
        <f t="shared" si="11"/>
        <v>467.157273</v>
      </c>
      <c r="AF106" s="11"/>
    </row>
    <row r="107" s="4" customFormat="1" ht="35" customHeight="1" spans="1:32">
      <c r="A107" s="48">
        <v>104</v>
      </c>
      <c r="B107" s="48" t="s">
        <v>241</v>
      </c>
      <c r="C107" s="51" t="s">
        <v>242</v>
      </c>
      <c r="D107" s="75">
        <v>-1972.597928</v>
      </c>
      <c r="E107" s="48">
        <v>193.16</v>
      </c>
      <c r="F107" s="48">
        <v>1440</v>
      </c>
      <c r="G107" s="48">
        <v>190.31</v>
      </c>
      <c r="H107" s="216"/>
      <c r="I107" s="108">
        <v>90.08</v>
      </c>
      <c r="J107" s="108"/>
      <c r="K107" s="108">
        <v>118.65</v>
      </c>
      <c r="L107" s="108"/>
      <c r="M107" s="108">
        <v>151.34</v>
      </c>
      <c r="N107" s="108">
        <v>1633.04</v>
      </c>
      <c r="O107" s="108">
        <v>261.71</v>
      </c>
      <c r="P107" s="108">
        <v>0</v>
      </c>
      <c r="Q107" s="108">
        <v>334.83</v>
      </c>
      <c r="R107" s="108">
        <v>0</v>
      </c>
      <c r="S107" s="108">
        <v>439.92</v>
      </c>
      <c r="T107" s="108">
        <v>0</v>
      </c>
      <c r="U107" s="108">
        <v>378.54</v>
      </c>
      <c r="V107" s="108">
        <v>0</v>
      </c>
      <c r="W107" s="108">
        <v>337.86</v>
      </c>
      <c r="X107" s="108">
        <v>0</v>
      </c>
      <c r="Y107" s="108">
        <v>326.7</v>
      </c>
      <c r="Z107" s="108">
        <v>0</v>
      </c>
      <c r="AA107" s="108">
        <v>240.98</v>
      </c>
      <c r="AB107" s="108"/>
      <c r="AC107" s="176">
        <f t="shared" si="9"/>
        <v>3064.08</v>
      </c>
      <c r="AD107" s="176">
        <f t="shared" si="10"/>
        <v>3073.04</v>
      </c>
      <c r="AE107" s="211">
        <f t="shared" si="11"/>
        <v>-1963.637928</v>
      </c>
      <c r="AF107" s="11"/>
    </row>
    <row r="108" s="4" customFormat="1" ht="35" customHeight="1" spans="1:32">
      <c r="A108" s="48">
        <v>105</v>
      </c>
      <c r="B108" s="48" t="s">
        <v>243</v>
      </c>
      <c r="C108" s="51" t="s">
        <v>244</v>
      </c>
      <c r="D108" s="75">
        <v>607.832443</v>
      </c>
      <c r="E108" s="48">
        <v>111</v>
      </c>
      <c r="F108" s="48"/>
      <c r="G108" s="48">
        <v>9.58</v>
      </c>
      <c r="H108" s="216"/>
      <c r="I108" s="108">
        <v>121.64</v>
      </c>
      <c r="J108" s="108">
        <v>290.82</v>
      </c>
      <c r="K108" s="108">
        <v>105.48</v>
      </c>
      <c r="L108" s="108"/>
      <c r="M108" s="108">
        <v>86.88</v>
      </c>
      <c r="N108" s="108">
        <v>0</v>
      </c>
      <c r="O108" s="108">
        <v>140.05</v>
      </c>
      <c r="P108" s="108">
        <v>633.04</v>
      </c>
      <c r="Q108" s="108">
        <v>226.75</v>
      </c>
      <c r="R108" s="108">
        <v>0</v>
      </c>
      <c r="S108" s="108">
        <v>261.86</v>
      </c>
      <c r="T108" s="108">
        <v>0</v>
      </c>
      <c r="U108" s="108">
        <v>200.65</v>
      </c>
      <c r="V108" s="108">
        <v>0</v>
      </c>
      <c r="W108" s="108">
        <v>141.15</v>
      </c>
      <c r="X108" s="108">
        <v>0</v>
      </c>
      <c r="Y108" s="108">
        <v>126.48</v>
      </c>
      <c r="Z108" s="108">
        <v>0</v>
      </c>
      <c r="AA108" s="108">
        <v>105.4</v>
      </c>
      <c r="AB108" s="108"/>
      <c r="AC108" s="176">
        <f t="shared" si="9"/>
        <v>1636.92</v>
      </c>
      <c r="AD108" s="176">
        <f t="shared" si="10"/>
        <v>923.86</v>
      </c>
      <c r="AE108" s="211">
        <f t="shared" si="11"/>
        <v>-105.227557</v>
      </c>
      <c r="AF108" s="11"/>
    </row>
    <row r="109" s="4" customFormat="1" ht="35" customHeight="1" spans="1:32">
      <c r="A109" s="48">
        <v>106</v>
      </c>
      <c r="B109" s="48" t="s">
        <v>245</v>
      </c>
      <c r="C109" s="51" t="s">
        <v>246</v>
      </c>
      <c r="D109" s="75">
        <v>169.575472</v>
      </c>
      <c r="E109" s="48">
        <v>382.5</v>
      </c>
      <c r="F109" s="48"/>
      <c r="G109" s="48">
        <v>458.37</v>
      </c>
      <c r="H109" s="216">
        <v>940</v>
      </c>
      <c r="I109" s="108">
        <v>392.6</v>
      </c>
      <c r="J109" s="108"/>
      <c r="K109" s="108">
        <v>337.11</v>
      </c>
      <c r="L109" s="108"/>
      <c r="M109" s="108">
        <v>243.27</v>
      </c>
      <c r="N109" s="108">
        <v>833.04</v>
      </c>
      <c r="O109" s="108">
        <v>325.04</v>
      </c>
      <c r="P109" s="108">
        <v>0</v>
      </c>
      <c r="Q109" s="108">
        <v>393.28</v>
      </c>
      <c r="R109" s="108">
        <v>0</v>
      </c>
      <c r="S109" s="108">
        <v>419.95</v>
      </c>
      <c r="T109" s="108">
        <v>1200</v>
      </c>
      <c r="U109" s="108">
        <v>375.8</v>
      </c>
      <c r="V109" s="108">
        <v>500</v>
      </c>
      <c r="W109" s="108">
        <v>284.62</v>
      </c>
      <c r="X109" s="108">
        <v>75.62</v>
      </c>
      <c r="Y109" s="108">
        <v>236.38</v>
      </c>
      <c r="Z109" s="108">
        <v>0</v>
      </c>
      <c r="AA109" s="108">
        <v>259.21</v>
      </c>
      <c r="AB109" s="108"/>
      <c r="AC109" s="176">
        <f t="shared" si="9"/>
        <v>4108.13</v>
      </c>
      <c r="AD109" s="176">
        <f t="shared" si="10"/>
        <v>3548.66</v>
      </c>
      <c r="AE109" s="211">
        <f t="shared" si="11"/>
        <v>-389.894528</v>
      </c>
      <c r="AF109" s="11"/>
    </row>
    <row r="110" s="4" customFormat="1" ht="35" customHeight="1" spans="1:32">
      <c r="A110" s="48">
        <v>107</v>
      </c>
      <c r="B110" s="48" t="s">
        <v>247</v>
      </c>
      <c r="C110" s="51" t="s">
        <v>248</v>
      </c>
      <c r="D110" s="75">
        <v>174.636572</v>
      </c>
      <c r="E110" s="48">
        <v>164.86</v>
      </c>
      <c r="F110" s="48">
        <v>164.86</v>
      </c>
      <c r="G110" s="48">
        <v>254.42</v>
      </c>
      <c r="H110" s="216">
        <v>254.42</v>
      </c>
      <c r="I110" s="108">
        <v>133.61</v>
      </c>
      <c r="J110" s="108">
        <v>133.61</v>
      </c>
      <c r="K110" s="108">
        <v>158.15</v>
      </c>
      <c r="L110" s="108">
        <v>158.15</v>
      </c>
      <c r="M110" s="108">
        <v>123.34</v>
      </c>
      <c r="N110" s="108">
        <v>123.34</v>
      </c>
      <c r="O110" s="108">
        <v>137.82</v>
      </c>
      <c r="P110" s="108">
        <v>137.82</v>
      </c>
      <c r="Q110" s="108">
        <v>140.17</v>
      </c>
      <c r="R110" s="108">
        <v>140.17</v>
      </c>
      <c r="S110" s="108">
        <v>184.75</v>
      </c>
      <c r="T110" s="108">
        <v>184.75</v>
      </c>
      <c r="U110" s="108">
        <v>151.38</v>
      </c>
      <c r="V110" s="108">
        <v>151.38</v>
      </c>
      <c r="W110" s="108">
        <v>132.18</v>
      </c>
      <c r="X110" s="108">
        <v>132.18</v>
      </c>
      <c r="Y110" s="108">
        <v>119.95</v>
      </c>
      <c r="Z110" s="108">
        <v>119.95</v>
      </c>
      <c r="AA110" s="108">
        <v>112.81</v>
      </c>
      <c r="AB110" s="108">
        <v>112.81</v>
      </c>
      <c r="AC110" s="176">
        <f t="shared" si="9"/>
        <v>1813.44</v>
      </c>
      <c r="AD110" s="176">
        <f t="shared" si="10"/>
        <v>1813.44</v>
      </c>
      <c r="AE110" s="211">
        <f t="shared" si="11"/>
        <v>174.636572</v>
      </c>
      <c r="AF110" s="11"/>
    </row>
    <row r="111" s="4" customFormat="1" ht="35" customHeight="1" spans="1:32">
      <c r="A111" s="48">
        <v>108</v>
      </c>
      <c r="B111" s="48" t="s">
        <v>249</v>
      </c>
      <c r="C111" s="51" t="s">
        <v>250</v>
      </c>
      <c r="D111" s="75">
        <v>333.795368000001</v>
      </c>
      <c r="E111" s="48">
        <v>298.17</v>
      </c>
      <c r="F111" s="48"/>
      <c r="G111" s="48">
        <v>323.51</v>
      </c>
      <c r="H111" s="216"/>
      <c r="I111" s="108">
        <v>294.12</v>
      </c>
      <c r="J111" s="108"/>
      <c r="K111" s="108">
        <v>271.87</v>
      </c>
      <c r="L111" s="108">
        <v>73.04</v>
      </c>
      <c r="M111" s="108">
        <v>201</v>
      </c>
      <c r="N111" s="108">
        <v>500</v>
      </c>
      <c r="O111" s="108">
        <v>172.82</v>
      </c>
      <c r="P111" s="108">
        <v>500</v>
      </c>
      <c r="Q111" s="108">
        <v>208</v>
      </c>
      <c r="R111" s="108">
        <v>500</v>
      </c>
      <c r="S111" s="108">
        <v>489.29</v>
      </c>
      <c r="T111" s="108">
        <v>0</v>
      </c>
      <c r="U111" s="108">
        <v>182.58</v>
      </c>
      <c r="V111" s="108">
        <v>500</v>
      </c>
      <c r="W111" s="108">
        <v>142.27</v>
      </c>
      <c r="X111" s="108">
        <v>300</v>
      </c>
      <c r="Y111" s="108">
        <v>148.78</v>
      </c>
      <c r="Z111" s="108">
        <v>148.78</v>
      </c>
      <c r="AA111" s="108">
        <v>144.14</v>
      </c>
      <c r="AB111" s="108"/>
      <c r="AC111" s="176">
        <f t="shared" si="9"/>
        <v>2876.55</v>
      </c>
      <c r="AD111" s="176">
        <f t="shared" si="10"/>
        <v>2521.82</v>
      </c>
      <c r="AE111" s="211">
        <f t="shared" si="11"/>
        <v>-20.9346319999991</v>
      </c>
      <c r="AF111" s="11"/>
    </row>
    <row r="112" s="4" customFormat="1" ht="35" customHeight="1" spans="1:32">
      <c r="A112" s="48">
        <v>109</v>
      </c>
      <c r="B112" s="48" t="s">
        <v>251</v>
      </c>
      <c r="C112" s="51" t="s">
        <v>252</v>
      </c>
      <c r="D112" s="75">
        <v>392.115923</v>
      </c>
      <c r="E112" s="48">
        <v>93.04</v>
      </c>
      <c r="F112" s="48"/>
      <c r="G112" s="48">
        <v>161.57</v>
      </c>
      <c r="H112" s="216"/>
      <c r="I112" s="108">
        <v>161.36</v>
      </c>
      <c r="J112" s="108">
        <v>290.82</v>
      </c>
      <c r="K112" s="108">
        <v>104.29</v>
      </c>
      <c r="L112" s="108">
        <v>282.22</v>
      </c>
      <c r="M112" s="108">
        <v>69.98</v>
      </c>
      <c r="N112" s="108">
        <v>0</v>
      </c>
      <c r="O112" s="108">
        <v>105.6</v>
      </c>
      <c r="P112" s="108"/>
      <c r="Q112" s="108">
        <v>85.58</v>
      </c>
      <c r="R112" s="108">
        <v>0</v>
      </c>
      <c r="S112" s="108">
        <v>126.51</v>
      </c>
      <c r="T112" s="108">
        <v>0</v>
      </c>
      <c r="U112" s="108">
        <v>89.53</v>
      </c>
      <c r="V112" s="108">
        <v>500.24</v>
      </c>
      <c r="W112" s="108">
        <v>94.07</v>
      </c>
      <c r="X112" s="108">
        <v>0</v>
      </c>
      <c r="Y112" s="108">
        <v>65.54</v>
      </c>
      <c r="Z112" s="108">
        <v>0</v>
      </c>
      <c r="AA112" s="108">
        <v>94.58</v>
      </c>
      <c r="AB112" s="108"/>
      <c r="AC112" s="176">
        <f t="shared" si="9"/>
        <v>1251.65</v>
      </c>
      <c r="AD112" s="176">
        <f t="shared" si="10"/>
        <v>1073.28</v>
      </c>
      <c r="AE112" s="211">
        <f t="shared" si="11"/>
        <v>213.745923</v>
      </c>
      <c r="AF112" s="11"/>
    </row>
    <row r="113" s="4" customFormat="1" ht="35" customHeight="1" spans="1:32">
      <c r="A113" s="48">
        <v>110</v>
      </c>
      <c r="B113" s="48" t="s">
        <v>253</v>
      </c>
      <c r="C113" s="51" t="s">
        <v>254</v>
      </c>
      <c r="D113" s="75">
        <v>936.463971999999</v>
      </c>
      <c r="E113" s="48">
        <v>105.56</v>
      </c>
      <c r="F113" s="48"/>
      <c r="G113" s="48">
        <v>127.3</v>
      </c>
      <c r="H113" s="216"/>
      <c r="I113" s="108">
        <v>103.68</v>
      </c>
      <c r="J113" s="108"/>
      <c r="K113" s="108">
        <v>84.54</v>
      </c>
      <c r="L113" s="108">
        <v>0</v>
      </c>
      <c r="M113" s="108">
        <v>36.16</v>
      </c>
      <c r="N113" s="108">
        <v>2.22</v>
      </c>
      <c r="O113" s="108">
        <v>65.05</v>
      </c>
      <c r="P113" s="108">
        <v>8.82</v>
      </c>
      <c r="Q113" s="108">
        <v>45.87</v>
      </c>
      <c r="R113" s="108">
        <v>45.87</v>
      </c>
      <c r="S113" s="108">
        <v>58.83</v>
      </c>
      <c r="T113" s="108">
        <v>58.83</v>
      </c>
      <c r="U113" s="108">
        <v>108.69</v>
      </c>
      <c r="V113" s="108">
        <v>500</v>
      </c>
      <c r="W113" s="108">
        <v>64.93</v>
      </c>
      <c r="X113" s="108">
        <v>0</v>
      </c>
      <c r="Y113" s="108">
        <v>42.68</v>
      </c>
      <c r="Z113" s="108">
        <v>0</v>
      </c>
      <c r="AA113" s="108">
        <v>38.75</v>
      </c>
      <c r="AB113" s="108"/>
      <c r="AC113" s="176">
        <f t="shared" si="9"/>
        <v>882.04</v>
      </c>
      <c r="AD113" s="176">
        <f t="shared" si="10"/>
        <v>615.74</v>
      </c>
      <c r="AE113" s="211">
        <f t="shared" si="11"/>
        <v>670.163971999999</v>
      </c>
      <c r="AF113" s="11"/>
    </row>
    <row r="114" s="4" customFormat="1" ht="35" customHeight="1" spans="1:32">
      <c r="A114" s="48">
        <v>111</v>
      </c>
      <c r="B114" s="48" t="s">
        <v>255</v>
      </c>
      <c r="C114" s="51" t="s">
        <v>256</v>
      </c>
      <c r="D114" s="75">
        <v>387.014723000001</v>
      </c>
      <c r="E114" s="48">
        <v>234.51</v>
      </c>
      <c r="F114" s="48"/>
      <c r="G114" s="48">
        <v>174.28</v>
      </c>
      <c r="H114" s="216">
        <v>440</v>
      </c>
      <c r="I114" s="108">
        <v>151.57</v>
      </c>
      <c r="J114" s="108"/>
      <c r="K114" s="108">
        <v>140.2</v>
      </c>
      <c r="L114" s="108">
        <v>333.04</v>
      </c>
      <c r="M114" s="108">
        <v>89</v>
      </c>
      <c r="N114" s="108"/>
      <c r="O114" s="108">
        <v>109.49</v>
      </c>
      <c r="P114" s="108"/>
      <c r="Q114" s="108">
        <v>83.37</v>
      </c>
      <c r="R114" s="108">
        <v>0</v>
      </c>
      <c r="S114" s="108">
        <v>70.48</v>
      </c>
      <c r="T114" s="108">
        <v>200</v>
      </c>
      <c r="U114" s="108">
        <v>62.71</v>
      </c>
      <c r="V114" s="108">
        <v>0</v>
      </c>
      <c r="W114" s="108">
        <v>57.65</v>
      </c>
      <c r="X114" s="108">
        <v>0</v>
      </c>
      <c r="Y114" s="108">
        <v>63.36</v>
      </c>
      <c r="Z114" s="108">
        <v>200</v>
      </c>
      <c r="AA114" s="108">
        <v>65.53</v>
      </c>
      <c r="AB114" s="108"/>
      <c r="AC114" s="176">
        <f t="shared" si="9"/>
        <v>1302.15</v>
      </c>
      <c r="AD114" s="176">
        <f t="shared" si="10"/>
        <v>1173.04</v>
      </c>
      <c r="AE114" s="211">
        <f t="shared" si="11"/>
        <v>257.904723000001</v>
      </c>
      <c r="AF114" s="11"/>
    </row>
    <row r="115" s="4" customFormat="1" ht="35" customHeight="1" spans="1:32">
      <c r="A115" s="48">
        <v>112</v>
      </c>
      <c r="B115" s="48" t="s">
        <v>257</v>
      </c>
      <c r="C115" s="51" t="s">
        <v>258</v>
      </c>
      <c r="D115" s="75">
        <v>153.093178000001</v>
      </c>
      <c r="E115" s="48">
        <v>174.66</v>
      </c>
      <c r="F115" s="48"/>
      <c r="G115" s="48">
        <v>350.04</v>
      </c>
      <c r="H115" s="216">
        <v>440</v>
      </c>
      <c r="I115" s="108">
        <v>184.21</v>
      </c>
      <c r="J115" s="108">
        <v>350.82</v>
      </c>
      <c r="K115" s="108">
        <v>197.06</v>
      </c>
      <c r="L115" s="108">
        <v>282.22</v>
      </c>
      <c r="M115" s="108">
        <v>164.55</v>
      </c>
      <c r="N115" s="108"/>
      <c r="O115" s="108">
        <v>249.49</v>
      </c>
      <c r="P115" s="108"/>
      <c r="Q115" s="108">
        <v>244.39</v>
      </c>
      <c r="R115" s="108">
        <v>1000</v>
      </c>
      <c r="S115" s="108">
        <v>287.93</v>
      </c>
      <c r="T115" s="108">
        <v>0</v>
      </c>
      <c r="U115" s="108">
        <v>316.69</v>
      </c>
      <c r="V115" s="108">
        <v>500</v>
      </c>
      <c r="W115" s="108">
        <v>194.39</v>
      </c>
      <c r="X115" s="108">
        <v>0</v>
      </c>
      <c r="Y115" s="108">
        <v>186.87</v>
      </c>
      <c r="Z115" s="108">
        <v>0</v>
      </c>
      <c r="AA115" s="108">
        <v>131.61</v>
      </c>
      <c r="AB115" s="108"/>
      <c r="AC115" s="176">
        <f t="shared" si="9"/>
        <v>2681.89</v>
      </c>
      <c r="AD115" s="176">
        <f t="shared" si="10"/>
        <v>2573.04</v>
      </c>
      <c r="AE115" s="211">
        <f t="shared" si="11"/>
        <v>44.2431780000011</v>
      </c>
      <c r="AF115" s="11"/>
    </row>
    <row r="116" s="4" customFormat="1" ht="35" customHeight="1" spans="1:32">
      <c r="A116" s="48">
        <v>113</v>
      </c>
      <c r="B116" s="48" t="s">
        <v>259</v>
      </c>
      <c r="C116" s="51" t="s">
        <v>260</v>
      </c>
      <c r="D116" s="75">
        <v>228.892453</v>
      </c>
      <c r="E116" s="48">
        <v>225.26</v>
      </c>
      <c r="F116" s="48"/>
      <c r="G116" s="48">
        <v>234.53</v>
      </c>
      <c r="H116" s="216">
        <v>740</v>
      </c>
      <c r="I116" s="108">
        <v>201.08</v>
      </c>
      <c r="J116" s="108">
        <v>350.82</v>
      </c>
      <c r="K116" s="108">
        <v>197.66</v>
      </c>
      <c r="L116" s="108"/>
      <c r="M116" s="108">
        <v>141.83</v>
      </c>
      <c r="N116" s="108"/>
      <c r="O116" s="108">
        <v>158.93</v>
      </c>
      <c r="P116" s="108">
        <v>117.72</v>
      </c>
      <c r="Q116" s="108">
        <v>141.27</v>
      </c>
      <c r="R116" s="108"/>
      <c r="S116" s="108">
        <v>209.71</v>
      </c>
      <c r="T116" s="108">
        <v>0</v>
      </c>
      <c r="U116" s="108">
        <v>122.92</v>
      </c>
      <c r="V116" s="108">
        <v>133.04</v>
      </c>
      <c r="W116" s="108">
        <v>109.77</v>
      </c>
      <c r="X116" s="108">
        <v>0</v>
      </c>
      <c r="Y116" s="108">
        <v>149.33</v>
      </c>
      <c r="Z116" s="108">
        <v>0</v>
      </c>
      <c r="AA116" s="108">
        <v>141.86</v>
      </c>
      <c r="AB116" s="108"/>
      <c r="AC116" s="176">
        <f t="shared" si="9"/>
        <v>2034.15</v>
      </c>
      <c r="AD116" s="176">
        <f t="shared" si="10"/>
        <v>1341.58</v>
      </c>
      <c r="AE116" s="211">
        <f t="shared" si="11"/>
        <v>-463.677547</v>
      </c>
      <c r="AF116" s="11"/>
    </row>
    <row r="117" s="4" customFormat="1" ht="35" customHeight="1" spans="1:32">
      <c r="A117" s="48">
        <v>114</v>
      </c>
      <c r="B117" s="48" t="s">
        <v>261</v>
      </c>
      <c r="C117" s="51" t="s">
        <v>262</v>
      </c>
      <c r="D117" s="75">
        <v>-697.442728000001</v>
      </c>
      <c r="E117" s="48">
        <v>386.86</v>
      </c>
      <c r="F117" s="48"/>
      <c r="G117" s="48">
        <v>190.86</v>
      </c>
      <c r="H117" s="216">
        <v>440</v>
      </c>
      <c r="I117" s="108">
        <v>344.72</v>
      </c>
      <c r="J117" s="108"/>
      <c r="K117" s="108">
        <v>336.51</v>
      </c>
      <c r="L117" s="108"/>
      <c r="M117" s="108">
        <v>290.82</v>
      </c>
      <c r="N117" s="108">
        <v>633.04</v>
      </c>
      <c r="O117" s="108">
        <v>382.26</v>
      </c>
      <c r="P117" s="108">
        <v>1000</v>
      </c>
      <c r="Q117" s="108">
        <v>450.08</v>
      </c>
      <c r="R117" s="108"/>
      <c r="S117" s="108">
        <v>660.14</v>
      </c>
      <c r="T117" s="108">
        <v>700</v>
      </c>
      <c r="U117" s="108">
        <v>386.75</v>
      </c>
      <c r="V117" s="108">
        <v>500</v>
      </c>
      <c r="W117" s="108">
        <v>401.75</v>
      </c>
      <c r="X117" s="108">
        <v>0</v>
      </c>
      <c r="Y117" s="108">
        <v>254.34</v>
      </c>
      <c r="Z117" s="108">
        <v>0</v>
      </c>
      <c r="AA117" s="108">
        <v>252.95</v>
      </c>
      <c r="AB117" s="108"/>
      <c r="AC117" s="176">
        <f t="shared" si="9"/>
        <v>4338.04</v>
      </c>
      <c r="AD117" s="176">
        <f t="shared" si="10"/>
        <v>3273.04</v>
      </c>
      <c r="AE117" s="211">
        <f t="shared" si="11"/>
        <v>-1762.442728</v>
      </c>
      <c r="AF117" s="11"/>
    </row>
    <row r="118" s="4" customFormat="1" ht="35" customHeight="1" spans="1:32">
      <c r="A118" s="48">
        <v>115</v>
      </c>
      <c r="B118" s="48" t="s">
        <v>263</v>
      </c>
      <c r="C118" s="51" t="s">
        <v>264</v>
      </c>
      <c r="D118" s="75">
        <v>-150.494192</v>
      </c>
      <c r="E118" s="48">
        <v>279.67</v>
      </c>
      <c r="F118" s="48"/>
      <c r="G118" s="48">
        <v>273.22</v>
      </c>
      <c r="H118" s="216">
        <v>940</v>
      </c>
      <c r="I118" s="108">
        <v>298.47</v>
      </c>
      <c r="J118" s="108"/>
      <c r="K118" s="108">
        <v>284.44</v>
      </c>
      <c r="L118" s="108"/>
      <c r="M118" s="108">
        <v>223.72</v>
      </c>
      <c r="N118" s="108">
        <v>1133.04</v>
      </c>
      <c r="O118" s="108">
        <v>282.26</v>
      </c>
      <c r="P118" s="108"/>
      <c r="Q118" s="108">
        <v>268.66</v>
      </c>
      <c r="R118" s="108"/>
      <c r="S118" s="108">
        <v>364.48</v>
      </c>
      <c r="T118" s="108">
        <v>0</v>
      </c>
      <c r="U118" s="108">
        <v>259.21</v>
      </c>
      <c r="V118" s="108">
        <v>1000</v>
      </c>
      <c r="W118" s="108">
        <v>225.77</v>
      </c>
      <c r="X118" s="108">
        <v>0</v>
      </c>
      <c r="Y118" s="108">
        <v>204.83</v>
      </c>
      <c r="Z118" s="108">
        <v>0</v>
      </c>
      <c r="AA118" s="108">
        <v>223.89</v>
      </c>
      <c r="AB118" s="108"/>
      <c r="AC118" s="176">
        <f t="shared" si="9"/>
        <v>3188.62</v>
      </c>
      <c r="AD118" s="176">
        <f t="shared" si="10"/>
        <v>3073.04</v>
      </c>
      <c r="AE118" s="211">
        <f t="shared" si="11"/>
        <v>-266.074192</v>
      </c>
      <c r="AF118" s="11"/>
    </row>
    <row r="119" s="4" customFormat="1" ht="35" customHeight="1" spans="1:32">
      <c r="A119" s="48">
        <v>116</v>
      </c>
      <c r="B119" s="48" t="s">
        <v>265</v>
      </c>
      <c r="C119" s="51" t="s">
        <v>266</v>
      </c>
      <c r="D119" s="75">
        <v>225.59</v>
      </c>
      <c r="E119" s="48">
        <v>0.54</v>
      </c>
      <c r="F119" s="48">
        <v>8.73</v>
      </c>
      <c r="G119" s="48">
        <v>9.58</v>
      </c>
      <c r="H119" s="216"/>
      <c r="I119" s="108">
        <v>7.92</v>
      </c>
      <c r="J119" s="108"/>
      <c r="K119" s="108">
        <v>10.32</v>
      </c>
      <c r="L119" s="108"/>
      <c r="M119" s="108">
        <v>9.22</v>
      </c>
      <c r="N119" s="108">
        <v>207.82</v>
      </c>
      <c r="O119" s="108">
        <v>11.16</v>
      </c>
      <c r="P119" s="108"/>
      <c r="Q119" s="108">
        <v>12.23</v>
      </c>
      <c r="R119" s="108"/>
      <c r="S119" s="108">
        <v>107.65</v>
      </c>
      <c r="T119" s="108">
        <v>0</v>
      </c>
      <c r="U119" s="108">
        <v>119.64</v>
      </c>
      <c r="V119" s="108">
        <v>500</v>
      </c>
      <c r="W119" s="108">
        <v>65.49</v>
      </c>
      <c r="X119" s="108">
        <v>0</v>
      </c>
      <c r="Y119" s="108">
        <v>142.25</v>
      </c>
      <c r="Z119" s="108">
        <v>0</v>
      </c>
      <c r="AA119" s="108">
        <v>114.52</v>
      </c>
      <c r="AB119" s="108"/>
      <c r="AC119" s="176">
        <f t="shared" si="9"/>
        <v>610.52</v>
      </c>
      <c r="AD119" s="176">
        <f t="shared" si="10"/>
        <v>716.55</v>
      </c>
      <c r="AE119" s="211">
        <f t="shared" si="11"/>
        <v>331.62</v>
      </c>
      <c r="AF119" s="11"/>
    </row>
    <row r="120" s="4" customFormat="1" ht="35" customHeight="1" spans="1:32">
      <c r="A120" s="48">
        <v>117</v>
      </c>
      <c r="B120" s="48" t="s">
        <v>267</v>
      </c>
      <c r="C120" s="51" t="s">
        <v>268</v>
      </c>
      <c r="D120" s="75">
        <v>101.342372</v>
      </c>
      <c r="E120" s="48">
        <v>52.78</v>
      </c>
      <c r="F120" s="48">
        <v>52.78</v>
      </c>
      <c r="G120" s="48">
        <v>66.51</v>
      </c>
      <c r="H120" s="216">
        <v>66.51</v>
      </c>
      <c r="I120" s="108">
        <v>60.7</v>
      </c>
      <c r="J120" s="108">
        <v>60.7</v>
      </c>
      <c r="K120" s="108">
        <v>66.58</v>
      </c>
      <c r="L120" s="108">
        <v>66.58</v>
      </c>
      <c r="M120" s="108">
        <v>90.58</v>
      </c>
      <c r="N120" s="108"/>
      <c r="O120" s="108">
        <v>132.27</v>
      </c>
      <c r="P120" s="108">
        <v>222.85</v>
      </c>
      <c r="Q120" s="108">
        <v>212.41</v>
      </c>
      <c r="R120" s="108">
        <v>212.41</v>
      </c>
      <c r="S120" s="108">
        <v>260.19</v>
      </c>
      <c r="T120" s="108">
        <v>260.19</v>
      </c>
      <c r="U120" s="108">
        <v>244.98</v>
      </c>
      <c r="V120" s="108">
        <v>244.98</v>
      </c>
      <c r="W120" s="108">
        <v>206.16</v>
      </c>
      <c r="X120" s="108">
        <v>206.16</v>
      </c>
      <c r="Y120" s="108">
        <v>114.51</v>
      </c>
      <c r="Z120" s="108">
        <v>114.51</v>
      </c>
      <c r="AA120" s="108">
        <v>69.51</v>
      </c>
      <c r="AB120" s="108">
        <v>69.51</v>
      </c>
      <c r="AC120" s="176">
        <f t="shared" si="9"/>
        <v>1577.18</v>
      </c>
      <c r="AD120" s="176">
        <f t="shared" si="10"/>
        <v>1577.18</v>
      </c>
      <c r="AE120" s="211">
        <f t="shared" si="11"/>
        <v>101.342372</v>
      </c>
      <c r="AF120" s="11"/>
    </row>
    <row r="121" s="4" customFormat="1" ht="35" customHeight="1" spans="1:32">
      <c r="A121" s="48">
        <v>118</v>
      </c>
      <c r="B121" s="48" t="s">
        <v>269</v>
      </c>
      <c r="C121" s="51" t="s">
        <v>270</v>
      </c>
      <c r="D121" s="75">
        <v>-268.843728</v>
      </c>
      <c r="E121" s="48">
        <v>247.57</v>
      </c>
      <c r="F121" s="48">
        <v>240</v>
      </c>
      <c r="G121" s="48">
        <v>342.86</v>
      </c>
      <c r="H121" s="216">
        <v>500</v>
      </c>
      <c r="I121" s="108">
        <v>251.14</v>
      </c>
      <c r="J121" s="108">
        <v>850.82</v>
      </c>
      <c r="K121" s="108">
        <v>249.13</v>
      </c>
      <c r="L121" s="108"/>
      <c r="M121" s="108">
        <v>175.11</v>
      </c>
      <c r="N121" s="108"/>
      <c r="O121" s="108">
        <v>220.6</v>
      </c>
      <c r="P121" s="108"/>
      <c r="Q121" s="108">
        <v>246.05</v>
      </c>
      <c r="R121" s="108"/>
      <c r="S121" s="108">
        <v>276.83</v>
      </c>
      <c r="T121" s="108">
        <v>633.04</v>
      </c>
      <c r="U121" s="108">
        <v>251</v>
      </c>
      <c r="V121" s="108"/>
      <c r="W121" s="108">
        <v>189.35</v>
      </c>
      <c r="X121" s="108">
        <v>500</v>
      </c>
      <c r="Y121" s="108">
        <v>208.64</v>
      </c>
      <c r="Z121" s="108">
        <v>0</v>
      </c>
      <c r="AA121" s="108">
        <v>227.31</v>
      </c>
      <c r="AB121" s="108"/>
      <c r="AC121" s="176">
        <f t="shared" si="9"/>
        <v>2885.59</v>
      </c>
      <c r="AD121" s="176">
        <f t="shared" si="10"/>
        <v>2723.86</v>
      </c>
      <c r="AE121" s="211">
        <f t="shared" si="11"/>
        <v>-430.573727999999</v>
      </c>
      <c r="AF121" s="11"/>
    </row>
    <row r="122" s="4" customFormat="1" ht="35" customHeight="1" spans="1:32">
      <c r="A122" s="48">
        <v>119</v>
      </c>
      <c r="B122" s="48" t="s">
        <v>271</v>
      </c>
      <c r="C122" s="51" t="s">
        <v>272</v>
      </c>
      <c r="D122" s="75">
        <v>694.106485</v>
      </c>
      <c r="E122" s="48"/>
      <c r="F122" s="48"/>
      <c r="G122" s="48">
        <v>37.21</v>
      </c>
      <c r="H122" s="216"/>
      <c r="I122" s="108">
        <v>21.53</v>
      </c>
      <c r="J122" s="108">
        <v>115.5</v>
      </c>
      <c r="K122" s="108">
        <v>10.92</v>
      </c>
      <c r="L122" s="108"/>
      <c r="M122" s="108">
        <v>10.81</v>
      </c>
      <c r="N122" s="108"/>
      <c r="O122" s="108">
        <v>13.39</v>
      </c>
      <c r="P122" s="108"/>
      <c r="Q122" s="108">
        <v>19.95</v>
      </c>
      <c r="R122" s="108"/>
      <c r="S122" s="108">
        <v>35.53</v>
      </c>
      <c r="T122" s="108">
        <v>0</v>
      </c>
      <c r="U122" s="108">
        <v>18.92</v>
      </c>
      <c r="V122" s="108"/>
      <c r="W122" s="108">
        <v>10.01</v>
      </c>
      <c r="X122" s="108"/>
      <c r="Y122" s="108">
        <v>16.02</v>
      </c>
      <c r="Z122" s="108">
        <v>0</v>
      </c>
      <c r="AA122" s="108">
        <v>10.27</v>
      </c>
      <c r="AB122" s="108"/>
      <c r="AC122" s="176">
        <f t="shared" si="9"/>
        <v>204.56</v>
      </c>
      <c r="AD122" s="176">
        <f t="shared" si="10"/>
        <v>115.5</v>
      </c>
      <c r="AE122" s="211">
        <f t="shared" si="11"/>
        <v>605.046485</v>
      </c>
      <c r="AF122" s="11"/>
    </row>
    <row r="123" s="4" customFormat="1" ht="35" customHeight="1" spans="1:32">
      <c r="A123" s="48">
        <v>120</v>
      </c>
      <c r="B123" s="48" t="s">
        <v>273</v>
      </c>
      <c r="C123" s="51" t="s">
        <v>274</v>
      </c>
      <c r="D123" s="75">
        <v>-28.35338</v>
      </c>
      <c r="E123" s="48">
        <v>219.82</v>
      </c>
      <c r="F123" s="48"/>
      <c r="G123" s="48">
        <v>164.33</v>
      </c>
      <c r="H123" s="216">
        <v>340</v>
      </c>
      <c r="I123" s="108">
        <v>220.67</v>
      </c>
      <c r="J123" s="108">
        <v>0</v>
      </c>
      <c r="K123" s="108">
        <v>164.74</v>
      </c>
      <c r="L123" s="108">
        <v>333.04</v>
      </c>
      <c r="M123" s="108">
        <v>114.36</v>
      </c>
      <c r="N123" s="108"/>
      <c r="O123" s="108">
        <v>175.6</v>
      </c>
      <c r="P123" s="108"/>
      <c r="Q123" s="108">
        <v>177.67</v>
      </c>
      <c r="R123" s="108"/>
      <c r="S123" s="108">
        <v>295.14</v>
      </c>
      <c r="T123" s="108">
        <v>850</v>
      </c>
      <c r="U123" s="108">
        <v>155.76</v>
      </c>
      <c r="V123" s="108"/>
      <c r="W123" s="108">
        <v>118.17</v>
      </c>
      <c r="X123" s="108"/>
      <c r="Y123" s="108">
        <v>116.68</v>
      </c>
      <c r="Z123" s="108">
        <v>0</v>
      </c>
      <c r="AA123" s="108">
        <v>141.29</v>
      </c>
      <c r="AB123" s="108"/>
      <c r="AC123" s="176">
        <f t="shared" si="9"/>
        <v>2064.23</v>
      </c>
      <c r="AD123" s="176">
        <f t="shared" si="10"/>
        <v>1523.04</v>
      </c>
      <c r="AE123" s="211">
        <f t="shared" si="11"/>
        <v>-569.54338</v>
      </c>
      <c r="AF123" s="11"/>
    </row>
    <row r="124" s="4" customFormat="1" ht="35" customHeight="1" spans="1:32">
      <c r="A124" s="48">
        <v>121</v>
      </c>
      <c r="B124" s="48" t="s">
        <v>275</v>
      </c>
      <c r="C124" s="210" t="s">
        <v>276</v>
      </c>
      <c r="D124" s="75">
        <v>136.663472000001</v>
      </c>
      <c r="E124" s="48">
        <v>196.42</v>
      </c>
      <c r="F124" s="48">
        <v>196.42</v>
      </c>
      <c r="G124" s="48">
        <v>259.4</v>
      </c>
      <c r="H124" s="216">
        <v>320</v>
      </c>
      <c r="I124" s="108">
        <v>145.04</v>
      </c>
      <c r="J124" s="108">
        <v>84.44</v>
      </c>
      <c r="K124" s="108">
        <v>156.96</v>
      </c>
      <c r="L124" s="108">
        <v>156.96</v>
      </c>
      <c r="M124" s="108">
        <v>138.13</v>
      </c>
      <c r="N124" s="108">
        <v>102.22</v>
      </c>
      <c r="O124" s="108">
        <v>192.82</v>
      </c>
      <c r="P124" s="108">
        <v>320</v>
      </c>
      <c r="Q124" s="108">
        <v>166.64</v>
      </c>
      <c r="R124" s="108">
        <v>75.37</v>
      </c>
      <c r="S124" s="108">
        <v>100.99</v>
      </c>
      <c r="T124" s="108">
        <v>100.99</v>
      </c>
      <c r="U124" s="108">
        <v>110.88</v>
      </c>
      <c r="V124" s="108">
        <v>320</v>
      </c>
      <c r="W124" s="108">
        <v>110.89</v>
      </c>
      <c r="X124" s="108"/>
      <c r="Y124" s="108">
        <v>130.83</v>
      </c>
      <c r="Z124" s="108">
        <v>32.6</v>
      </c>
      <c r="AA124" s="108">
        <v>121.35</v>
      </c>
      <c r="AB124" s="108">
        <v>121.35</v>
      </c>
      <c r="AC124" s="176">
        <f t="shared" si="9"/>
        <v>1830.35</v>
      </c>
      <c r="AD124" s="176">
        <f t="shared" si="10"/>
        <v>1830.35</v>
      </c>
      <c r="AE124" s="211">
        <f t="shared" si="11"/>
        <v>136.663472000001</v>
      </c>
      <c r="AF124" s="11"/>
    </row>
    <row r="125" s="4" customFormat="1" ht="35" customHeight="1" spans="1:32">
      <c r="A125" s="48">
        <v>122</v>
      </c>
      <c r="B125" s="48" t="s">
        <v>277</v>
      </c>
      <c r="C125" s="51" t="s">
        <v>278</v>
      </c>
      <c r="D125" s="75">
        <v>-743.146474999999</v>
      </c>
      <c r="E125" s="48">
        <v>221.99</v>
      </c>
      <c r="F125" s="48">
        <v>1040</v>
      </c>
      <c r="G125" s="48">
        <v>101.33</v>
      </c>
      <c r="H125" s="216"/>
      <c r="I125" s="108">
        <v>194.55</v>
      </c>
      <c r="J125" s="108"/>
      <c r="K125" s="108">
        <v>210.82</v>
      </c>
      <c r="L125" s="108">
        <v>43.04</v>
      </c>
      <c r="M125" s="108">
        <v>185.68</v>
      </c>
      <c r="N125" s="108"/>
      <c r="O125" s="108">
        <v>273.37</v>
      </c>
      <c r="P125" s="108">
        <v>900</v>
      </c>
      <c r="Q125" s="108">
        <v>290.71</v>
      </c>
      <c r="R125" s="108"/>
      <c r="S125" s="108">
        <v>264.63</v>
      </c>
      <c r="T125" s="108">
        <v>542</v>
      </c>
      <c r="U125" s="108">
        <v>302.46</v>
      </c>
      <c r="V125" s="108"/>
      <c r="W125" s="108">
        <v>202.24</v>
      </c>
      <c r="X125" s="108">
        <v>302</v>
      </c>
      <c r="Y125" s="108">
        <v>137.9</v>
      </c>
      <c r="Z125" s="108">
        <v>0</v>
      </c>
      <c r="AA125" s="108">
        <v>103.69</v>
      </c>
      <c r="AB125" s="108"/>
      <c r="AC125" s="176">
        <f t="shared" si="9"/>
        <v>2489.37</v>
      </c>
      <c r="AD125" s="176">
        <f t="shared" si="10"/>
        <v>2827.04</v>
      </c>
      <c r="AE125" s="211">
        <f t="shared" si="11"/>
        <v>-405.476475</v>
      </c>
      <c r="AF125" s="11"/>
    </row>
    <row r="126" s="4" customFormat="1" ht="35" customHeight="1" spans="1:32">
      <c r="A126" s="48">
        <v>123</v>
      </c>
      <c r="B126" s="48" t="s">
        <v>279</v>
      </c>
      <c r="C126" s="51" t="s">
        <v>280</v>
      </c>
      <c r="D126" s="75">
        <v>2006.871115</v>
      </c>
      <c r="E126" s="48">
        <v>249.74</v>
      </c>
      <c r="F126" s="48">
        <v>249.74</v>
      </c>
      <c r="G126" s="48">
        <v>211.87</v>
      </c>
      <c r="H126" s="216">
        <v>211.87</v>
      </c>
      <c r="I126" s="108">
        <v>192.37</v>
      </c>
      <c r="J126" s="108">
        <v>192.37</v>
      </c>
      <c r="K126" s="108">
        <v>182.69</v>
      </c>
      <c r="L126" s="108">
        <v>182.69</v>
      </c>
      <c r="M126" s="108">
        <v>153.98</v>
      </c>
      <c r="N126" s="108">
        <v>153.98</v>
      </c>
      <c r="O126" s="108">
        <v>165.05</v>
      </c>
      <c r="P126" s="108">
        <v>165.05</v>
      </c>
      <c r="Q126" s="108">
        <v>198.07</v>
      </c>
      <c r="R126" s="108">
        <v>198.07</v>
      </c>
      <c r="S126" s="108">
        <v>257.42</v>
      </c>
      <c r="T126" s="108">
        <v>257.42</v>
      </c>
      <c r="U126" s="108">
        <v>253.74</v>
      </c>
      <c r="V126" s="108">
        <v>253.74</v>
      </c>
      <c r="W126" s="108">
        <v>136.11</v>
      </c>
      <c r="X126" s="108">
        <v>136.11</v>
      </c>
      <c r="Y126" s="108">
        <v>194.49</v>
      </c>
      <c r="Z126" s="108">
        <v>194.49</v>
      </c>
      <c r="AA126" s="108">
        <v>188.01</v>
      </c>
      <c r="AB126" s="108">
        <v>188.01</v>
      </c>
      <c r="AC126" s="176">
        <f t="shared" si="9"/>
        <v>2383.54</v>
      </c>
      <c r="AD126" s="176">
        <f t="shared" si="10"/>
        <v>2383.54</v>
      </c>
      <c r="AE126" s="211">
        <f t="shared" si="11"/>
        <v>2006.871115</v>
      </c>
      <c r="AF126" s="11"/>
    </row>
    <row r="127" s="4" customFormat="1" ht="35" customHeight="1" spans="1:32">
      <c r="A127" s="48">
        <v>124</v>
      </c>
      <c r="B127" s="48" t="s">
        <v>281</v>
      </c>
      <c r="C127" s="51" t="s">
        <v>282</v>
      </c>
      <c r="D127" s="75">
        <v>738.18833</v>
      </c>
      <c r="E127" s="48">
        <v>64.75</v>
      </c>
      <c r="F127" s="48">
        <v>64.75</v>
      </c>
      <c r="G127" s="48">
        <v>125.09</v>
      </c>
      <c r="H127" s="216">
        <v>125.09</v>
      </c>
      <c r="I127" s="108">
        <v>87.36</v>
      </c>
      <c r="J127" s="108"/>
      <c r="K127" s="108">
        <v>82.74</v>
      </c>
      <c r="L127" s="108">
        <v>10.82</v>
      </c>
      <c r="M127" s="108">
        <v>62.58</v>
      </c>
      <c r="N127" s="108">
        <v>221.86</v>
      </c>
      <c r="O127" s="108">
        <v>67.83</v>
      </c>
      <c r="P127" s="108">
        <v>67.83</v>
      </c>
      <c r="Q127" s="108">
        <v>61.31</v>
      </c>
      <c r="R127" s="108">
        <v>61.31</v>
      </c>
      <c r="S127" s="108">
        <v>68.26</v>
      </c>
      <c r="T127" s="108">
        <v>68.26</v>
      </c>
      <c r="U127" s="108">
        <v>65.99</v>
      </c>
      <c r="V127" s="108">
        <v>65.99</v>
      </c>
      <c r="W127" s="108">
        <v>16.74</v>
      </c>
      <c r="X127" s="108">
        <v>16.74</v>
      </c>
      <c r="Y127" s="108">
        <v>25.27</v>
      </c>
      <c r="Z127" s="108">
        <v>25.27</v>
      </c>
      <c r="AA127" s="108">
        <v>13.12</v>
      </c>
      <c r="AB127" s="108">
        <v>13.12</v>
      </c>
      <c r="AC127" s="176">
        <f t="shared" si="9"/>
        <v>741.04</v>
      </c>
      <c r="AD127" s="176">
        <f t="shared" si="10"/>
        <v>741.04</v>
      </c>
      <c r="AE127" s="211">
        <f t="shared" si="11"/>
        <v>738.18833</v>
      </c>
      <c r="AF127" s="11"/>
    </row>
    <row r="128" s="4" customFormat="1" ht="35" customHeight="1" spans="1:32">
      <c r="A128" s="48">
        <v>125</v>
      </c>
      <c r="B128" s="48" t="s">
        <v>283</v>
      </c>
      <c r="C128" s="51" t="s">
        <v>284</v>
      </c>
      <c r="D128" s="75">
        <v>-90.4697280000009</v>
      </c>
      <c r="E128" s="48">
        <v>311.23</v>
      </c>
      <c r="F128" s="48">
        <v>340</v>
      </c>
      <c r="G128" s="48">
        <v>410.84</v>
      </c>
      <c r="H128" s="216">
        <v>500</v>
      </c>
      <c r="I128" s="108">
        <v>326.22</v>
      </c>
      <c r="J128" s="108">
        <v>350.82</v>
      </c>
      <c r="K128" s="108">
        <v>310.18</v>
      </c>
      <c r="L128" s="108"/>
      <c r="M128" s="108">
        <v>248.55</v>
      </c>
      <c r="N128" s="108">
        <v>282.22</v>
      </c>
      <c r="O128" s="108">
        <v>280.6</v>
      </c>
      <c r="P128" s="108">
        <v>410</v>
      </c>
      <c r="Q128" s="108">
        <v>310.57</v>
      </c>
      <c r="R128" s="108">
        <v>500</v>
      </c>
      <c r="S128" s="108">
        <v>418.28</v>
      </c>
      <c r="T128" s="108">
        <v>0</v>
      </c>
      <c r="U128" s="108">
        <v>357.19</v>
      </c>
      <c r="V128" s="108">
        <v>1000</v>
      </c>
      <c r="W128" s="108">
        <v>217.93</v>
      </c>
      <c r="X128" s="108">
        <v>0</v>
      </c>
      <c r="Y128" s="108">
        <v>185.24</v>
      </c>
      <c r="Z128" s="108">
        <v>0</v>
      </c>
      <c r="AA128" s="108">
        <v>159.52</v>
      </c>
      <c r="AB128" s="108"/>
      <c r="AC128" s="176">
        <f t="shared" si="9"/>
        <v>3536.35</v>
      </c>
      <c r="AD128" s="176">
        <f t="shared" si="10"/>
        <v>3383.04</v>
      </c>
      <c r="AE128" s="211">
        <f t="shared" si="11"/>
        <v>-243.779728000001</v>
      </c>
      <c r="AF128" s="11"/>
    </row>
    <row r="129" s="4" customFormat="1" ht="35" customHeight="1" spans="1:32">
      <c r="A129" s="48">
        <v>126</v>
      </c>
      <c r="B129" s="48" t="s">
        <v>285</v>
      </c>
      <c r="C129" s="51" t="s">
        <v>286</v>
      </c>
      <c r="D129" s="75">
        <v>228.320772</v>
      </c>
      <c r="E129" s="48">
        <v>85.97</v>
      </c>
      <c r="F129" s="48">
        <v>30</v>
      </c>
      <c r="G129" s="48">
        <v>154.39</v>
      </c>
      <c r="H129" s="216">
        <v>284.36</v>
      </c>
      <c r="I129" s="108">
        <v>90.63</v>
      </c>
      <c r="J129" s="108">
        <v>70</v>
      </c>
      <c r="K129" s="108">
        <v>78.55</v>
      </c>
      <c r="L129" s="108"/>
      <c r="M129" s="108">
        <v>97.45</v>
      </c>
      <c r="N129" s="108">
        <v>52.22</v>
      </c>
      <c r="O129" s="108">
        <v>117.83</v>
      </c>
      <c r="P129" s="108">
        <v>112.24</v>
      </c>
      <c r="Q129" s="108">
        <v>102.67</v>
      </c>
      <c r="R129" s="108">
        <v>102.67</v>
      </c>
      <c r="S129" s="108">
        <v>125.95</v>
      </c>
      <c r="T129" s="108">
        <v>125.95</v>
      </c>
      <c r="U129" s="108">
        <v>102.12</v>
      </c>
      <c r="V129" s="108">
        <v>102.12</v>
      </c>
      <c r="W129" s="108">
        <v>108.09</v>
      </c>
      <c r="X129" s="108">
        <v>108.09</v>
      </c>
      <c r="Y129" s="108">
        <v>87.3</v>
      </c>
      <c r="Z129" s="108">
        <v>87.3</v>
      </c>
      <c r="AA129" s="108">
        <v>79.2</v>
      </c>
      <c r="AB129" s="108">
        <v>79.2</v>
      </c>
      <c r="AC129" s="176">
        <f t="shared" si="9"/>
        <v>1230.15</v>
      </c>
      <c r="AD129" s="176">
        <f t="shared" si="10"/>
        <v>1154.15</v>
      </c>
      <c r="AE129" s="211">
        <f t="shared" si="11"/>
        <v>152.320772</v>
      </c>
      <c r="AF129" s="11"/>
    </row>
    <row r="130" s="4" customFormat="1" ht="35" customHeight="1" spans="1:32">
      <c r="A130" s="48">
        <v>127</v>
      </c>
      <c r="B130" s="48" t="s">
        <v>287</v>
      </c>
      <c r="C130" s="51" t="s">
        <v>288</v>
      </c>
      <c r="D130" s="75">
        <v>601.026065</v>
      </c>
      <c r="E130" s="48">
        <v>131.13</v>
      </c>
      <c r="F130" s="48">
        <v>69.27</v>
      </c>
      <c r="G130" s="48">
        <v>188.65</v>
      </c>
      <c r="H130" s="216"/>
      <c r="I130" s="108">
        <v>136.87</v>
      </c>
      <c r="J130" s="108">
        <v>125.52</v>
      </c>
      <c r="K130" s="108">
        <v>144.99</v>
      </c>
      <c r="L130" s="108">
        <v>144.99</v>
      </c>
      <c r="M130" s="108">
        <v>113.3</v>
      </c>
      <c r="N130" s="108">
        <v>113.3</v>
      </c>
      <c r="O130" s="108">
        <v>134.49</v>
      </c>
      <c r="P130" s="108">
        <v>134.49</v>
      </c>
      <c r="Q130" s="108">
        <v>129.14</v>
      </c>
      <c r="R130" s="108">
        <v>129.14</v>
      </c>
      <c r="S130" s="108">
        <v>176.99</v>
      </c>
      <c r="T130" s="108">
        <v>176.99</v>
      </c>
      <c r="U130" s="108">
        <v>116.9</v>
      </c>
      <c r="V130" s="108">
        <v>116.9</v>
      </c>
      <c r="W130" s="108">
        <v>96.32</v>
      </c>
      <c r="X130" s="108">
        <v>96.32</v>
      </c>
      <c r="Y130" s="108">
        <v>118.31</v>
      </c>
      <c r="Z130" s="108">
        <v>118.31</v>
      </c>
      <c r="AA130" s="108">
        <v>121.35</v>
      </c>
      <c r="AB130" s="108">
        <v>121.35</v>
      </c>
      <c r="AC130" s="176">
        <f t="shared" si="9"/>
        <v>1608.44</v>
      </c>
      <c r="AD130" s="176">
        <f t="shared" si="10"/>
        <v>1346.58</v>
      </c>
      <c r="AE130" s="211">
        <f t="shared" si="11"/>
        <v>339.166065</v>
      </c>
      <c r="AF130" s="11"/>
    </row>
    <row r="131" s="4" customFormat="1" ht="35" customHeight="1" spans="1:32">
      <c r="A131" s="48">
        <v>128</v>
      </c>
      <c r="B131" s="48" t="s">
        <v>289</v>
      </c>
      <c r="C131" s="51" t="s">
        <v>290</v>
      </c>
      <c r="D131" s="75">
        <v>-793.84307</v>
      </c>
      <c r="E131" s="48">
        <v>112.08</v>
      </c>
      <c r="F131" s="48">
        <v>90</v>
      </c>
      <c r="G131" s="48">
        <v>172.63</v>
      </c>
      <c r="H131" s="216"/>
      <c r="I131" s="108">
        <v>97.16</v>
      </c>
      <c r="J131" s="108"/>
      <c r="K131" s="108">
        <v>81.54</v>
      </c>
      <c r="L131" s="108"/>
      <c r="M131" s="108">
        <v>97.45</v>
      </c>
      <c r="N131" s="108"/>
      <c r="O131" s="108">
        <v>101.72</v>
      </c>
      <c r="P131" s="108"/>
      <c r="Q131" s="108">
        <v>69.03</v>
      </c>
      <c r="R131" s="108"/>
      <c r="S131" s="108">
        <v>76.03</v>
      </c>
      <c r="T131" s="108">
        <v>557.72</v>
      </c>
      <c r="U131" s="108">
        <v>51.76</v>
      </c>
      <c r="V131" s="108"/>
      <c r="W131" s="108">
        <v>50.36</v>
      </c>
      <c r="X131" s="108"/>
      <c r="Y131" s="108">
        <v>69.35</v>
      </c>
      <c r="Z131" s="108"/>
      <c r="AA131" s="108">
        <v>64.39</v>
      </c>
      <c r="AB131" s="108"/>
      <c r="AC131" s="176">
        <f t="shared" si="9"/>
        <v>1043.5</v>
      </c>
      <c r="AD131" s="176">
        <f t="shared" si="10"/>
        <v>647.72</v>
      </c>
      <c r="AE131" s="211">
        <f t="shared" si="11"/>
        <v>-1189.62307</v>
      </c>
      <c r="AF131" s="11"/>
    </row>
    <row r="132" s="4" customFormat="1" ht="35" customHeight="1" spans="1:32">
      <c r="A132" s="48">
        <v>129</v>
      </c>
      <c r="B132" s="48" t="s">
        <v>291</v>
      </c>
      <c r="C132" s="51" t="s">
        <v>292</v>
      </c>
      <c r="D132" s="75">
        <v>-475.691464999999</v>
      </c>
      <c r="E132" s="48">
        <v>60.4</v>
      </c>
      <c r="F132" s="48"/>
      <c r="G132" s="48">
        <v>32.24</v>
      </c>
      <c r="H132" s="216"/>
      <c r="I132" s="108">
        <v>25.88</v>
      </c>
      <c r="J132" s="108"/>
      <c r="K132" s="108">
        <v>37.24</v>
      </c>
      <c r="L132" s="108">
        <v>573.04</v>
      </c>
      <c r="M132" s="108">
        <v>33.53</v>
      </c>
      <c r="N132" s="108"/>
      <c r="O132" s="108">
        <v>24.45</v>
      </c>
      <c r="P132" s="108"/>
      <c r="Q132" s="108">
        <v>10.03</v>
      </c>
      <c r="R132" s="108"/>
      <c r="S132" s="108">
        <v>11.13</v>
      </c>
      <c r="T132" s="108"/>
      <c r="U132" s="108">
        <v>10.21</v>
      </c>
      <c r="V132" s="108"/>
      <c r="W132" s="108">
        <v>10.01</v>
      </c>
      <c r="X132" s="108"/>
      <c r="Y132" s="108">
        <v>10.6</v>
      </c>
      <c r="Z132" s="108"/>
      <c r="AA132" s="108">
        <v>10.3</v>
      </c>
      <c r="AB132" s="108"/>
      <c r="AC132" s="176">
        <f t="shared" si="9"/>
        <v>276.02</v>
      </c>
      <c r="AD132" s="176">
        <f t="shared" si="10"/>
        <v>573.04</v>
      </c>
      <c r="AE132" s="211">
        <f t="shared" si="11"/>
        <v>-178.671464999999</v>
      </c>
      <c r="AF132" s="11"/>
    </row>
    <row r="133" s="4" customFormat="1" ht="35" customHeight="1" spans="1:32">
      <c r="A133" s="48">
        <v>130</v>
      </c>
      <c r="B133" s="108"/>
      <c r="C133" s="108" t="s">
        <v>3</v>
      </c>
      <c r="D133" s="214">
        <f>SUM(D4:D132)</f>
        <v>42270.075414</v>
      </c>
      <c r="E133" s="108">
        <f t="shared" ref="D133:AE133" si="12">SUM(E4:E132)</f>
        <v>24824.72</v>
      </c>
      <c r="F133" s="108">
        <f t="shared" si="12"/>
        <v>19826.54</v>
      </c>
      <c r="G133" s="108">
        <f t="shared" si="12"/>
        <v>27159.58</v>
      </c>
      <c r="H133" s="216">
        <f t="shared" si="12"/>
        <v>28546.24</v>
      </c>
      <c r="I133" s="216">
        <f t="shared" si="12"/>
        <v>21690.97</v>
      </c>
      <c r="J133" s="108">
        <f t="shared" si="12"/>
        <v>28077.71</v>
      </c>
      <c r="K133" s="108">
        <f t="shared" si="12"/>
        <v>20346.22</v>
      </c>
      <c r="L133" s="108">
        <f t="shared" si="12"/>
        <v>15469.53</v>
      </c>
      <c r="M133" s="108">
        <f t="shared" si="12"/>
        <v>15932.65</v>
      </c>
      <c r="N133" s="108">
        <f t="shared" si="12"/>
        <v>19339.47</v>
      </c>
      <c r="O133" s="108">
        <f t="shared" si="12"/>
        <v>20291.18</v>
      </c>
      <c r="P133" s="108">
        <f t="shared" si="12"/>
        <v>19585.75</v>
      </c>
      <c r="Q133" s="108">
        <f t="shared" si="12"/>
        <v>23730.05</v>
      </c>
      <c r="R133" s="108">
        <f t="shared" si="12"/>
        <v>20775.47</v>
      </c>
      <c r="S133" s="108">
        <f t="shared" si="12"/>
        <v>31113.34</v>
      </c>
      <c r="T133" s="108">
        <f t="shared" si="12"/>
        <v>30823.82</v>
      </c>
      <c r="U133" s="108">
        <f t="shared" si="12"/>
        <v>24391.47</v>
      </c>
      <c r="V133" s="108">
        <f t="shared" si="12"/>
        <v>29462.93</v>
      </c>
      <c r="W133" s="108">
        <f t="shared" si="12"/>
        <v>19690.18</v>
      </c>
      <c r="X133" s="108">
        <f t="shared" si="12"/>
        <v>15548.76</v>
      </c>
      <c r="Y133" s="108">
        <f t="shared" si="12"/>
        <v>18138</v>
      </c>
      <c r="Z133" s="108">
        <f t="shared" si="12"/>
        <v>11242.95</v>
      </c>
      <c r="AA133" s="108">
        <f t="shared" si="12"/>
        <v>16666.16</v>
      </c>
      <c r="AB133" s="108">
        <f t="shared" si="12"/>
        <v>13419.61</v>
      </c>
      <c r="AC133" s="176">
        <f t="shared" si="12"/>
        <v>263974.52</v>
      </c>
      <c r="AD133" s="176">
        <f t="shared" si="12"/>
        <v>252118.78</v>
      </c>
      <c r="AE133" s="185">
        <f t="shared" si="12"/>
        <v>30414.335414</v>
      </c>
      <c r="AF133" s="11"/>
    </row>
  </sheetData>
  <sheetProtection password="DE10" sheet="1" objects="1"/>
  <mergeCells count="3">
    <mergeCell ref="A1:AB1"/>
    <mergeCell ref="A2:D2"/>
    <mergeCell ref="Z2:AB2"/>
  </mergeCells>
  <conditionalFormatting sqref="C4:C67">
    <cfRule type="cellIs" dxfId="0" priority="3" operator="equal">
      <formula>0</formula>
    </cfRule>
    <cfRule type="duplicateValues" dxfId="1" priority="2"/>
  </conditionalFormatting>
  <conditionalFormatting sqref="C70:C132">
    <cfRule type="cellIs" dxfId="0" priority="1" operator="equal">
      <formula>0</formula>
    </cfRule>
  </conditionalFormatting>
  <pageMargins left="0.393055555555556" right="0.393055555555556" top="0.393055555555556" bottom="0.393055555555556" header="0.5" footer="0.5"/>
  <pageSetup paperSize="9" scale="33" fitToHeight="0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E133"/>
  <sheetViews>
    <sheetView topLeftCell="A28" workbookViewId="0">
      <selection activeCell="A1" sqref="A1:AB1"/>
    </sheetView>
  </sheetViews>
  <sheetFormatPr defaultColWidth="9" defaultRowHeight="13.5"/>
  <cols>
    <col min="1" max="1" width="6.5" style="11" customWidth="1"/>
    <col min="2" max="3" width="9" style="11"/>
    <col min="4" max="4" width="11" style="208" customWidth="1"/>
    <col min="5" max="8" width="9.66666666666667" style="11"/>
    <col min="9" max="9" width="9" style="11"/>
    <col min="10" max="11" width="9.66666666666667" style="11"/>
    <col min="12" max="12" width="9" style="11"/>
    <col min="13" max="19" width="9.66666666666667" style="11"/>
    <col min="20" max="20" width="9" style="11"/>
    <col min="21" max="21" width="9.66666666666667" style="11"/>
    <col min="22" max="22" width="9" style="11"/>
    <col min="23" max="26" width="9.66666666666667" style="11"/>
    <col min="27" max="27" width="15.4416666666667" style="11" customWidth="1"/>
    <col min="28" max="28" width="9.66666666666667" style="11"/>
    <col min="29" max="30" width="10.6666666666667" style="11"/>
    <col min="31" max="31" width="11.775" style="14" customWidth="1"/>
    <col min="32" max="33" width="9" style="11"/>
    <col min="34" max="16383" width="9" style="13"/>
  </cols>
  <sheetData>
    <row r="1" s="11" customFormat="1" ht="35" customHeight="1" spans="1:31">
      <c r="A1" s="43" t="s">
        <v>340</v>
      </c>
      <c r="B1" s="43"/>
      <c r="C1" s="43"/>
      <c r="D1" s="70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E1" s="14"/>
    </row>
    <row r="2" s="11" customFormat="1" ht="35" customHeight="1" spans="1:31">
      <c r="A2" s="45" t="s">
        <v>1</v>
      </c>
      <c r="B2" s="45"/>
      <c r="C2" s="45"/>
      <c r="D2" s="71"/>
      <c r="E2" s="72"/>
      <c r="F2" s="72"/>
      <c r="G2" s="7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74" t="s">
        <v>2</v>
      </c>
      <c r="AA2" s="174"/>
      <c r="AB2" s="174"/>
      <c r="AE2" s="14"/>
    </row>
    <row r="3" s="12" customFormat="1" ht="53" customHeight="1" spans="1:31">
      <c r="A3" s="48" t="s">
        <v>6</v>
      </c>
      <c r="B3" s="48" t="s">
        <v>7</v>
      </c>
      <c r="C3" s="48" t="s">
        <v>8</v>
      </c>
      <c r="D3" s="74" t="s">
        <v>9</v>
      </c>
      <c r="E3" s="209" t="s">
        <v>341</v>
      </c>
      <c r="F3" s="64" t="s">
        <v>11</v>
      </c>
      <c r="G3" s="64" t="s">
        <v>12</v>
      </c>
      <c r="H3" s="64" t="s">
        <v>13</v>
      </c>
      <c r="I3" s="64" t="s">
        <v>14</v>
      </c>
      <c r="J3" s="64" t="s">
        <v>15</v>
      </c>
      <c r="K3" s="64" t="s">
        <v>342</v>
      </c>
      <c r="L3" s="64" t="s">
        <v>17</v>
      </c>
      <c r="M3" s="64" t="s">
        <v>18</v>
      </c>
      <c r="N3" s="64" t="s">
        <v>19</v>
      </c>
      <c r="O3" s="64" t="s">
        <v>20</v>
      </c>
      <c r="P3" s="64" t="s">
        <v>21</v>
      </c>
      <c r="Q3" s="64" t="s">
        <v>22</v>
      </c>
      <c r="R3" s="64" t="s">
        <v>23</v>
      </c>
      <c r="S3" s="64" t="s">
        <v>24</v>
      </c>
      <c r="T3" s="64" t="s">
        <v>25</v>
      </c>
      <c r="U3" s="64" t="s">
        <v>26</v>
      </c>
      <c r="V3" s="64" t="s">
        <v>27</v>
      </c>
      <c r="W3" s="64" t="s">
        <v>28</v>
      </c>
      <c r="X3" s="64" t="s">
        <v>29</v>
      </c>
      <c r="Y3" s="64" t="s">
        <v>30</v>
      </c>
      <c r="Z3" s="64" t="s">
        <v>31</v>
      </c>
      <c r="AA3" s="209" t="s">
        <v>343</v>
      </c>
      <c r="AB3" s="64" t="s">
        <v>33</v>
      </c>
      <c r="AC3" s="50" t="s">
        <v>32</v>
      </c>
      <c r="AD3" s="50" t="s">
        <v>314</v>
      </c>
      <c r="AE3" s="206" t="s">
        <v>36</v>
      </c>
    </row>
    <row r="4" s="11" customFormat="1" ht="35" customHeight="1" spans="1:31">
      <c r="A4" s="48">
        <v>1</v>
      </c>
      <c r="B4" s="48" t="s">
        <v>37</v>
      </c>
      <c r="C4" s="51" t="s">
        <v>38</v>
      </c>
      <c r="D4" s="75">
        <v>189.550839</v>
      </c>
      <c r="E4" s="81">
        <v>98.09</v>
      </c>
      <c r="F4" s="48">
        <v>98.09</v>
      </c>
      <c r="G4" s="81">
        <v>135.24</v>
      </c>
      <c r="H4" s="108"/>
      <c r="I4" s="81">
        <v>119.18</v>
      </c>
      <c r="J4" s="108">
        <v>254.42</v>
      </c>
      <c r="K4" s="81">
        <v>168.84</v>
      </c>
      <c r="L4" s="108"/>
      <c r="M4" s="108"/>
      <c r="N4" s="108">
        <v>87.67</v>
      </c>
      <c r="O4" s="81">
        <v>88.84</v>
      </c>
      <c r="P4" s="108">
        <v>81.17</v>
      </c>
      <c r="Q4" s="81">
        <v>99.79</v>
      </c>
      <c r="R4" s="108">
        <v>288.42</v>
      </c>
      <c r="S4" s="81">
        <v>173.12</v>
      </c>
      <c r="T4" s="108">
        <v>73.33</v>
      </c>
      <c r="U4" s="81">
        <v>153.49</v>
      </c>
      <c r="V4" s="108">
        <v>306.98</v>
      </c>
      <c r="W4" s="81">
        <v>100.43</v>
      </c>
      <c r="X4" s="108">
        <v>0</v>
      </c>
      <c r="Y4" s="81">
        <v>108.85</v>
      </c>
      <c r="Z4" s="108">
        <v>55.79</v>
      </c>
      <c r="AA4" s="81">
        <v>99.72</v>
      </c>
      <c r="AB4" s="108">
        <v>99.72</v>
      </c>
      <c r="AC4" s="176">
        <f>E4+G4+I4+K4+M4+O4+Q4+S4+U4+W4+Y4+AA4</f>
        <v>1345.59</v>
      </c>
      <c r="AD4" s="176">
        <f>F4+H4+J4+L4+N4+P4+R4+T4+V4+X4+Z4+AB4</f>
        <v>1345.59</v>
      </c>
      <c r="AE4" s="211">
        <f>D4+AD4-AC4</f>
        <v>189.550839</v>
      </c>
    </row>
    <row r="5" s="11" customFormat="1" ht="35" customHeight="1" spans="1:31">
      <c r="A5" s="48">
        <v>2</v>
      </c>
      <c r="B5" s="48" t="s">
        <v>39</v>
      </c>
      <c r="C5" s="51" t="s">
        <v>40</v>
      </c>
      <c r="D5" s="75">
        <v>226.134904</v>
      </c>
      <c r="E5" s="81">
        <v>153.21</v>
      </c>
      <c r="F5" s="48">
        <v>153.21</v>
      </c>
      <c r="G5" s="81">
        <v>167.26</v>
      </c>
      <c r="H5" s="108"/>
      <c r="I5" s="81">
        <v>227.75</v>
      </c>
      <c r="J5" s="108">
        <v>395.01</v>
      </c>
      <c r="K5" s="81">
        <v>205.8</v>
      </c>
      <c r="L5" s="108"/>
      <c r="M5" s="108"/>
      <c r="N5" s="108">
        <v>205.8</v>
      </c>
      <c r="O5" s="81">
        <v>82.31</v>
      </c>
      <c r="P5" s="108">
        <v>82.31</v>
      </c>
      <c r="Q5" s="81">
        <v>120.47</v>
      </c>
      <c r="R5" s="108">
        <v>120.47</v>
      </c>
      <c r="S5" s="81">
        <v>159.91</v>
      </c>
      <c r="T5" s="108">
        <v>159.91</v>
      </c>
      <c r="U5" s="81">
        <v>91.04</v>
      </c>
      <c r="V5" s="108">
        <v>91.04</v>
      </c>
      <c r="W5" s="81">
        <v>103.25</v>
      </c>
      <c r="X5" s="108">
        <v>103.25</v>
      </c>
      <c r="Y5" s="81">
        <v>77.07</v>
      </c>
      <c r="Z5" s="108">
        <v>77.07</v>
      </c>
      <c r="AA5" s="81">
        <v>99.72</v>
      </c>
      <c r="AB5" s="108">
        <v>99.72</v>
      </c>
      <c r="AC5" s="176">
        <f t="shared" ref="AC5:AC36" si="0">E5+G5+I5+K5+M5+O5+Q5+S5+U5+W5+Y5+AA5</f>
        <v>1487.79</v>
      </c>
      <c r="AD5" s="176">
        <f t="shared" ref="AD5:AD36" si="1">F5+H5+J5+L5+N5+P5+R5+T5+V5+X5+Z5+AB5</f>
        <v>1487.79</v>
      </c>
      <c r="AE5" s="211">
        <f t="shared" ref="AE5:AE36" si="2">D5+AD5-AC5</f>
        <v>226.134904</v>
      </c>
    </row>
    <row r="6" s="11" customFormat="1" ht="35" customHeight="1" spans="1:31">
      <c r="A6" s="48">
        <v>3</v>
      </c>
      <c r="B6" s="48" t="s">
        <v>41</v>
      </c>
      <c r="C6" s="51" t="s">
        <v>42</v>
      </c>
      <c r="D6" s="75">
        <v>147.07247</v>
      </c>
      <c r="E6" s="81">
        <v>10.22</v>
      </c>
      <c r="F6" s="48">
        <v>0</v>
      </c>
      <c r="G6" s="81">
        <v>12.15</v>
      </c>
      <c r="H6" s="108"/>
      <c r="I6" s="81">
        <v>10.62</v>
      </c>
      <c r="J6" s="108">
        <v>0</v>
      </c>
      <c r="K6" s="81">
        <v>20.91</v>
      </c>
      <c r="L6" s="108"/>
      <c r="M6" s="108"/>
      <c r="N6" s="108">
        <v>85.98</v>
      </c>
      <c r="O6" s="81">
        <v>7.76</v>
      </c>
      <c r="P6" s="108">
        <v>0</v>
      </c>
      <c r="Q6" s="81">
        <v>13.28</v>
      </c>
      <c r="R6" s="108">
        <v>0</v>
      </c>
      <c r="S6" s="81">
        <v>13.99</v>
      </c>
      <c r="T6" s="108">
        <v>0</v>
      </c>
      <c r="U6" s="81">
        <v>12.28</v>
      </c>
      <c r="V6" s="108">
        <v>0</v>
      </c>
      <c r="W6" s="81">
        <v>10.63</v>
      </c>
      <c r="X6" s="108">
        <v>200</v>
      </c>
      <c r="Y6" s="81">
        <v>10.77</v>
      </c>
      <c r="Z6" s="108">
        <v>68.94</v>
      </c>
      <c r="AA6" s="81">
        <v>11.78</v>
      </c>
      <c r="AB6" s="108">
        <v>0</v>
      </c>
      <c r="AC6" s="176">
        <f t="shared" si="0"/>
        <v>134.39</v>
      </c>
      <c r="AD6" s="176">
        <f t="shared" si="1"/>
        <v>354.92</v>
      </c>
      <c r="AE6" s="211">
        <f t="shared" si="2"/>
        <v>367.60247</v>
      </c>
    </row>
    <row r="7" s="11" customFormat="1" ht="35" customHeight="1" spans="1:31">
      <c r="A7" s="48">
        <v>4</v>
      </c>
      <c r="B7" s="48" t="s">
        <v>43</v>
      </c>
      <c r="C7" s="51" t="s">
        <v>44</v>
      </c>
      <c r="D7" s="75">
        <v>73.1280699999995</v>
      </c>
      <c r="E7" s="81">
        <v>180.49</v>
      </c>
      <c r="F7" s="48">
        <v>260.9</v>
      </c>
      <c r="G7" s="81">
        <v>213.07</v>
      </c>
      <c r="H7" s="108">
        <v>213.07</v>
      </c>
      <c r="I7" s="81">
        <v>207.81</v>
      </c>
      <c r="J7" s="108">
        <v>207.81</v>
      </c>
      <c r="K7" s="81">
        <v>343.51</v>
      </c>
      <c r="L7" s="108">
        <v>197.8</v>
      </c>
      <c r="M7" s="108"/>
      <c r="N7" s="108">
        <v>145.71</v>
      </c>
      <c r="O7" s="81">
        <v>145.42</v>
      </c>
      <c r="P7" s="108">
        <v>145.42</v>
      </c>
      <c r="Q7" s="81">
        <v>190.66</v>
      </c>
      <c r="R7" s="108">
        <v>190.66</v>
      </c>
      <c r="S7" s="81">
        <v>262.32</v>
      </c>
      <c r="T7" s="108">
        <v>0</v>
      </c>
      <c r="U7" s="81">
        <v>259.82</v>
      </c>
      <c r="V7" s="108">
        <v>522.14</v>
      </c>
      <c r="W7" s="81">
        <v>208.3</v>
      </c>
      <c r="X7" s="108">
        <v>208.3</v>
      </c>
      <c r="Y7" s="81">
        <v>139.53</v>
      </c>
      <c r="Z7" s="108">
        <v>139.53</v>
      </c>
      <c r="AA7" s="81">
        <v>179.76</v>
      </c>
      <c r="AB7" s="108">
        <v>179.76</v>
      </c>
      <c r="AC7" s="176">
        <f t="shared" si="0"/>
        <v>2330.69</v>
      </c>
      <c r="AD7" s="176">
        <f t="shared" si="1"/>
        <v>2411.1</v>
      </c>
      <c r="AE7" s="211">
        <f t="shared" si="2"/>
        <v>153.538070000001</v>
      </c>
    </row>
    <row r="8" s="11" customFormat="1" ht="35" customHeight="1" spans="1:31">
      <c r="A8" s="48">
        <v>5</v>
      </c>
      <c r="B8" s="48" t="s">
        <v>45</v>
      </c>
      <c r="C8" s="51" t="s">
        <v>46</v>
      </c>
      <c r="D8" s="75">
        <v>252.21717</v>
      </c>
      <c r="E8" s="81">
        <v>128.1</v>
      </c>
      <c r="F8" s="48">
        <v>128.1</v>
      </c>
      <c r="G8" s="81">
        <v>222.46</v>
      </c>
      <c r="H8" s="108"/>
      <c r="I8" s="81">
        <v>218.88</v>
      </c>
      <c r="J8" s="108">
        <v>441.34</v>
      </c>
      <c r="K8" s="81">
        <v>237.08</v>
      </c>
      <c r="L8" s="108"/>
      <c r="M8" s="108"/>
      <c r="N8" s="108">
        <v>237.08</v>
      </c>
      <c r="O8" s="81">
        <v>107.33</v>
      </c>
      <c r="P8" s="108">
        <v>107.33</v>
      </c>
      <c r="Q8" s="81">
        <v>115.57</v>
      </c>
      <c r="R8" s="108">
        <v>115.57</v>
      </c>
      <c r="S8" s="81">
        <v>274.44</v>
      </c>
      <c r="T8" s="108">
        <v>274.44</v>
      </c>
      <c r="U8" s="81">
        <v>305.95</v>
      </c>
      <c r="V8" s="108">
        <v>305.95</v>
      </c>
      <c r="W8" s="81">
        <v>137.14</v>
      </c>
      <c r="X8" s="108">
        <v>137.14</v>
      </c>
      <c r="Y8" s="81">
        <v>134.05</v>
      </c>
      <c r="Z8" s="108">
        <v>134.05</v>
      </c>
      <c r="AA8" s="81">
        <v>113.81</v>
      </c>
      <c r="AB8" s="108">
        <v>113.81</v>
      </c>
      <c r="AC8" s="176">
        <f t="shared" si="0"/>
        <v>1994.81</v>
      </c>
      <c r="AD8" s="176">
        <f t="shared" si="1"/>
        <v>1994.81</v>
      </c>
      <c r="AE8" s="211">
        <f t="shared" si="2"/>
        <v>252.21717</v>
      </c>
    </row>
    <row r="9" s="11" customFormat="1" ht="35" customHeight="1" spans="1:31">
      <c r="A9" s="48">
        <v>6</v>
      </c>
      <c r="B9" s="48" t="s">
        <v>47</v>
      </c>
      <c r="C9" s="51" t="s">
        <v>48</v>
      </c>
      <c r="D9" s="75">
        <v>356.68497</v>
      </c>
      <c r="E9" s="81">
        <v>26.05</v>
      </c>
      <c r="F9" s="48">
        <v>26.05</v>
      </c>
      <c r="G9" s="81">
        <v>22.09</v>
      </c>
      <c r="H9" s="108"/>
      <c r="I9" s="81">
        <v>35.54</v>
      </c>
      <c r="J9" s="108">
        <v>57.63</v>
      </c>
      <c r="K9" s="81">
        <v>58.47</v>
      </c>
      <c r="L9" s="108"/>
      <c r="M9" s="108"/>
      <c r="N9" s="108">
        <v>0</v>
      </c>
      <c r="O9" s="81">
        <v>34.97</v>
      </c>
      <c r="P9" s="108">
        <v>0</v>
      </c>
      <c r="Q9" s="81">
        <v>24.16</v>
      </c>
      <c r="R9" s="108">
        <v>235.98</v>
      </c>
      <c r="S9" s="81">
        <v>20.6</v>
      </c>
      <c r="T9" s="108">
        <v>0</v>
      </c>
      <c r="U9" s="81">
        <v>37.03</v>
      </c>
      <c r="V9" s="108">
        <v>0</v>
      </c>
      <c r="W9" s="81">
        <v>58.07</v>
      </c>
      <c r="X9" s="108">
        <v>0</v>
      </c>
      <c r="Y9" s="81">
        <v>27.21</v>
      </c>
      <c r="Z9" s="108">
        <v>0</v>
      </c>
      <c r="AA9" s="81">
        <v>22.49</v>
      </c>
      <c r="AB9" s="108">
        <v>47.0200000000001</v>
      </c>
      <c r="AC9" s="176">
        <f t="shared" si="0"/>
        <v>366.68</v>
      </c>
      <c r="AD9" s="176">
        <f t="shared" si="1"/>
        <v>366.68</v>
      </c>
      <c r="AE9" s="211">
        <f t="shared" si="2"/>
        <v>356.68497</v>
      </c>
    </row>
    <row r="10" s="11" customFormat="1" ht="35" customHeight="1" spans="1:31">
      <c r="A10" s="48">
        <v>7</v>
      </c>
      <c r="B10" s="48" t="s">
        <v>49</v>
      </c>
      <c r="C10" s="51" t="s">
        <v>50</v>
      </c>
      <c r="D10" s="75">
        <v>450.020924</v>
      </c>
      <c r="E10" s="81">
        <v>164.12</v>
      </c>
      <c r="F10" s="48">
        <v>440</v>
      </c>
      <c r="G10" s="81">
        <v>171.12</v>
      </c>
      <c r="H10" s="108"/>
      <c r="I10" s="81">
        <v>119.74</v>
      </c>
      <c r="J10" s="108">
        <v>0</v>
      </c>
      <c r="K10" s="81">
        <v>252.98</v>
      </c>
      <c r="L10" s="108"/>
      <c r="M10" s="108"/>
      <c r="N10" s="108">
        <v>135.98</v>
      </c>
      <c r="O10" s="81">
        <v>117.67</v>
      </c>
      <c r="P10" s="108">
        <v>0</v>
      </c>
      <c r="Q10" s="81">
        <v>175.97</v>
      </c>
      <c r="R10" s="108">
        <v>300</v>
      </c>
      <c r="S10" s="81">
        <v>342.72</v>
      </c>
      <c r="T10" s="108">
        <v>0</v>
      </c>
      <c r="U10" s="81">
        <v>342.52</v>
      </c>
      <c r="V10" s="108">
        <v>500</v>
      </c>
      <c r="W10" s="81">
        <v>233.15</v>
      </c>
      <c r="X10" s="108">
        <v>500</v>
      </c>
      <c r="Y10" s="81">
        <v>100.63</v>
      </c>
      <c r="Z10" s="108">
        <v>27.23</v>
      </c>
      <c r="AA10" s="81">
        <v>98.03</v>
      </c>
      <c r="AB10" s="108">
        <v>0</v>
      </c>
      <c r="AC10" s="176">
        <f t="shared" si="0"/>
        <v>2118.65</v>
      </c>
      <c r="AD10" s="176">
        <f t="shared" si="1"/>
        <v>1903.21</v>
      </c>
      <c r="AE10" s="211">
        <f t="shared" si="2"/>
        <v>234.580924</v>
      </c>
    </row>
    <row r="11" s="11" customFormat="1" ht="35" customHeight="1" spans="1:31">
      <c r="A11" s="48">
        <v>8</v>
      </c>
      <c r="B11" s="48" t="s">
        <v>51</v>
      </c>
      <c r="C11" s="51" t="s">
        <v>52</v>
      </c>
      <c r="D11" s="75">
        <v>245.72027</v>
      </c>
      <c r="E11" s="81">
        <v>211.6</v>
      </c>
      <c r="F11" s="48">
        <v>440</v>
      </c>
      <c r="G11" s="81">
        <v>298.63</v>
      </c>
      <c r="H11" s="108"/>
      <c r="I11" s="81">
        <v>265.96</v>
      </c>
      <c r="J11" s="108">
        <v>500</v>
      </c>
      <c r="K11" s="81">
        <v>418.86</v>
      </c>
      <c r="L11" s="108"/>
      <c r="M11" s="108"/>
      <c r="N11" s="108">
        <v>0</v>
      </c>
      <c r="O11" s="81">
        <v>222.14</v>
      </c>
      <c r="P11" s="108">
        <v>235.98</v>
      </c>
      <c r="Q11" s="81">
        <v>253.23</v>
      </c>
      <c r="R11" s="108">
        <v>400</v>
      </c>
      <c r="S11" s="81">
        <v>393.92</v>
      </c>
      <c r="T11" s="108">
        <v>500</v>
      </c>
      <c r="U11" s="81">
        <v>365.03</v>
      </c>
      <c r="V11" s="108">
        <v>400</v>
      </c>
      <c r="W11" s="81">
        <v>285.68</v>
      </c>
      <c r="X11" s="108">
        <v>300</v>
      </c>
      <c r="Y11" s="81">
        <v>184.46</v>
      </c>
      <c r="Z11" s="108">
        <v>568.94</v>
      </c>
      <c r="AA11" s="81">
        <v>224.85</v>
      </c>
      <c r="AB11" s="108">
        <v>0</v>
      </c>
      <c r="AC11" s="176">
        <f t="shared" si="0"/>
        <v>3124.36</v>
      </c>
      <c r="AD11" s="176">
        <f t="shared" si="1"/>
        <v>3344.92</v>
      </c>
      <c r="AE11" s="211">
        <f t="shared" si="2"/>
        <v>466.280270000001</v>
      </c>
    </row>
    <row r="12" s="11" customFormat="1" ht="35" customHeight="1" spans="1:31">
      <c r="A12" s="48">
        <v>9</v>
      </c>
      <c r="B12" s="48" t="s">
        <v>53</v>
      </c>
      <c r="C12" s="51" t="s">
        <v>54</v>
      </c>
      <c r="D12" s="75">
        <v>-248.222786000002</v>
      </c>
      <c r="E12" s="81">
        <v>165.76</v>
      </c>
      <c r="F12" s="48">
        <v>440</v>
      </c>
      <c r="G12" s="81">
        <v>290.35</v>
      </c>
      <c r="H12" s="108"/>
      <c r="I12" s="81">
        <v>208.91</v>
      </c>
      <c r="J12" s="108">
        <v>0</v>
      </c>
      <c r="K12" s="81">
        <v>335.07</v>
      </c>
      <c r="L12" s="108"/>
      <c r="M12" s="108"/>
      <c r="N12" s="108">
        <v>735.98</v>
      </c>
      <c r="O12" s="81">
        <v>104.61</v>
      </c>
      <c r="P12" s="108">
        <v>0</v>
      </c>
      <c r="Q12" s="81">
        <v>125.91</v>
      </c>
      <c r="R12" s="108">
        <v>0</v>
      </c>
      <c r="S12" s="81">
        <v>184.68</v>
      </c>
      <c r="T12" s="108">
        <v>0</v>
      </c>
      <c r="U12" s="81">
        <v>242.38</v>
      </c>
      <c r="V12" s="108">
        <v>1000</v>
      </c>
      <c r="W12" s="81">
        <v>143.92</v>
      </c>
      <c r="X12" s="108">
        <v>0</v>
      </c>
      <c r="Y12" s="81">
        <v>83.1</v>
      </c>
      <c r="Z12" s="108">
        <v>68.94</v>
      </c>
      <c r="AA12" s="81">
        <v>108.17</v>
      </c>
      <c r="AB12" s="108">
        <v>0</v>
      </c>
      <c r="AC12" s="176">
        <f t="shared" si="0"/>
        <v>1992.86</v>
      </c>
      <c r="AD12" s="176">
        <f t="shared" si="1"/>
        <v>2244.92</v>
      </c>
      <c r="AE12" s="211">
        <f t="shared" si="2"/>
        <v>3.83721399999831</v>
      </c>
    </row>
    <row r="13" s="11" customFormat="1" ht="35" customHeight="1" spans="1:31">
      <c r="A13" s="48">
        <v>10</v>
      </c>
      <c r="B13" s="48" t="s">
        <v>55</v>
      </c>
      <c r="C13" s="51" t="s">
        <v>56</v>
      </c>
      <c r="D13" s="75">
        <v>518.26017</v>
      </c>
      <c r="E13" s="81">
        <v>12.41</v>
      </c>
      <c r="F13" s="48">
        <v>0</v>
      </c>
      <c r="G13" s="81">
        <v>17.12</v>
      </c>
      <c r="H13" s="108">
        <v>239</v>
      </c>
      <c r="I13" s="81">
        <v>41.08</v>
      </c>
      <c r="J13" s="108">
        <v>0</v>
      </c>
      <c r="K13" s="81">
        <v>30.7</v>
      </c>
      <c r="L13" s="108"/>
      <c r="M13" s="108"/>
      <c r="N13" s="108">
        <v>0</v>
      </c>
      <c r="O13" s="81">
        <v>7.76</v>
      </c>
      <c r="P13" s="108">
        <v>0</v>
      </c>
      <c r="Q13" s="81">
        <v>13.28</v>
      </c>
      <c r="R13" s="108">
        <v>0</v>
      </c>
      <c r="S13" s="81">
        <v>33.26</v>
      </c>
      <c r="T13" s="108">
        <v>0</v>
      </c>
      <c r="U13" s="81">
        <v>35.34</v>
      </c>
      <c r="V13" s="108">
        <v>100</v>
      </c>
      <c r="W13" s="81">
        <v>10.63</v>
      </c>
      <c r="X13" s="108">
        <v>0</v>
      </c>
      <c r="Y13" s="81">
        <v>60.08</v>
      </c>
      <c r="Z13" s="108">
        <v>68.94</v>
      </c>
      <c r="AA13" s="81">
        <v>27.56</v>
      </c>
      <c r="AB13" s="108">
        <v>100</v>
      </c>
      <c r="AC13" s="176">
        <f t="shared" si="0"/>
        <v>289.22</v>
      </c>
      <c r="AD13" s="176">
        <f t="shared" si="1"/>
        <v>507.94</v>
      </c>
      <c r="AE13" s="211">
        <f t="shared" si="2"/>
        <v>736.98017</v>
      </c>
    </row>
    <row r="14" s="11" customFormat="1" ht="35" customHeight="1" spans="1:31">
      <c r="A14" s="48">
        <v>11</v>
      </c>
      <c r="B14" s="48" t="s">
        <v>57</v>
      </c>
      <c r="C14" s="51" t="s">
        <v>58</v>
      </c>
      <c r="D14" s="75">
        <v>25.7799999999997</v>
      </c>
      <c r="E14" s="81">
        <v>183.77</v>
      </c>
      <c r="F14" s="48">
        <v>0</v>
      </c>
      <c r="G14" s="81">
        <v>238.47</v>
      </c>
      <c r="H14" s="108"/>
      <c r="I14" s="81">
        <v>126.94</v>
      </c>
      <c r="J14" s="108">
        <v>440</v>
      </c>
      <c r="K14" s="81">
        <v>245.68</v>
      </c>
      <c r="L14" s="108"/>
      <c r="M14" s="108"/>
      <c r="N14" s="108">
        <v>0</v>
      </c>
      <c r="O14" s="81">
        <v>112.23</v>
      </c>
      <c r="P14" s="108">
        <v>0</v>
      </c>
      <c r="Q14" s="81">
        <v>124.28</v>
      </c>
      <c r="R14" s="108">
        <v>0</v>
      </c>
      <c r="S14" s="81">
        <v>176.98</v>
      </c>
      <c r="T14" s="108">
        <v>0</v>
      </c>
      <c r="U14" s="81">
        <v>165.3</v>
      </c>
      <c r="V14" s="108">
        <v>735.98</v>
      </c>
      <c r="W14" s="81">
        <v>165.38</v>
      </c>
      <c r="X14" s="108">
        <v>0</v>
      </c>
      <c r="Y14" s="81">
        <v>115.97</v>
      </c>
      <c r="Z14" s="108">
        <v>0</v>
      </c>
      <c r="AA14" s="81">
        <v>108.17</v>
      </c>
      <c r="AB14" s="108">
        <v>0</v>
      </c>
      <c r="AC14" s="176">
        <f t="shared" si="0"/>
        <v>1763.17</v>
      </c>
      <c r="AD14" s="176">
        <f t="shared" si="1"/>
        <v>1175.98</v>
      </c>
      <c r="AE14" s="211">
        <f t="shared" si="2"/>
        <v>-561.410000000001</v>
      </c>
    </row>
    <row r="15" s="11" customFormat="1" ht="35" customHeight="1" spans="1:31">
      <c r="A15" s="48">
        <v>12</v>
      </c>
      <c r="B15" s="48" t="s">
        <v>59</v>
      </c>
      <c r="C15" s="51" t="s">
        <v>60</v>
      </c>
      <c r="D15" s="75">
        <v>425.514839000002</v>
      </c>
      <c r="E15" s="81">
        <v>355.13</v>
      </c>
      <c r="F15" s="48">
        <v>440</v>
      </c>
      <c r="G15" s="81">
        <v>410.13</v>
      </c>
      <c r="H15" s="108">
        <v>400</v>
      </c>
      <c r="I15" s="81">
        <v>319.14</v>
      </c>
      <c r="J15" s="108">
        <v>413</v>
      </c>
      <c r="K15" s="81">
        <v>646.13</v>
      </c>
      <c r="L15" s="108">
        <v>500</v>
      </c>
      <c r="M15" s="108"/>
      <c r="N15" s="108">
        <v>135.98</v>
      </c>
      <c r="O15" s="81">
        <v>361.43</v>
      </c>
      <c r="P15" s="108">
        <v>500</v>
      </c>
      <c r="Q15" s="81">
        <v>414.28</v>
      </c>
      <c r="R15" s="108">
        <v>400</v>
      </c>
      <c r="S15" s="81">
        <v>505.7</v>
      </c>
      <c r="T15" s="108">
        <v>0</v>
      </c>
      <c r="U15" s="81">
        <v>484.3</v>
      </c>
      <c r="V15" s="108">
        <v>400</v>
      </c>
      <c r="W15" s="81">
        <v>392.42</v>
      </c>
      <c r="X15" s="108">
        <v>500</v>
      </c>
      <c r="Y15" s="81">
        <v>234.87</v>
      </c>
      <c r="Z15" s="108">
        <v>368.94</v>
      </c>
      <c r="AA15" s="81">
        <v>269.95</v>
      </c>
      <c r="AB15" s="108">
        <v>300</v>
      </c>
      <c r="AC15" s="176">
        <f t="shared" si="0"/>
        <v>4393.48</v>
      </c>
      <c r="AD15" s="176">
        <f t="shared" si="1"/>
        <v>4357.92</v>
      </c>
      <c r="AE15" s="211">
        <f t="shared" si="2"/>
        <v>389.954839000003</v>
      </c>
    </row>
    <row r="16" s="11" customFormat="1" ht="35" customHeight="1" spans="1:31">
      <c r="A16" s="48">
        <v>13</v>
      </c>
      <c r="B16" s="48" t="s">
        <v>61</v>
      </c>
      <c r="C16" s="51" t="s">
        <v>62</v>
      </c>
      <c r="D16" s="75">
        <v>176.612869999999</v>
      </c>
      <c r="E16" s="81">
        <v>201.78</v>
      </c>
      <c r="F16" s="48">
        <v>201.78</v>
      </c>
      <c r="G16" s="81">
        <v>241.23</v>
      </c>
      <c r="H16" s="108"/>
      <c r="I16" s="81">
        <v>262.64</v>
      </c>
      <c r="J16" s="108">
        <v>503.87</v>
      </c>
      <c r="K16" s="81">
        <v>402.05</v>
      </c>
      <c r="L16" s="108"/>
      <c r="M16" s="108"/>
      <c r="N16" s="108">
        <v>0</v>
      </c>
      <c r="O16" s="81">
        <v>151.95</v>
      </c>
      <c r="P16" s="108">
        <v>0</v>
      </c>
      <c r="Q16" s="81">
        <v>185.22</v>
      </c>
      <c r="R16" s="108">
        <v>725.83</v>
      </c>
      <c r="S16" s="81">
        <v>229.29</v>
      </c>
      <c r="T16" s="108">
        <v>242.68</v>
      </c>
      <c r="U16" s="81">
        <v>210.87</v>
      </c>
      <c r="V16" s="108">
        <v>210.87</v>
      </c>
      <c r="W16" s="81">
        <v>204.35</v>
      </c>
      <c r="X16" s="108">
        <v>204.35</v>
      </c>
      <c r="Y16" s="81">
        <v>149.39</v>
      </c>
      <c r="Z16" s="108">
        <v>149.94</v>
      </c>
      <c r="AA16" s="81">
        <v>165.67</v>
      </c>
      <c r="AB16" s="108">
        <v>165.12</v>
      </c>
      <c r="AC16" s="176">
        <f t="shared" si="0"/>
        <v>2404.44</v>
      </c>
      <c r="AD16" s="176">
        <f t="shared" si="1"/>
        <v>2404.44</v>
      </c>
      <c r="AE16" s="211">
        <f t="shared" si="2"/>
        <v>176.612869999999</v>
      </c>
    </row>
    <row r="17" s="11" customFormat="1" ht="35" customHeight="1" spans="1:31">
      <c r="A17" s="48">
        <v>14</v>
      </c>
      <c r="B17" s="48" t="s">
        <v>63</v>
      </c>
      <c r="C17" s="51" t="s">
        <v>64</v>
      </c>
      <c r="D17" s="75">
        <v>300</v>
      </c>
      <c r="E17" s="81"/>
      <c r="F17" s="48">
        <v>0</v>
      </c>
      <c r="G17" s="81"/>
      <c r="H17" s="108"/>
      <c r="I17" s="81"/>
      <c r="J17" s="108">
        <v>0</v>
      </c>
      <c r="K17" s="81"/>
      <c r="L17" s="108"/>
      <c r="M17" s="108"/>
      <c r="N17" s="108">
        <v>0</v>
      </c>
      <c r="O17" s="81">
        <v>0</v>
      </c>
      <c r="P17" s="108">
        <v>0</v>
      </c>
      <c r="Q17" s="81">
        <v>0</v>
      </c>
      <c r="R17" s="108">
        <v>0</v>
      </c>
      <c r="S17" s="81"/>
      <c r="T17" s="108">
        <v>0</v>
      </c>
      <c r="U17" s="81"/>
      <c r="V17" s="108">
        <v>0</v>
      </c>
      <c r="W17" s="81">
        <v>0</v>
      </c>
      <c r="X17" s="108">
        <v>0</v>
      </c>
      <c r="Y17" s="81">
        <v>0</v>
      </c>
      <c r="Z17" s="108">
        <v>0</v>
      </c>
      <c r="AA17" s="81">
        <v>0</v>
      </c>
      <c r="AB17" s="108">
        <v>0</v>
      </c>
      <c r="AC17" s="176">
        <f t="shared" si="0"/>
        <v>0</v>
      </c>
      <c r="AD17" s="176">
        <f t="shared" si="1"/>
        <v>0</v>
      </c>
      <c r="AE17" s="211">
        <f t="shared" si="2"/>
        <v>300</v>
      </c>
    </row>
    <row r="18" s="11" customFormat="1" ht="35" customHeight="1" spans="1:31">
      <c r="A18" s="48">
        <v>15</v>
      </c>
      <c r="B18" s="48" t="s">
        <v>65</v>
      </c>
      <c r="C18" s="51" t="s">
        <v>66</v>
      </c>
      <c r="D18" s="75">
        <v>300</v>
      </c>
      <c r="E18" s="81"/>
      <c r="F18" s="48">
        <v>0</v>
      </c>
      <c r="G18" s="81"/>
      <c r="H18" s="108"/>
      <c r="I18" s="81"/>
      <c r="J18" s="108">
        <v>0</v>
      </c>
      <c r="K18" s="81"/>
      <c r="L18" s="108"/>
      <c r="M18" s="108"/>
      <c r="N18" s="108">
        <v>0</v>
      </c>
      <c r="O18" s="81">
        <v>0</v>
      </c>
      <c r="P18" s="108">
        <v>0</v>
      </c>
      <c r="Q18" s="81">
        <v>0</v>
      </c>
      <c r="R18" s="108">
        <v>0</v>
      </c>
      <c r="S18" s="81"/>
      <c r="T18" s="108">
        <v>0</v>
      </c>
      <c r="U18" s="81"/>
      <c r="V18" s="108">
        <v>0</v>
      </c>
      <c r="W18" s="81">
        <v>0</v>
      </c>
      <c r="X18" s="108">
        <v>0</v>
      </c>
      <c r="Y18" s="81">
        <v>0</v>
      </c>
      <c r="Z18" s="108">
        <v>0</v>
      </c>
      <c r="AA18" s="81">
        <v>0</v>
      </c>
      <c r="AB18" s="108">
        <v>0</v>
      </c>
      <c r="AC18" s="176">
        <f t="shared" si="0"/>
        <v>0</v>
      </c>
      <c r="AD18" s="176">
        <f t="shared" si="1"/>
        <v>0</v>
      </c>
      <c r="AE18" s="211">
        <f t="shared" si="2"/>
        <v>300</v>
      </c>
    </row>
    <row r="19" s="11" customFormat="1" ht="35" customHeight="1" spans="1:31">
      <c r="A19" s="48">
        <v>16</v>
      </c>
      <c r="B19" s="48" t="s">
        <v>67</v>
      </c>
      <c r="C19" s="51" t="s">
        <v>68</v>
      </c>
      <c r="D19" s="75">
        <v>231.53637</v>
      </c>
      <c r="E19" s="81">
        <v>191.95</v>
      </c>
      <c r="F19" s="48">
        <v>191.95</v>
      </c>
      <c r="G19" s="81">
        <v>261.1</v>
      </c>
      <c r="H19" s="108"/>
      <c r="I19" s="81">
        <v>315.82</v>
      </c>
      <c r="J19" s="108">
        <v>576.92</v>
      </c>
      <c r="K19" s="81">
        <v>380.08</v>
      </c>
      <c r="L19" s="108"/>
      <c r="M19" s="108"/>
      <c r="N19" s="108">
        <v>380.08</v>
      </c>
      <c r="O19" s="81">
        <v>183.51</v>
      </c>
      <c r="P19" s="108">
        <v>183.51</v>
      </c>
      <c r="Q19" s="81">
        <v>172.16</v>
      </c>
      <c r="R19" s="108">
        <v>172.16</v>
      </c>
      <c r="S19" s="81">
        <v>184.68</v>
      </c>
      <c r="T19" s="108">
        <v>184.68</v>
      </c>
      <c r="U19" s="81">
        <v>148.99</v>
      </c>
      <c r="V19" s="108">
        <v>148.99</v>
      </c>
      <c r="W19" s="81">
        <v>174.98</v>
      </c>
      <c r="X19" s="108">
        <v>174.98</v>
      </c>
      <c r="Y19" s="81">
        <v>198.16</v>
      </c>
      <c r="Z19" s="108">
        <v>198.16</v>
      </c>
      <c r="AA19" s="81">
        <v>241.2</v>
      </c>
      <c r="AB19" s="108">
        <v>241.2</v>
      </c>
      <c r="AC19" s="176">
        <f t="shared" si="0"/>
        <v>2452.63</v>
      </c>
      <c r="AD19" s="176">
        <f t="shared" si="1"/>
        <v>2452.63</v>
      </c>
      <c r="AE19" s="211">
        <f t="shared" si="2"/>
        <v>231.536369999999</v>
      </c>
    </row>
    <row r="20" s="11" customFormat="1" ht="35" customHeight="1" spans="1:31">
      <c r="A20" s="48">
        <v>17</v>
      </c>
      <c r="B20" s="48" t="s">
        <v>69</v>
      </c>
      <c r="C20" s="51" t="s">
        <v>70</v>
      </c>
      <c r="D20" s="75">
        <v>135.226674</v>
      </c>
      <c r="E20" s="81">
        <v>551.04</v>
      </c>
      <c r="F20" s="48">
        <v>0</v>
      </c>
      <c r="G20" s="81">
        <v>602.23</v>
      </c>
      <c r="H20" s="108">
        <v>440</v>
      </c>
      <c r="I20" s="81">
        <v>572.27</v>
      </c>
      <c r="J20" s="108">
        <v>0</v>
      </c>
      <c r="K20" s="81">
        <v>780.93</v>
      </c>
      <c r="L20" s="108">
        <v>1500</v>
      </c>
      <c r="M20" s="108"/>
      <c r="N20" s="108">
        <v>0</v>
      </c>
      <c r="O20" s="81">
        <v>296.14</v>
      </c>
      <c r="P20" s="108"/>
      <c r="Q20" s="81">
        <v>405.03</v>
      </c>
      <c r="R20" s="108">
        <v>0</v>
      </c>
      <c r="S20" s="81">
        <v>532.13</v>
      </c>
      <c r="T20" s="108">
        <v>0</v>
      </c>
      <c r="U20" s="81">
        <v>498.36</v>
      </c>
      <c r="V20" s="108">
        <v>0</v>
      </c>
      <c r="W20" s="81">
        <v>461.32</v>
      </c>
      <c r="X20" s="108">
        <v>0</v>
      </c>
      <c r="Y20" s="81">
        <v>319.79</v>
      </c>
      <c r="Z20" s="108">
        <v>1568.94</v>
      </c>
      <c r="AA20" s="81">
        <v>407.49</v>
      </c>
      <c r="AB20" s="108">
        <v>0</v>
      </c>
      <c r="AC20" s="176">
        <f t="shared" si="0"/>
        <v>5426.73</v>
      </c>
      <c r="AD20" s="176">
        <f t="shared" si="1"/>
        <v>3508.94</v>
      </c>
      <c r="AE20" s="211">
        <f t="shared" si="2"/>
        <v>-1782.563326</v>
      </c>
    </row>
    <row r="21" s="11" customFormat="1" ht="35" customHeight="1" spans="1:31">
      <c r="A21" s="48">
        <v>18</v>
      </c>
      <c r="B21" s="48" t="s">
        <v>71</v>
      </c>
      <c r="C21" s="51" t="s">
        <v>72</v>
      </c>
      <c r="D21" s="75">
        <v>523.512589</v>
      </c>
      <c r="E21" s="81">
        <v>65.89</v>
      </c>
      <c r="F21" s="48">
        <v>0</v>
      </c>
      <c r="G21" s="81">
        <v>79.49</v>
      </c>
      <c r="H21" s="108"/>
      <c r="I21" s="81">
        <v>272.06</v>
      </c>
      <c r="J21" s="108">
        <v>495.45</v>
      </c>
      <c r="K21" s="81">
        <v>494.92</v>
      </c>
      <c r="L21" s="108"/>
      <c r="M21" s="108"/>
      <c r="N21" s="108">
        <v>294.92</v>
      </c>
      <c r="O21" s="81">
        <v>122.03</v>
      </c>
      <c r="P21" s="108">
        <v>122.03</v>
      </c>
      <c r="Q21" s="81">
        <v>154.2</v>
      </c>
      <c r="R21" s="108">
        <v>154.2</v>
      </c>
      <c r="S21" s="81">
        <v>154.4</v>
      </c>
      <c r="T21" s="108">
        <v>154.4</v>
      </c>
      <c r="U21" s="81">
        <v>102.29</v>
      </c>
      <c r="V21" s="108">
        <v>102.29</v>
      </c>
      <c r="W21" s="81">
        <v>77.84</v>
      </c>
      <c r="X21" s="108">
        <v>77.84</v>
      </c>
      <c r="Y21" s="81">
        <v>71.04</v>
      </c>
      <c r="Z21" s="108">
        <v>0</v>
      </c>
      <c r="AA21" s="81">
        <v>73.22</v>
      </c>
      <c r="AB21" s="108">
        <v>144.26</v>
      </c>
      <c r="AC21" s="176">
        <f t="shared" si="0"/>
        <v>1667.38</v>
      </c>
      <c r="AD21" s="176">
        <f t="shared" si="1"/>
        <v>1545.39</v>
      </c>
      <c r="AE21" s="211">
        <f t="shared" si="2"/>
        <v>401.522589</v>
      </c>
    </row>
    <row r="22" s="11" customFormat="1" ht="35" customHeight="1" spans="1:31">
      <c r="A22" s="48">
        <v>19</v>
      </c>
      <c r="B22" s="48" t="s">
        <v>73</v>
      </c>
      <c r="C22" s="51" t="s">
        <v>74</v>
      </c>
      <c r="D22" s="75">
        <v>-107.75443</v>
      </c>
      <c r="E22" s="81">
        <v>254.71</v>
      </c>
      <c r="F22" s="48">
        <v>940</v>
      </c>
      <c r="G22" s="81">
        <v>335.62</v>
      </c>
      <c r="H22" s="108"/>
      <c r="I22" s="81">
        <v>235.5</v>
      </c>
      <c r="J22" s="108">
        <v>0</v>
      </c>
      <c r="K22" s="81">
        <v>411.53</v>
      </c>
      <c r="L22" s="108"/>
      <c r="M22" s="108"/>
      <c r="N22" s="108">
        <v>735.98</v>
      </c>
      <c r="O22" s="81">
        <v>184.6</v>
      </c>
      <c r="P22" s="108">
        <v>0</v>
      </c>
      <c r="Q22" s="81">
        <v>233.1</v>
      </c>
      <c r="R22" s="108">
        <v>0</v>
      </c>
      <c r="S22" s="81">
        <v>341.61</v>
      </c>
      <c r="T22" s="108">
        <v>290.22</v>
      </c>
      <c r="U22" s="81">
        <v>361.09</v>
      </c>
      <c r="V22" s="108">
        <v>1000</v>
      </c>
      <c r="W22" s="81">
        <v>272.69</v>
      </c>
      <c r="X22" s="108">
        <v>0</v>
      </c>
      <c r="Y22" s="81">
        <v>164.74</v>
      </c>
      <c r="Z22" s="108">
        <v>68.94</v>
      </c>
      <c r="AA22" s="81">
        <v>197.8</v>
      </c>
      <c r="AB22" s="108">
        <v>0</v>
      </c>
      <c r="AC22" s="176">
        <f t="shared" si="0"/>
        <v>2992.99</v>
      </c>
      <c r="AD22" s="176">
        <f t="shared" si="1"/>
        <v>3035.14</v>
      </c>
      <c r="AE22" s="211">
        <f t="shared" si="2"/>
        <v>-65.6044300000003</v>
      </c>
    </row>
    <row r="23" s="11" customFormat="1" ht="35" customHeight="1" spans="1:31">
      <c r="A23" s="48">
        <v>20</v>
      </c>
      <c r="B23" s="48" t="s">
        <v>75</v>
      </c>
      <c r="C23" s="51" t="s">
        <v>76</v>
      </c>
      <c r="D23" s="75">
        <v>307.346969999999</v>
      </c>
      <c r="E23" s="81">
        <v>141.2</v>
      </c>
      <c r="F23" s="48">
        <v>0</v>
      </c>
      <c r="G23" s="81">
        <v>157.32</v>
      </c>
      <c r="H23" s="108">
        <v>140</v>
      </c>
      <c r="I23" s="81">
        <v>131.37</v>
      </c>
      <c r="J23" s="108">
        <v>300</v>
      </c>
      <c r="K23" s="81">
        <v>364.18</v>
      </c>
      <c r="L23" s="108"/>
      <c r="M23" s="108"/>
      <c r="N23" s="108">
        <v>166.44</v>
      </c>
      <c r="O23" s="81">
        <v>217.79</v>
      </c>
      <c r="P23" s="108">
        <v>217.79</v>
      </c>
      <c r="Q23" s="81">
        <v>330.49</v>
      </c>
      <c r="R23" s="108">
        <v>330.49</v>
      </c>
      <c r="S23" s="81">
        <v>528.83</v>
      </c>
      <c r="T23" s="108">
        <v>0</v>
      </c>
      <c r="U23" s="81">
        <v>632.82</v>
      </c>
      <c r="V23" s="108">
        <v>1161.65</v>
      </c>
      <c r="W23" s="81">
        <v>460.19</v>
      </c>
      <c r="X23" s="108">
        <v>600</v>
      </c>
      <c r="Y23" s="81">
        <v>128.03</v>
      </c>
      <c r="Z23" s="108">
        <v>151.31</v>
      </c>
      <c r="AA23" s="81">
        <v>115.5</v>
      </c>
      <c r="AB23" s="108">
        <v>0</v>
      </c>
      <c r="AC23" s="176">
        <f t="shared" si="0"/>
        <v>3207.72</v>
      </c>
      <c r="AD23" s="176">
        <f t="shared" si="1"/>
        <v>3067.68</v>
      </c>
      <c r="AE23" s="211">
        <f t="shared" si="2"/>
        <v>167.306969999999</v>
      </c>
    </row>
    <row r="24" s="11" customFormat="1" ht="35" customHeight="1" spans="1:31">
      <c r="A24" s="48">
        <v>21</v>
      </c>
      <c r="B24" s="48" t="s">
        <v>77</v>
      </c>
      <c r="C24" s="51" t="s">
        <v>78</v>
      </c>
      <c r="D24" s="75">
        <v>170.18067</v>
      </c>
      <c r="E24" s="81">
        <v>10.22</v>
      </c>
      <c r="F24" s="48">
        <v>10.22</v>
      </c>
      <c r="G24" s="81">
        <v>12.15</v>
      </c>
      <c r="H24" s="108"/>
      <c r="I24" s="81">
        <v>10.07</v>
      </c>
      <c r="J24" s="108">
        <v>22.22</v>
      </c>
      <c r="K24" s="81">
        <v>20.91</v>
      </c>
      <c r="L24" s="108"/>
      <c r="M24" s="108"/>
      <c r="N24" s="108">
        <v>0</v>
      </c>
      <c r="O24" s="81">
        <v>7.76</v>
      </c>
      <c r="P24" s="108">
        <v>0</v>
      </c>
      <c r="Q24" s="81">
        <v>13.28</v>
      </c>
      <c r="R24" s="108">
        <v>0</v>
      </c>
      <c r="S24" s="81">
        <v>13.44</v>
      </c>
      <c r="T24" s="108">
        <v>0</v>
      </c>
      <c r="U24" s="81"/>
      <c r="V24" s="108">
        <v>160</v>
      </c>
      <c r="W24" s="81">
        <v>10.63</v>
      </c>
      <c r="X24" s="108">
        <v>77.73</v>
      </c>
      <c r="Y24" s="81">
        <v>10.77</v>
      </c>
      <c r="Z24" s="108">
        <v>0</v>
      </c>
      <c r="AA24" s="81">
        <v>10.65</v>
      </c>
      <c r="AB24" s="108">
        <v>0</v>
      </c>
      <c r="AC24" s="176">
        <f t="shared" si="0"/>
        <v>119.88</v>
      </c>
      <c r="AD24" s="176">
        <f t="shared" si="1"/>
        <v>270.17</v>
      </c>
      <c r="AE24" s="211">
        <f t="shared" si="2"/>
        <v>320.47067</v>
      </c>
    </row>
    <row r="25" s="11" customFormat="1" ht="35" customHeight="1" spans="1:31">
      <c r="A25" s="48">
        <v>22</v>
      </c>
      <c r="B25" s="48" t="s">
        <v>79</v>
      </c>
      <c r="C25" s="51" t="s">
        <v>80</v>
      </c>
      <c r="D25" s="75">
        <v>1040.240774</v>
      </c>
      <c r="E25" s="81">
        <v>83.35</v>
      </c>
      <c r="F25" s="48">
        <v>0</v>
      </c>
      <c r="G25" s="81">
        <v>70.11</v>
      </c>
      <c r="H25" s="108"/>
      <c r="I25" s="81">
        <v>92.6</v>
      </c>
      <c r="J25" s="108">
        <v>0</v>
      </c>
      <c r="K25" s="81">
        <v>145.15</v>
      </c>
      <c r="L25" s="108"/>
      <c r="M25" s="108"/>
      <c r="N25" s="108">
        <v>0</v>
      </c>
      <c r="O25" s="81">
        <v>64.35</v>
      </c>
      <c r="P25" s="108">
        <v>675.98</v>
      </c>
      <c r="Q25" s="81">
        <v>100.88</v>
      </c>
      <c r="R25" s="108">
        <v>0</v>
      </c>
      <c r="S25" s="81">
        <v>108.15</v>
      </c>
      <c r="T25" s="108">
        <v>1000</v>
      </c>
      <c r="U25" s="81">
        <v>338.58</v>
      </c>
      <c r="V25" s="108">
        <v>0</v>
      </c>
      <c r="W25" s="81">
        <v>80.66</v>
      </c>
      <c r="X25" s="108">
        <v>0</v>
      </c>
      <c r="Y25" s="81">
        <v>83.65</v>
      </c>
      <c r="Z25" s="108">
        <v>0</v>
      </c>
      <c r="AA25" s="81">
        <v>72.1</v>
      </c>
      <c r="AB25" s="108">
        <v>0</v>
      </c>
      <c r="AC25" s="176">
        <f t="shared" si="0"/>
        <v>1239.58</v>
      </c>
      <c r="AD25" s="176">
        <f t="shared" si="1"/>
        <v>1675.98</v>
      </c>
      <c r="AE25" s="211">
        <f t="shared" si="2"/>
        <v>1476.640774</v>
      </c>
    </row>
    <row r="26" s="11" customFormat="1" ht="35" customHeight="1" spans="1:31">
      <c r="A26" s="48">
        <v>23</v>
      </c>
      <c r="B26" s="48" t="s">
        <v>81</v>
      </c>
      <c r="C26" s="51" t="s">
        <v>82</v>
      </c>
      <c r="D26" s="75">
        <v>-44.1820560000001</v>
      </c>
      <c r="E26" s="81">
        <v>140.11</v>
      </c>
      <c r="F26" s="48">
        <v>140.11</v>
      </c>
      <c r="G26" s="81">
        <v>156.22</v>
      </c>
      <c r="H26" s="108"/>
      <c r="I26" s="81">
        <v>141.89</v>
      </c>
      <c r="J26" s="108">
        <v>298.11</v>
      </c>
      <c r="K26" s="81">
        <v>254.67</v>
      </c>
      <c r="L26" s="108"/>
      <c r="M26" s="108"/>
      <c r="N26" s="108">
        <v>254.67</v>
      </c>
      <c r="O26" s="81">
        <v>124.2</v>
      </c>
      <c r="P26" s="108">
        <v>124.2</v>
      </c>
      <c r="Q26" s="81">
        <v>128.09</v>
      </c>
      <c r="R26" s="108">
        <v>128.09</v>
      </c>
      <c r="S26" s="81">
        <v>151.1</v>
      </c>
      <c r="T26" s="108">
        <v>151.1</v>
      </c>
      <c r="U26" s="81">
        <v>170.93</v>
      </c>
      <c r="V26" s="108">
        <v>170.93</v>
      </c>
      <c r="W26" s="81">
        <v>144.48</v>
      </c>
      <c r="X26" s="108">
        <v>144.48</v>
      </c>
      <c r="Y26" s="81">
        <v>107.21</v>
      </c>
      <c r="Z26" s="108">
        <v>107.21</v>
      </c>
      <c r="AA26" s="81">
        <v>125.65</v>
      </c>
      <c r="AB26" s="108">
        <v>125.65</v>
      </c>
      <c r="AC26" s="176">
        <f t="shared" si="0"/>
        <v>1644.55</v>
      </c>
      <c r="AD26" s="176">
        <f t="shared" si="1"/>
        <v>1644.55</v>
      </c>
      <c r="AE26" s="211">
        <f t="shared" si="2"/>
        <v>-44.1820560000001</v>
      </c>
    </row>
    <row r="27" s="11" customFormat="1" ht="35" customHeight="1" spans="1:31">
      <c r="A27" s="48">
        <v>24</v>
      </c>
      <c r="B27" s="48" t="s">
        <v>83</v>
      </c>
      <c r="C27" s="51" t="s">
        <v>84</v>
      </c>
      <c r="D27" s="75">
        <v>651.775059</v>
      </c>
      <c r="E27" s="81">
        <v>172.85</v>
      </c>
      <c r="F27" s="48">
        <v>0</v>
      </c>
      <c r="G27" s="81">
        <v>186.03</v>
      </c>
      <c r="H27" s="108"/>
      <c r="I27" s="81">
        <v>193.96</v>
      </c>
      <c r="J27" s="108">
        <v>0</v>
      </c>
      <c r="K27" s="81">
        <v>225.59</v>
      </c>
      <c r="L27" s="108"/>
      <c r="M27" s="108"/>
      <c r="N27" s="108">
        <v>0</v>
      </c>
      <c r="O27" s="81">
        <v>123.11</v>
      </c>
      <c r="P27" s="108">
        <v>0</v>
      </c>
      <c r="Q27" s="81">
        <v>123.73</v>
      </c>
      <c r="R27" s="108">
        <v>1675.98</v>
      </c>
      <c r="S27" s="81">
        <v>115.31</v>
      </c>
      <c r="T27" s="108">
        <v>0</v>
      </c>
      <c r="U27" s="81">
        <v>215.38</v>
      </c>
      <c r="V27" s="108">
        <v>0</v>
      </c>
      <c r="W27" s="81">
        <v>121.33</v>
      </c>
      <c r="X27" s="108">
        <v>3000</v>
      </c>
      <c r="Y27" s="81">
        <v>138.98</v>
      </c>
      <c r="Z27" s="108">
        <v>68.94</v>
      </c>
      <c r="AA27" s="81">
        <v>127.9</v>
      </c>
      <c r="AB27" s="108">
        <v>0</v>
      </c>
      <c r="AC27" s="176">
        <f t="shared" si="0"/>
        <v>1744.17</v>
      </c>
      <c r="AD27" s="176">
        <f t="shared" si="1"/>
        <v>4744.92</v>
      </c>
      <c r="AE27" s="211">
        <f t="shared" si="2"/>
        <v>3652.525059</v>
      </c>
    </row>
    <row r="28" s="11" customFormat="1" ht="35" customHeight="1" spans="1:31">
      <c r="A28" s="48">
        <v>25</v>
      </c>
      <c r="B28" s="48" t="s">
        <v>85</v>
      </c>
      <c r="C28" s="51" t="s">
        <v>86</v>
      </c>
      <c r="D28" s="75">
        <v>-798.617871</v>
      </c>
      <c r="E28" s="81">
        <v>110.09</v>
      </c>
      <c r="F28" s="48">
        <v>110.09</v>
      </c>
      <c r="G28" s="81">
        <v>89.43</v>
      </c>
      <c r="H28" s="108"/>
      <c r="I28" s="81">
        <v>62.69</v>
      </c>
      <c r="J28" s="108">
        <v>152.12</v>
      </c>
      <c r="K28" s="81">
        <v>174.14</v>
      </c>
      <c r="L28" s="108"/>
      <c r="M28" s="108"/>
      <c r="N28" s="108">
        <v>174.14</v>
      </c>
      <c r="O28" s="81">
        <v>77.95</v>
      </c>
      <c r="P28" s="108">
        <v>77.95</v>
      </c>
      <c r="Q28" s="81">
        <v>76.4</v>
      </c>
      <c r="R28" s="108">
        <v>76.4</v>
      </c>
      <c r="S28" s="81">
        <v>86.12</v>
      </c>
      <c r="T28" s="108">
        <v>86.12</v>
      </c>
      <c r="U28" s="81">
        <v>84.29</v>
      </c>
      <c r="V28" s="108">
        <v>84.29</v>
      </c>
      <c r="W28" s="81">
        <v>99.87</v>
      </c>
      <c r="X28" s="108">
        <v>99.87</v>
      </c>
      <c r="Y28" s="81">
        <v>72.14</v>
      </c>
      <c r="Z28" s="108">
        <v>72.14</v>
      </c>
      <c r="AA28" s="81">
        <v>83.37</v>
      </c>
      <c r="AB28" s="108">
        <v>83.37</v>
      </c>
      <c r="AC28" s="176">
        <f t="shared" si="0"/>
        <v>1016.49</v>
      </c>
      <c r="AD28" s="176">
        <f t="shared" si="1"/>
        <v>1016.49</v>
      </c>
      <c r="AE28" s="211">
        <f t="shared" si="2"/>
        <v>-798.617871</v>
      </c>
    </row>
    <row r="29" s="11" customFormat="1" ht="35" customHeight="1" spans="1:31">
      <c r="A29" s="48">
        <v>26</v>
      </c>
      <c r="B29" s="48" t="s">
        <v>87</v>
      </c>
      <c r="C29" s="210" t="s">
        <v>88</v>
      </c>
      <c r="D29" s="75">
        <v>304.547134</v>
      </c>
      <c r="E29" s="81">
        <v>179.95</v>
      </c>
      <c r="F29" s="48">
        <v>179.95</v>
      </c>
      <c r="G29" s="81">
        <v>147.94</v>
      </c>
      <c r="H29" s="108"/>
      <c r="I29" s="81">
        <v>150.2</v>
      </c>
      <c r="J29" s="108">
        <v>298.14</v>
      </c>
      <c r="K29" s="81">
        <v>252.26</v>
      </c>
      <c r="L29" s="108"/>
      <c r="M29" s="108"/>
      <c r="N29" s="108">
        <v>253.26</v>
      </c>
      <c r="O29" s="81">
        <v>162.83</v>
      </c>
      <c r="P29" s="108">
        <v>162.83</v>
      </c>
      <c r="Q29" s="81">
        <v>556.84</v>
      </c>
      <c r="R29" s="108">
        <v>556.84</v>
      </c>
      <c r="S29" s="81">
        <v>13.44</v>
      </c>
      <c r="T29" s="108">
        <v>13.44</v>
      </c>
      <c r="U29" s="81">
        <v>83.73</v>
      </c>
      <c r="V29" s="108">
        <v>83.73</v>
      </c>
      <c r="W29" s="81">
        <v>364.75</v>
      </c>
      <c r="X29" s="108">
        <v>364.75</v>
      </c>
      <c r="Y29" s="81">
        <v>154.87</v>
      </c>
      <c r="Z29" s="108">
        <v>0</v>
      </c>
      <c r="AA29" s="81">
        <v>158.9</v>
      </c>
      <c r="AB29" s="108">
        <v>314.87</v>
      </c>
      <c r="AC29" s="176">
        <f t="shared" si="0"/>
        <v>2225.71</v>
      </c>
      <c r="AD29" s="176">
        <f t="shared" si="1"/>
        <v>2227.81</v>
      </c>
      <c r="AE29" s="211">
        <f t="shared" si="2"/>
        <v>306.647134</v>
      </c>
    </row>
    <row r="30" s="11" customFormat="1" ht="35" customHeight="1" spans="1:31">
      <c r="A30" s="48">
        <v>27</v>
      </c>
      <c r="B30" s="48" t="s">
        <v>89</v>
      </c>
      <c r="C30" s="210" t="s">
        <v>90</v>
      </c>
      <c r="D30" s="75">
        <v>331.841570000001</v>
      </c>
      <c r="E30" s="81">
        <v>182.68</v>
      </c>
      <c r="F30" s="48">
        <v>182.68</v>
      </c>
      <c r="G30" s="81">
        <v>223.01</v>
      </c>
      <c r="H30" s="108"/>
      <c r="I30" s="81">
        <v>197.84</v>
      </c>
      <c r="J30" s="108">
        <v>420.85</v>
      </c>
      <c r="K30" s="81">
        <v>400.5</v>
      </c>
      <c r="L30" s="108"/>
      <c r="M30" s="108"/>
      <c r="N30" s="108">
        <v>400.5</v>
      </c>
      <c r="O30" s="81">
        <v>229.21</v>
      </c>
      <c r="P30" s="108">
        <v>229.21</v>
      </c>
      <c r="Q30" s="81">
        <v>323.96</v>
      </c>
      <c r="R30" s="108">
        <v>323.96</v>
      </c>
      <c r="S30" s="81">
        <v>642.81</v>
      </c>
      <c r="T30" s="108">
        <v>642.81</v>
      </c>
      <c r="U30" s="81">
        <v>645.76</v>
      </c>
      <c r="V30" s="108">
        <v>645.76</v>
      </c>
      <c r="W30" s="81">
        <v>367.01</v>
      </c>
      <c r="X30" s="108">
        <v>367.01</v>
      </c>
      <c r="Y30" s="81">
        <v>163.64</v>
      </c>
      <c r="Z30" s="108">
        <v>163.64</v>
      </c>
      <c r="AA30" s="81">
        <v>178.07</v>
      </c>
      <c r="AB30" s="108">
        <v>178.07</v>
      </c>
      <c r="AC30" s="176">
        <f t="shared" si="0"/>
        <v>3554.49</v>
      </c>
      <c r="AD30" s="176">
        <f t="shared" si="1"/>
        <v>3554.49</v>
      </c>
      <c r="AE30" s="211">
        <f t="shared" si="2"/>
        <v>331.841570000001</v>
      </c>
    </row>
    <row r="31" s="11" customFormat="1" ht="35" customHeight="1" spans="1:31">
      <c r="A31" s="48">
        <v>28</v>
      </c>
      <c r="B31" s="48" t="s">
        <v>91</v>
      </c>
      <c r="C31" s="51" t="s">
        <v>92</v>
      </c>
      <c r="D31" s="75">
        <v>1477.904609</v>
      </c>
      <c r="E31" s="81">
        <v>177.22</v>
      </c>
      <c r="F31" s="48">
        <v>0</v>
      </c>
      <c r="G31" s="81">
        <v>167.81</v>
      </c>
      <c r="H31" s="108"/>
      <c r="I31" s="81">
        <v>259.32</v>
      </c>
      <c r="J31" s="108">
        <v>0</v>
      </c>
      <c r="K31" s="81">
        <v>272.13</v>
      </c>
      <c r="L31" s="108"/>
      <c r="M31" s="108"/>
      <c r="N31" s="108">
        <v>0</v>
      </c>
      <c r="O31" s="81">
        <v>97.54</v>
      </c>
      <c r="P31" s="108">
        <v>0</v>
      </c>
      <c r="Q31" s="81">
        <v>83.47</v>
      </c>
      <c r="R31" s="108">
        <v>0</v>
      </c>
      <c r="S31" s="81">
        <v>192.94</v>
      </c>
      <c r="T31" s="108">
        <v>0</v>
      </c>
      <c r="U31" s="81">
        <v>178.24</v>
      </c>
      <c r="V31" s="108">
        <v>0</v>
      </c>
      <c r="W31" s="81">
        <v>232.02</v>
      </c>
      <c r="X31" s="108">
        <v>2735.98</v>
      </c>
      <c r="Y31" s="81">
        <v>109.4</v>
      </c>
      <c r="Z31" s="108">
        <v>0</v>
      </c>
      <c r="AA31" s="81">
        <v>116.06</v>
      </c>
      <c r="AB31" s="108">
        <v>0</v>
      </c>
      <c r="AC31" s="176">
        <f t="shared" si="0"/>
        <v>1886.15</v>
      </c>
      <c r="AD31" s="176">
        <f t="shared" si="1"/>
        <v>2735.98</v>
      </c>
      <c r="AE31" s="211">
        <f t="shared" si="2"/>
        <v>2327.734609</v>
      </c>
    </row>
    <row r="32" s="11" customFormat="1" ht="35" customHeight="1" spans="1:31">
      <c r="A32" s="48">
        <v>29</v>
      </c>
      <c r="B32" s="48" t="s">
        <v>93</v>
      </c>
      <c r="C32" s="210" t="s">
        <v>94</v>
      </c>
      <c r="D32" s="75">
        <v>-236.74113</v>
      </c>
      <c r="E32" s="81">
        <v>282</v>
      </c>
      <c r="F32" s="48">
        <v>440</v>
      </c>
      <c r="G32" s="81">
        <v>272.14</v>
      </c>
      <c r="H32" s="108"/>
      <c r="I32" s="81">
        <v>174.57</v>
      </c>
      <c r="J32" s="108">
        <v>0</v>
      </c>
      <c r="K32" s="81">
        <v>404.13</v>
      </c>
      <c r="L32" s="108">
        <v>800</v>
      </c>
      <c r="M32" s="108"/>
      <c r="N32" s="108">
        <v>0</v>
      </c>
      <c r="O32" s="81">
        <v>209.63</v>
      </c>
      <c r="P32" s="108">
        <v>0</v>
      </c>
      <c r="Q32" s="81">
        <v>235.27</v>
      </c>
      <c r="R32" s="108">
        <v>335.98</v>
      </c>
      <c r="S32" s="81">
        <v>317.39</v>
      </c>
      <c r="T32" s="108">
        <v>800</v>
      </c>
      <c r="U32" s="81">
        <v>341.96</v>
      </c>
      <c r="V32" s="108">
        <v>0</v>
      </c>
      <c r="W32" s="81">
        <v>120.2</v>
      </c>
      <c r="X32" s="108">
        <v>200</v>
      </c>
      <c r="Y32" s="81">
        <v>61.73</v>
      </c>
      <c r="Z32" s="108">
        <v>68.94</v>
      </c>
      <c r="AA32" s="81">
        <v>70.4</v>
      </c>
      <c r="AB32" s="108">
        <v>0</v>
      </c>
      <c r="AC32" s="176">
        <f t="shared" si="0"/>
        <v>2489.42</v>
      </c>
      <c r="AD32" s="176">
        <f t="shared" si="1"/>
        <v>2644.92</v>
      </c>
      <c r="AE32" s="211">
        <f t="shared" si="2"/>
        <v>-81.2411299999999</v>
      </c>
    </row>
    <row r="33" s="11" customFormat="1" ht="35" customHeight="1" spans="1:31">
      <c r="A33" s="48">
        <v>30</v>
      </c>
      <c r="B33" s="48" t="s">
        <v>95</v>
      </c>
      <c r="C33" s="51" t="s">
        <v>96</v>
      </c>
      <c r="D33" s="75">
        <v>225.132609</v>
      </c>
      <c r="E33" s="81">
        <v>10.22</v>
      </c>
      <c r="F33" s="48">
        <v>30</v>
      </c>
      <c r="G33" s="81">
        <v>39.75</v>
      </c>
      <c r="H33" s="108">
        <v>200</v>
      </c>
      <c r="I33" s="81">
        <v>30.01</v>
      </c>
      <c r="J33" s="108">
        <v>0</v>
      </c>
      <c r="K33" s="81">
        <v>31.93</v>
      </c>
      <c r="L33" s="108"/>
      <c r="M33" s="108"/>
      <c r="N33" s="108">
        <v>235.98</v>
      </c>
      <c r="O33" s="81">
        <v>142.16</v>
      </c>
      <c r="P33" s="108">
        <v>0</v>
      </c>
      <c r="Q33" s="81">
        <v>172.7</v>
      </c>
      <c r="R33" s="108">
        <v>0</v>
      </c>
      <c r="S33" s="81">
        <v>346.02</v>
      </c>
      <c r="T33" s="108">
        <v>500</v>
      </c>
      <c r="U33" s="81">
        <v>226.63</v>
      </c>
      <c r="V33" s="108">
        <v>500</v>
      </c>
      <c r="W33" s="81">
        <v>239.37</v>
      </c>
      <c r="X33" s="108">
        <v>0</v>
      </c>
      <c r="Y33" s="81">
        <v>86.93</v>
      </c>
      <c r="Z33" s="108">
        <v>367.48</v>
      </c>
      <c r="AA33" s="81">
        <v>81.68</v>
      </c>
      <c r="AB33" s="108">
        <v>0</v>
      </c>
      <c r="AC33" s="176">
        <f t="shared" si="0"/>
        <v>1407.4</v>
      </c>
      <c r="AD33" s="176">
        <f t="shared" si="1"/>
        <v>1833.46</v>
      </c>
      <c r="AE33" s="211">
        <f t="shared" si="2"/>
        <v>651.192609</v>
      </c>
    </row>
    <row r="34" s="11" customFormat="1" ht="35" customHeight="1" spans="1:31">
      <c r="A34" s="48">
        <v>31</v>
      </c>
      <c r="B34" s="48" t="s">
        <v>97</v>
      </c>
      <c r="C34" s="51" t="s">
        <v>98</v>
      </c>
      <c r="D34" s="75">
        <v>3574.110409</v>
      </c>
      <c r="E34" s="81">
        <v>154.84</v>
      </c>
      <c r="F34" s="48">
        <v>0</v>
      </c>
      <c r="G34" s="81">
        <v>142.42</v>
      </c>
      <c r="H34" s="108"/>
      <c r="I34" s="81">
        <v>166.82</v>
      </c>
      <c r="J34" s="108">
        <v>0</v>
      </c>
      <c r="K34" s="81">
        <v>268.27</v>
      </c>
      <c r="L34" s="108"/>
      <c r="M34" s="108"/>
      <c r="N34" s="108">
        <v>0</v>
      </c>
      <c r="O34" s="81">
        <v>114.41</v>
      </c>
      <c r="P34" s="108">
        <v>0</v>
      </c>
      <c r="Q34" s="81">
        <v>143.87</v>
      </c>
      <c r="R34" s="108">
        <v>0</v>
      </c>
      <c r="S34" s="81">
        <v>229.29</v>
      </c>
      <c r="T34" s="108">
        <v>0</v>
      </c>
      <c r="U34" s="81">
        <v>182.74</v>
      </c>
      <c r="V34" s="108">
        <v>0</v>
      </c>
      <c r="W34" s="81">
        <v>154.65</v>
      </c>
      <c r="X34" s="108">
        <v>0</v>
      </c>
      <c r="Y34" s="81">
        <v>118.71</v>
      </c>
      <c r="Z34" s="108">
        <v>0</v>
      </c>
      <c r="AA34" s="81">
        <v>107.04</v>
      </c>
      <c r="AB34" s="108">
        <v>0</v>
      </c>
      <c r="AC34" s="176">
        <f t="shared" si="0"/>
        <v>1783.06</v>
      </c>
      <c r="AD34" s="176">
        <f t="shared" si="1"/>
        <v>0</v>
      </c>
      <c r="AE34" s="211">
        <f t="shared" si="2"/>
        <v>1791.050409</v>
      </c>
    </row>
    <row r="35" s="11" customFormat="1" ht="35" customHeight="1" spans="1:31">
      <c r="A35" s="48">
        <v>32</v>
      </c>
      <c r="B35" s="48" t="s">
        <v>99</v>
      </c>
      <c r="C35" s="51" t="s">
        <v>100</v>
      </c>
      <c r="D35" s="75">
        <v>-191.866781</v>
      </c>
      <c r="E35" s="81">
        <v>127.56</v>
      </c>
      <c r="F35" s="48">
        <v>0</v>
      </c>
      <c r="G35" s="81">
        <v>137.45</v>
      </c>
      <c r="H35" s="108">
        <v>562</v>
      </c>
      <c r="I35" s="81">
        <v>154.63</v>
      </c>
      <c r="J35" s="108">
        <v>0</v>
      </c>
      <c r="K35" s="81">
        <v>271.55</v>
      </c>
      <c r="L35" s="108"/>
      <c r="M35" s="108"/>
      <c r="N35" s="108">
        <v>0</v>
      </c>
      <c r="O35" s="81">
        <v>183.51</v>
      </c>
      <c r="P35" s="108">
        <v>0</v>
      </c>
      <c r="Q35" s="81">
        <v>231.47</v>
      </c>
      <c r="R35" s="108">
        <v>935.98</v>
      </c>
      <c r="S35" s="81">
        <v>306.92</v>
      </c>
      <c r="T35" s="108">
        <v>0</v>
      </c>
      <c r="U35" s="81">
        <v>261.51</v>
      </c>
      <c r="V35" s="108">
        <v>0</v>
      </c>
      <c r="W35" s="81">
        <v>268.17</v>
      </c>
      <c r="X35" s="108">
        <v>800</v>
      </c>
      <c r="Y35" s="81">
        <v>105.01</v>
      </c>
      <c r="Z35" s="108">
        <v>0</v>
      </c>
      <c r="AA35" s="81">
        <v>107.61</v>
      </c>
      <c r="AB35" s="108">
        <v>0</v>
      </c>
      <c r="AC35" s="176">
        <f t="shared" si="0"/>
        <v>2155.39</v>
      </c>
      <c r="AD35" s="176">
        <f t="shared" si="1"/>
        <v>2297.98</v>
      </c>
      <c r="AE35" s="211">
        <f t="shared" si="2"/>
        <v>-49.2767810000005</v>
      </c>
    </row>
    <row r="36" s="11" customFormat="1" ht="35" customHeight="1" spans="1:31">
      <c r="A36" s="48">
        <v>33</v>
      </c>
      <c r="B36" s="48" t="s">
        <v>101</v>
      </c>
      <c r="C36" s="51" t="s">
        <v>102</v>
      </c>
      <c r="D36" s="75">
        <v>300</v>
      </c>
      <c r="E36" s="81"/>
      <c r="F36" s="48">
        <v>0</v>
      </c>
      <c r="G36" s="81"/>
      <c r="H36" s="108"/>
      <c r="I36" s="81"/>
      <c r="J36" s="108">
        <v>0</v>
      </c>
      <c r="K36" s="81"/>
      <c r="L36" s="108"/>
      <c r="M36" s="108"/>
      <c r="N36" s="108">
        <v>0</v>
      </c>
      <c r="O36" s="81">
        <v>0</v>
      </c>
      <c r="P36" s="108">
        <v>0</v>
      </c>
      <c r="Q36" s="81">
        <v>0</v>
      </c>
      <c r="R36" s="108">
        <v>0</v>
      </c>
      <c r="S36" s="81"/>
      <c r="T36" s="108">
        <v>0</v>
      </c>
      <c r="U36" s="81"/>
      <c r="V36" s="108">
        <v>0</v>
      </c>
      <c r="W36" s="81">
        <v>0</v>
      </c>
      <c r="X36" s="108">
        <v>0</v>
      </c>
      <c r="Y36" s="81">
        <v>0</v>
      </c>
      <c r="Z36" s="108">
        <v>0</v>
      </c>
      <c r="AA36" s="81">
        <v>0</v>
      </c>
      <c r="AB36" s="108">
        <v>0</v>
      </c>
      <c r="AC36" s="176">
        <f t="shared" si="0"/>
        <v>0</v>
      </c>
      <c r="AD36" s="176">
        <f t="shared" si="1"/>
        <v>0</v>
      </c>
      <c r="AE36" s="211">
        <f t="shared" si="2"/>
        <v>300</v>
      </c>
    </row>
    <row r="37" s="11" customFormat="1" ht="35" customHeight="1" spans="1:31">
      <c r="A37" s="48">
        <v>34</v>
      </c>
      <c r="B37" s="48" t="s">
        <v>103</v>
      </c>
      <c r="C37" s="51" t="s">
        <v>104</v>
      </c>
      <c r="D37" s="75">
        <v>194.124858999998</v>
      </c>
      <c r="E37" s="81">
        <v>190.86</v>
      </c>
      <c r="F37" s="48">
        <v>169.93</v>
      </c>
      <c r="G37" s="81">
        <v>195.96</v>
      </c>
      <c r="H37" s="108"/>
      <c r="I37" s="81">
        <v>233.29</v>
      </c>
      <c r="J37" s="108">
        <v>429.25</v>
      </c>
      <c r="K37" s="81">
        <v>314.89</v>
      </c>
      <c r="L37" s="108"/>
      <c r="M37" s="108"/>
      <c r="N37" s="108">
        <v>314.89</v>
      </c>
      <c r="O37" s="81">
        <v>166.1</v>
      </c>
      <c r="P37" s="108">
        <v>166.1</v>
      </c>
      <c r="Q37" s="81">
        <v>196.64</v>
      </c>
      <c r="R37" s="108">
        <v>196.64</v>
      </c>
      <c r="S37" s="81">
        <v>316.84</v>
      </c>
      <c r="T37" s="108">
        <v>316.84</v>
      </c>
      <c r="U37" s="81">
        <v>444.92</v>
      </c>
      <c r="V37" s="108">
        <v>444.92</v>
      </c>
      <c r="W37" s="81">
        <v>210.56</v>
      </c>
      <c r="X37" s="108">
        <v>210.56</v>
      </c>
      <c r="Y37" s="81">
        <v>165.83</v>
      </c>
      <c r="Z37" s="108">
        <v>165.83</v>
      </c>
      <c r="AA37" s="81">
        <v>134.66</v>
      </c>
      <c r="AB37" s="108">
        <v>134.66</v>
      </c>
      <c r="AC37" s="176">
        <f t="shared" ref="AC37:AC68" si="3">E37+G37+I37+K37+M37+O37+Q37+S37+U37+W37+Y37+AA37</f>
        <v>2570.55</v>
      </c>
      <c r="AD37" s="176">
        <f t="shared" ref="AD37:AD68" si="4">F37+H37+J37+L37+N37+P37+R37+T37+V37+X37+Z37+AB37</f>
        <v>2549.62</v>
      </c>
      <c r="AE37" s="211">
        <f t="shared" ref="AE37:AE68" si="5">D37+AD37-AC37</f>
        <v>173.194858999999</v>
      </c>
    </row>
    <row r="38" s="11" customFormat="1" ht="35" customHeight="1" spans="1:31">
      <c r="A38" s="48">
        <v>35</v>
      </c>
      <c r="B38" s="48" t="s">
        <v>105</v>
      </c>
      <c r="C38" s="210" t="s">
        <v>106</v>
      </c>
      <c r="D38" s="75">
        <v>88.2783190000005</v>
      </c>
      <c r="E38" s="81">
        <v>194.14</v>
      </c>
      <c r="F38" s="48">
        <v>194.14</v>
      </c>
      <c r="G38" s="81">
        <v>295.87</v>
      </c>
      <c r="H38" s="108"/>
      <c r="I38" s="81">
        <v>226.64</v>
      </c>
      <c r="J38" s="108">
        <v>522.51</v>
      </c>
      <c r="K38" s="81">
        <v>434.76</v>
      </c>
      <c r="L38" s="108"/>
      <c r="M38" s="108"/>
      <c r="N38" s="108">
        <v>0</v>
      </c>
      <c r="O38" s="81">
        <v>241.73</v>
      </c>
      <c r="P38" s="108">
        <v>0</v>
      </c>
      <c r="Q38" s="81">
        <v>223.3</v>
      </c>
      <c r="R38" s="108">
        <v>1109.35</v>
      </c>
      <c r="S38" s="81">
        <v>294.26</v>
      </c>
      <c r="T38" s="108">
        <v>84.7</v>
      </c>
      <c r="U38" s="81">
        <v>339.71</v>
      </c>
      <c r="V38" s="108">
        <v>339.71</v>
      </c>
      <c r="W38" s="81">
        <v>287.37</v>
      </c>
      <c r="X38" s="108">
        <v>320</v>
      </c>
      <c r="Y38" s="81">
        <v>204.18</v>
      </c>
      <c r="Z38" s="108">
        <v>0</v>
      </c>
      <c r="AA38" s="81">
        <v>229.93</v>
      </c>
      <c r="AB38" s="108">
        <v>401.48</v>
      </c>
      <c r="AC38" s="176">
        <f t="shared" si="3"/>
        <v>2971.89</v>
      </c>
      <c r="AD38" s="176">
        <f t="shared" si="4"/>
        <v>2971.89</v>
      </c>
      <c r="AE38" s="211">
        <f t="shared" si="5"/>
        <v>88.2783190000009</v>
      </c>
    </row>
    <row r="39" s="11" customFormat="1" ht="35" customHeight="1" spans="1:31">
      <c r="A39" s="48">
        <v>36</v>
      </c>
      <c r="B39" s="48" t="s">
        <v>107</v>
      </c>
      <c r="C39" s="51" t="s">
        <v>108</v>
      </c>
      <c r="D39" s="75">
        <v>509.756214</v>
      </c>
      <c r="E39" s="81">
        <v>66.43</v>
      </c>
      <c r="F39" s="48">
        <v>440</v>
      </c>
      <c r="G39" s="81">
        <v>82.25</v>
      </c>
      <c r="H39" s="108"/>
      <c r="I39" s="81">
        <v>64.9</v>
      </c>
      <c r="J39" s="108">
        <v>0</v>
      </c>
      <c r="K39" s="81">
        <v>80.28</v>
      </c>
      <c r="L39" s="108"/>
      <c r="M39" s="108"/>
      <c r="N39" s="108">
        <v>0</v>
      </c>
      <c r="O39" s="81">
        <v>7.76</v>
      </c>
      <c r="P39" s="108">
        <v>0</v>
      </c>
      <c r="Q39" s="81">
        <v>18.18</v>
      </c>
      <c r="R39" s="108">
        <v>0</v>
      </c>
      <c r="S39" s="81">
        <v>13.44</v>
      </c>
      <c r="T39" s="108">
        <v>0</v>
      </c>
      <c r="U39" s="81">
        <v>11.71</v>
      </c>
      <c r="V39" s="108">
        <v>0</v>
      </c>
      <c r="W39" s="81">
        <v>17.41</v>
      </c>
      <c r="X39" s="108">
        <v>300</v>
      </c>
      <c r="Y39" s="81">
        <v>18.99</v>
      </c>
      <c r="Z39" s="108">
        <v>0</v>
      </c>
      <c r="AA39" s="81">
        <v>15.16</v>
      </c>
      <c r="AB39" s="108">
        <v>0</v>
      </c>
      <c r="AC39" s="176">
        <f t="shared" si="3"/>
        <v>396.51</v>
      </c>
      <c r="AD39" s="176">
        <f t="shared" si="4"/>
        <v>740</v>
      </c>
      <c r="AE39" s="211">
        <f t="shared" si="5"/>
        <v>853.246214</v>
      </c>
    </row>
    <row r="40" s="11" customFormat="1" ht="35" customHeight="1" spans="1:31">
      <c r="A40" s="48">
        <v>37</v>
      </c>
      <c r="B40" s="48" t="s">
        <v>109</v>
      </c>
      <c r="C40" s="51" t="s">
        <v>110</v>
      </c>
      <c r="D40" s="75">
        <v>-76.497081</v>
      </c>
      <c r="E40" s="81">
        <v>120.46</v>
      </c>
      <c r="F40" s="48">
        <v>240</v>
      </c>
      <c r="G40" s="81">
        <v>159.53</v>
      </c>
      <c r="H40" s="108">
        <v>500</v>
      </c>
      <c r="I40" s="81">
        <v>125.28</v>
      </c>
      <c r="J40" s="108">
        <v>0</v>
      </c>
      <c r="K40" s="81">
        <v>228.61</v>
      </c>
      <c r="L40" s="108">
        <v>300</v>
      </c>
      <c r="M40" s="108"/>
      <c r="N40" s="108">
        <v>200</v>
      </c>
      <c r="O40" s="81">
        <v>92.64</v>
      </c>
      <c r="P40" s="108">
        <v>0</v>
      </c>
      <c r="Q40" s="81">
        <v>117.75</v>
      </c>
      <c r="R40" s="108">
        <v>0</v>
      </c>
      <c r="S40" s="81">
        <v>420.35</v>
      </c>
      <c r="T40" s="108">
        <v>0</v>
      </c>
      <c r="U40" s="81">
        <v>397.1</v>
      </c>
      <c r="V40" s="108">
        <v>400</v>
      </c>
      <c r="W40" s="81">
        <v>189.1</v>
      </c>
      <c r="X40" s="108">
        <v>400</v>
      </c>
      <c r="Y40" s="81">
        <v>91.86</v>
      </c>
      <c r="Z40" s="108">
        <v>268.94</v>
      </c>
      <c r="AA40" s="81">
        <v>122.83</v>
      </c>
      <c r="AB40" s="108">
        <v>0</v>
      </c>
      <c r="AC40" s="176">
        <f t="shared" si="3"/>
        <v>2065.51</v>
      </c>
      <c r="AD40" s="176">
        <f t="shared" si="4"/>
        <v>2308.94</v>
      </c>
      <c r="AE40" s="211">
        <f t="shared" si="5"/>
        <v>166.932919</v>
      </c>
    </row>
    <row r="41" s="11" customFormat="1" ht="35" customHeight="1" spans="1:31">
      <c r="A41" s="48">
        <v>38</v>
      </c>
      <c r="B41" s="48" t="s">
        <v>111</v>
      </c>
      <c r="C41" s="51" t="s">
        <v>112</v>
      </c>
      <c r="D41" s="75">
        <v>-330.68383</v>
      </c>
      <c r="E41" s="81">
        <v>164.12</v>
      </c>
      <c r="F41" s="48">
        <v>0</v>
      </c>
      <c r="G41" s="81">
        <v>188.79</v>
      </c>
      <c r="H41" s="108"/>
      <c r="I41" s="81">
        <v>166.26</v>
      </c>
      <c r="J41" s="108">
        <v>740</v>
      </c>
      <c r="K41" s="81">
        <v>236.54</v>
      </c>
      <c r="L41" s="108"/>
      <c r="M41" s="108"/>
      <c r="N41" s="108">
        <v>235.98</v>
      </c>
      <c r="O41" s="81">
        <v>116.04</v>
      </c>
      <c r="P41" s="108">
        <v>300</v>
      </c>
      <c r="Q41" s="81">
        <v>153.12</v>
      </c>
      <c r="R41" s="108">
        <v>0</v>
      </c>
      <c r="S41" s="81">
        <v>290.41</v>
      </c>
      <c r="T41" s="108">
        <v>0</v>
      </c>
      <c r="U41" s="81">
        <v>300.33</v>
      </c>
      <c r="V41" s="108">
        <v>500</v>
      </c>
      <c r="W41" s="81">
        <v>217.34</v>
      </c>
      <c r="X41" s="108">
        <v>450</v>
      </c>
      <c r="Y41" s="81">
        <v>100.08</v>
      </c>
      <c r="Z41" s="108">
        <v>68.9400000000001</v>
      </c>
      <c r="AA41" s="81">
        <v>110.43</v>
      </c>
      <c r="AB41" s="108">
        <v>0</v>
      </c>
      <c r="AC41" s="176">
        <f t="shared" si="3"/>
        <v>2043.46</v>
      </c>
      <c r="AD41" s="176">
        <f t="shared" si="4"/>
        <v>2294.92</v>
      </c>
      <c r="AE41" s="211">
        <f t="shared" si="5"/>
        <v>-79.2238300000001</v>
      </c>
    </row>
    <row r="42" s="11" customFormat="1" ht="35" customHeight="1" spans="1:31">
      <c r="A42" s="48">
        <v>39</v>
      </c>
      <c r="B42" s="48" t="s">
        <v>113</v>
      </c>
      <c r="C42" s="51" t="s">
        <v>114</v>
      </c>
      <c r="D42" s="75">
        <v>-238.365329999999</v>
      </c>
      <c r="E42" s="81">
        <v>362.22</v>
      </c>
      <c r="F42" s="48">
        <v>340</v>
      </c>
      <c r="G42" s="81">
        <v>379.77</v>
      </c>
      <c r="H42" s="108">
        <v>500</v>
      </c>
      <c r="I42" s="81">
        <v>161.28</v>
      </c>
      <c r="J42" s="108">
        <v>500</v>
      </c>
      <c r="K42" s="81">
        <v>516.96</v>
      </c>
      <c r="L42" s="108"/>
      <c r="M42" s="108"/>
      <c r="N42" s="108">
        <v>335.98</v>
      </c>
      <c r="O42" s="81">
        <v>236.29</v>
      </c>
      <c r="P42" s="108">
        <v>0</v>
      </c>
      <c r="Q42" s="81">
        <v>229.29</v>
      </c>
      <c r="R42" s="108">
        <v>500</v>
      </c>
      <c r="S42" s="81">
        <v>300.32</v>
      </c>
      <c r="T42" s="108">
        <v>0</v>
      </c>
      <c r="U42" s="81">
        <v>222.13</v>
      </c>
      <c r="V42" s="108">
        <v>500</v>
      </c>
      <c r="W42" s="81">
        <v>230.89</v>
      </c>
      <c r="X42" s="108">
        <v>300</v>
      </c>
      <c r="Y42" s="81">
        <v>219.53</v>
      </c>
      <c r="Z42" s="108">
        <v>68.94</v>
      </c>
      <c r="AA42" s="81">
        <v>260.37</v>
      </c>
      <c r="AB42" s="108">
        <v>0</v>
      </c>
      <c r="AC42" s="176">
        <f t="shared" si="3"/>
        <v>3119.05</v>
      </c>
      <c r="AD42" s="176">
        <f t="shared" si="4"/>
        <v>3044.92</v>
      </c>
      <c r="AE42" s="211">
        <f t="shared" si="5"/>
        <v>-312.495329999999</v>
      </c>
    </row>
    <row r="43" s="11" customFormat="1" ht="35" customHeight="1" spans="1:31">
      <c r="A43" s="48">
        <v>40</v>
      </c>
      <c r="B43" s="48" t="s">
        <v>115</v>
      </c>
      <c r="C43" s="51" t="s">
        <v>116</v>
      </c>
      <c r="D43" s="75">
        <v>277.235809</v>
      </c>
      <c r="E43" s="81">
        <v>254.71</v>
      </c>
      <c r="F43" s="48">
        <v>940</v>
      </c>
      <c r="G43" s="81">
        <v>272.69</v>
      </c>
      <c r="H43" s="108"/>
      <c r="I43" s="81">
        <v>157.4</v>
      </c>
      <c r="J43" s="108">
        <v>0</v>
      </c>
      <c r="K43" s="81">
        <v>419.18</v>
      </c>
      <c r="L43" s="108"/>
      <c r="M43" s="108"/>
      <c r="N43" s="108">
        <v>0</v>
      </c>
      <c r="O43" s="81">
        <v>198.74</v>
      </c>
      <c r="P43" s="108">
        <v>1735.98</v>
      </c>
      <c r="Q43" s="81">
        <v>233.1</v>
      </c>
      <c r="R43" s="108">
        <v>0</v>
      </c>
      <c r="S43" s="81">
        <v>310.78</v>
      </c>
      <c r="T43" s="108">
        <v>0</v>
      </c>
      <c r="U43" s="81">
        <v>181.62</v>
      </c>
      <c r="V43" s="108">
        <v>0</v>
      </c>
      <c r="W43" s="81">
        <v>224.68</v>
      </c>
      <c r="X43" s="108">
        <v>0</v>
      </c>
      <c r="Y43" s="81">
        <v>186.65</v>
      </c>
      <c r="Z43" s="108">
        <v>68.94</v>
      </c>
      <c r="AA43" s="81">
        <v>231.62</v>
      </c>
      <c r="AB43" s="108">
        <v>113.64</v>
      </c>
      <c r="AC43" s="176">
        <f t="shared" si="3"/>
        <v>2671.17</v>
      </c>
      <c r="AD43" s="176">
        <f t="shared" si="4"/>
        <v>2858.56</v>
      </c>
      <c r="AE43" s="211">
        <f t="shared" si="5"/>
        <v>464.625809000001</v>
      </c>
    </row>
    <row r="44" s="11" customFormat="1" ht="35" customHeight="1" spans="1:31">
      <c r="A44" s="48">
        <v>41</v>
      </c>
      <c r="B44" s="48" t="s">
        <v>117</v>
      </c>
      <c r="C44" s="51" t="s">
        <v>118</v>
      </c>
      <c r="D44" s="75">
        <v>346.925889</v>
      </c>
      <c r="E44" s="81">
        <v>32.05</v>
      </c>
      <c r="F44" s="48">
        <v>0</v>
      </c>
      <c r="G44" s="81">
        <v>33.13</v>
      </c>
      <c r="H44" s="108">
        <v>32</v>
      </c>
      <c r="I44" s="81">
        <v>27.79</v>
      </c>
      <c r="J44" s="108">
        <v>33</v>
      </c>
      <c r="K44" s="81">
        <v>66.67</v>
      </c>
      <c r="L44" s="108"/>
      <c r="M44" s="108"/>
      <c r="N44" s="108">
        <v>95.98</v>
      </c>
      <c r="O44" s="81">
        <v>36.06</v>
      </c>
      <c r="P44" s="108">
        <v>0</v>
      </c>
      <c r="Q44" s="81">
        <v>55.72</v>
      </c>
      <c r="R44" s="108">
        <v>100</v>
      </c>
      <c r="S44" s="81">
        <v>72.36</v>
      </c>
      <c r="T44" s="108">
        <v>0</v>
      </c>
      <c r="U44" s="81">
        <v>52.78</v>
      </c>
      <c r="V44" s="108">
        <v>115.4</v>
      </c>
      <c r="W44" s="81">
        <v>42.82</v>
      </c>
      <c r="X44" s="108">
        <v>100</v>
      </c>
      <c r="Y44" s="81">
        <v>34.88</v>
      </c>
      <c r="Z44" s="108">
        <v>68.94</v>
      </c>
      <c r="AA44" s="81">
        <v>32.64</v>
      </c>
      <c r="AB44" s="108">
        <v>0</v>
      </c>
      <c r="AC44" s="176">
        <f t="shared" si="3"/>
        <v>486.9</v>
      </c>
      <c r="AD44" s="176">
        <f t="shared" si="4"/>
        <v>545.32</v>
      </c>
      <c r="AE44" s="211">
        <f t="shared" si="5"/>
        <v>405.345889</v>
      </c>
    </row>
    <row r="45" s="11" customFormat="1" ht="35" customHeight="1" spans="1:31">
      <c r="A45" s="48">
        <v>42</v>
      </c>
      <c r="B45" s="48" t="s">
        <v>119</v>
      </c>
      <c r="C45" s="51" t="s">
        <v>120</v>
      </c>
      <c r="D45" s="75">
        <v>460.45637</v>
      </c>
      <c r="E45" s="81">
        <v>247.62</v>
      </c>
      <c r="F45" s="48">
        <v>240</v>
      </c>
      <c r="G45" s="81">
        <v>308.02</v>
      </c>
      <c r="H45" s="108"/>
      <c r="I45" s="81">
        <v>186.76</v>
      </c>
      <c r="J45" s="108">
        <v>0</v>
      </c>
      <c r="K45" s="81">
        <v>478.19</v>
      </c>
      <c r="L45" s="108"/>
      <c r="M45" s="108"/>
      <c r="N45" s="108">
        <v>635.98</v>
      </c>
      <c r="O45" s="81">
        <v>233.02</v>
      </c>
      <c r="P45" s="108">
        <v>0</v>
      </c>
      <c r="Q45" s="81">
        <v>333.76</v>
      </c>
      <c r="R45" s="108">
        <v>520</v>
      </c>
      <c r="S45" s="81">
        <v>446.23</v>
      </c>
      <c r="T45" s="108">
        <v>0</v>
      </c>
      <c r="U45" s="81">
        <v>300.89</v>
      </c>
      <c r="V45" s="108">
        <v>800</v>
      </c>
      <c r="W45" s="81">
        <v>165.38</v>
      </c>
      <c r="X45" s="108">
        <v>0</v>
      </c>
      <c r="Y45" s="81">
        <v>206.38</v>
      </c>
      <c r="Z45" s="108">
        <v>0</v>
      </c>
      <c r="AA45" s="81">
        <v>199.49</v>
      </c>
      <c r="AB45" s="108">
        <v>0</v>
      </c>
      <c r="AC45" s="176">
        <f t="shared" si="3"/>
        <v>3105.74</v>
      </c>
      <c r="AD45" s="176">
        <f t="shared" si="4"/>
        <v>2195.98</v>
      </c>
      <c r="AE45" s="211">
        <f t="shared" si="5"/>
        <v>-449.303629999999</v>
      </c>
    </row>
    <row r="46" s="11" customFormat="1" ht="35" customHeight="1" spans="1:31">
      <c r="A46" s="48">
        <v>43</v>
      </c>
      <c r="B46" s="48" t="s">
        <v>121</v>
      </c>
      <c r="C46" s="51" t="s">
        <v>122</v>
      </c>
      <c r="D46" s="75">
        <v>490.496464</v>
      </c>
      <c r="E46" s="81">
        <v>220.33</v>
      </c>
      <c r="F46" s="48">
        <v>0</v>
      </c>
      <c r="G46" s="81">
        <v>221.35</v>
      </c>
      <c r="H46" s="108"/>
      <c r="I46" s="81">
        <v>262.09</v>
      </c>
      <c r="J46" s="108">
        <v>1940</v>
      </c>
      <c r="K46" s="81">
        <v>362.76</v>
      </c>
      <c r="L46" s="108"/>
      <c r="M46" s="108"/>
      <c r="N46" s="108">
        <v>0</v>
      </c>
      <c r="O46" s="81">
        <v>172.08</v>
      </c>
      <c r="P46" s="108">
        <v>0</v>
      </c>
      <c r="Q46" s="81">
        <v>182.5</v>
      </c>
      <c r="R46" s="108">
        <v>0</v>
      </c>
      <c r="S46" s="81">
        <v>191.29</v>
      </c>
      <c r="T46" s="108">
        <v>0</v>
      </c>
      <c r="U46" s="81">
        <v>232.25</v>
      </c>
      <c r="V46" s="108">
        <v>0</v>
      </c>
      <c r="W46" s="81">
        <v>230.89</v>
      </c>
      <c r="X46" s="108">
        <v>0</v>
      </c>
      <c r="Y46" s="81">
        <v>170.21</v>
      </c>
      <c r="Z46" s="108">
        <v>1068.94</v>
      </c>
      <c r="AA46" s="81">
        <v>184.83</v>
      </c>
      <c r="AB46" s="108">
        <v>0</v>
      </c>
      <c r="AC46" s="176">
        <f t="shared" si="3"/>
        <v>2430.58</v>
      </c>
      <c r="AD46" s="176">
        <f t="shared" si="4"/>
        <v>3008.94</v>
      </c>
      <c r="AE46" s="211">
        <f t="shared" si="5"/>
        <v>1068.856464</v>
      </c>
    </row>
    <row r="47" s="11" customFormat="1" ht="35" customHeight="1" spans="1:31">
      <c r="A47" s="48">
        <v>44</v>
      </c>
      <c r="B47" s="48" t="s">
        <v>123</v>
      </c>
      <c r="C47" s="51" t="s">
        <v>124</v>
      </c>
      <c r="D47" s="75">
        <v>425.511189</v>
      </c>
      <c r="E47" s="81">
        <v>157.03</v>
      </c>
      <c r="F47" s="48">
        <v>0</v>
      </c>
      <c r="G47" s="81">
        <v>166.15</v>
      </c>
      <c r="H47" s="108"/>
      <c r="I47" s="81">
        <v>203.37</v>
      </c>
      <c r="J47" s="108">
        <v>0</v>
      </c>
      <c r="K47" s="81">
        <v>454.95</v>
      </c>
      <c r="L47" s="108"/>
      <c r="M47" s="108"/>
      <c r="N47" s="108">
        <v>0</v>
      </c>
      <c r="O47" s="81">
        <v>205.27</v>
      </c>
      <c r="P47" s="108">
        <v>1735.98</v>
      </c>
      <c r="Q47" s="81">
        <v>98.71</v>
      </c>
      <c r="R47" s="108">
        <v>0</v>
      </c>
      <c r="S47" s="81">
        <v>263.98</v>
      </c>
      <c r="T47" s="108">
        <v>0</v>
      </c>
      <c r="U47" s="81">
        <v>92.17</v>
      </c>
      <c r="V47" s="108">
        <v>0</v>
      </c>
      <c r="W47" s="81">
        <v>217.34</v>
      </c>
      <c r="X47" s="108">
        <v>0</v>
      </c>
      <c r="Y47" s="81">
        <v>210.21</v>
      </c>
      <c r="Z47" s="108">
        <v>168.94</v>
      </c>
      <c r="AA47" s="81">
        <v>262.62</v>
      </c>
      <c r="AB47" s="108">
        <v>0</v>
      </c>
      <c r="AC47" s="176">
        <f t="shared" si="3"/>
        <v>2331.8</v>
      </c>
      <c r="AD47" s="176">
        <f t="shared" si="4"/>
        <v>1904.92</v>
      </c>
      <c r="AE47" s="211">
        <f t="shared" si="5"/>
        <v>-1.36881099999937</v>
      </c>
    </row>
    <row r="48" s="11" customFormat="1" ht="35" customHeight="1" spans="1:31">
      <c r="A48" s="48">
        <v>45</v>
      </c>
      <c r="B48" s="48" t="s">
        <v>125</v>
      </c>
      <c r="C48" s="51" t="s">
        <v>126</v>
      </c>
      <c r="D48" s="75">
        <v>-101.491995999999</v>
      </c>
      <c r="E48" s="81">
        <v>262.9</v>
      </c>
      <c r="F48" s="48">
        <v>202.9</v>
      </c>
      <c r="G48" s="81">
        <v>264.96</v>
      </c>
      <c r="H48" s="108">
        <v>324.96</v>
      </c>
      <c r="I48" s="81">
        <v>224.98</v>
      </c>
      <c r="J48" s="108">
        <v>0</v>
      </c>
      <c r="K48" s="81">
        <v>428.21</v>
      </c>
      <c r="L48" s="108">
        <v>222.58</v>
      </c>
      <c r="M48" s="108"/>
      <c r="N48" s="108">
        <v>205.63</v>
      </c>
      <c r="O48" s="81">
        <v>200.92</v>
      </c>
      <c r="P48" s="108">
        <v>689.92</v>
      </c>
      <c r="Q48" s="81">
        <v>221.67</v>
      </c>
      <c r="R48" s="108">
        <v>443.34</v>
      </c>
      <c r="S48" s="81">
        <v>290.41</v>
      </c>
      <c r="T48" s="108">
        <v>68.74</v>
      </c>
      <c r="U48" s="81">
        <v>217.63</v>
      </c>
      <c r="V48" s="108">
        <v>435.26</v>
      </c>
      <c r="W48" s="81">
        <v>172.16</v>
      </c>
      <c r="X48" s="108">
        <v>0</v>
      </c>
      <c r="Y48" s="81">
        <v>178.98</v>
      </c>
      <c r="Z48" s="108">
        <v>133.51</v>
      </c>
      <c r="AA48" s="81">
        <v>185.4</v>
      </c>
      <c r="AB48" s="108">
        <v>185.4</v>
      </c>
      <c r="AC48" s="176">
        <f t="shared" si="3"/>
        <v>2648.22</v>
      </c>
      <c r="AD48" s="176">
        <f t="shared" si="4"/>
        <v>2912.24</v>
      </c>
      <c r="AE48" s="211">
        <f t="shared" si="5"/>
        <v>162.528004000001</v>
      </c>
    </row>
    <row r="49" s="11" customFormat="1" ht="35" customHeight="1" spans="1:31">
      <c r="A49" s="48">
        <v>46</v>
      </c>
      <c r="B49" s="48" t="s">
        <v>127</v>
      </c>
      <c r="C49" s="51" t="s">
        <v>128</v>
      </c>
      <c r="D49" s="75">
        <v>1147.603474</v>
      </c>
      <c r="E49" s="81">
        <v>166.85</v>
      </c>
      <c r="F49" s="48">
        <v>0</v>
      </c>
      <c r="G49" s="81">
        <v>183.82</v>
      </c>
      <c r="H49" s="108"/>
      <c r="I49" s="81">
        <v>116.98</v>
      </c>
      <c r="J49" s="108">
        <v>0</v>
      </c>
      <c r="K49" s="81">
        <v>324.26</v>
      </c>
      <c r="L49" s="108"/>
      <c r="M49" s="108"/>
      <c r="N49" s="108">
        <v>175.98</v>
      </c>
      <c r="O49" s="81">
        <v>167.73</v>
      </c>
      <c r="P49" s="108">
        <v>0</v>
      </c>
      <c r="Q49" s="81">
        <v>184.67</v>
      </c>
      <c r="R49" s="108">
        <v>0</v>
      </c>
      <c r="S49" s="81">
        <v>257.92</v>
      </c>
      <c r="T49" s="108">
        <v>0</v>
      </c>
      <c r="U49" s="81">
        <v>258.13</v>
      </c>
      <c r="V49" s="108">
        <v>500</v>
      </c>
      <c r="W49" s="81">
        <v>210</v>
      </c>
      <c r="X49" s="108">
        <v>500</v>
      </c>
      <c r="Y49" s="81">
        <v>184.46</v>
      </c>
      <c r="Z49" s="108">
        <v>0</v>
      </c>
      <c r="AA49" s="81">
        <v>203.43</v>
      </c>
      <c r="AB49" s="108">
        <v>0</v>
      </c>
      <c r="AC49" s="176">
        <f t="shared" si="3"/>
        <v>2258.25</v>
      </c>
      <c r="AD49" s="176">
        <f t="shared" si="4"/>
        <v>1175.98</v>
      </c>
      <c r="AE49" s="211">
        <f t="shared" si="5"/>
        <v>65.333474</v>
      </c>
    </row>
    <row r="50" s="11" customFormat="1" ht="35" customHeight="1" spans="1:31">
      <c r="A50" s="48">
        <v>47</v>
      </c>
      <c r="B50" s="48" t="s">
        <v>129</v>
      </c>
      <c r="C50" s="51" t="s">
        <v>130</v>
      </c>
      <c r="D50" s="75">
        <v>685.831389</v>
      </c>
      <c r="E50" s="81">
        <v>112.82</v>
      </c>
      <c r="F50" s="48">
        <v>0</v>
      </c>
      <c r="G50" s="81">
        <v>75.63</v>
      </c>
      <c r="H50" s="108"/>
      <c r="I50" s="81">
        <v>92.6</v>
      </c>
      <c r="J50" s="108">
        <v>0</v>
      </c>
      <c r="K50" s="81">
        <v>128.45</v>
      </c>
      <c r="L50" s="108"/>
      <c r="M50" s="108"/>
      <c r="N50" s="108">
        <v>0</v>
      </c>
      <c r="O50" s="81">
        <v>64.89</v>
      </c>
      <c r="P50" s="108">
        <v>0</v>
      </c>
      <c r="Q50" s="81">
        <v>80.75</v>
      </c>
      <c r="R50" s="108">
        <v>0</v>
      </c>
      <c r="S50" s="81">
        <v>107.05</v>
      </c>
      <c r="T50" s="108">
        <v>0</v>
      </c>
      <c r="U50" s="81">
        <v>191.18</v>
      </c>
      <c r="V50" s="108">
        <v>0</v>
      </c>
      <c r="W50" s="81">
        <v>54.12</v>
      </c>
      <c r="X50" s="108">
        <v>935.98</v>
      </c>
      <c r="Y50" s="81">
        <v>47.48</v>
      </c>
      <c r="Z50" s="108">
        <v>68.94</v>
      </c>
      <c r="AA50" s="81">
        <v>46.17</v>
      </c>
      <c r="AB50" s="108">
        <v>0</v>
      </c>
      <c r="AC50" s="176">
        <f t="shared" si="3"/>
        <v>1001.14</v>
      </c>
      <c r="AD50" s="176">
        <f t="shared" si="4"/>
        <v>1004.92</v>
      </c>
      <c r="AE50" s="211">
        <f t="shared" si="5"/>
        <v>689.611389</v>
      </c>
    </row>
    <row r="51" s="11" customFormat="1" ht="35" customHeight="1" spans="1:31">
      <c r="A51" s="48">
        <v>48</v>
      </c>
      <c r="B51" s="48" t="s">
        <v>131</v>
      </c>
      <c r="C51" s="51" t="s">
        <v>132</v>
      </c>
      <c r="D51" s="75">
        <v>-435.583046</v>
      </c>
      <c r="E51" s="81">
        <v>183.22</v>
      </c>
      <c r="F51" s="48">
        <v>540</v>
      </c>
      <c r="G51" s="81">
        <v>230.19</v>
      </c>
      <c r="H51" s="108">
        <v>300</v>
      </c>
      <c r="I51" s="81">
        <v>280.37</v>
      </c>
      <c r="J51" s="108">
        <v>0</v>
      </c>
      <c r="K51" s="81">
        <v>325.76</v>
      </c>
      <c r="L51" s="108">
        <v>200</v>
      </c>
      <c r="M51" s="108"/>
      <c r="N51" s="108">
        <v>335.98</v>
      </c>
      <c r="O51" s="81">
        <v>143.79</v>
      </c>
      <c r="P51" s="108">
        <v>134.87</v>
      </c>
      <c r="Q51" s="81">
        <v>168.89</v>
      </c>
      <c r="R51" s="108">
        <v>200</v>
      </c>
      <c r="S51" s="81">
        <v>254.61</v>
      </c>
      <c r="T51" s="108">
        <v>0</v>
      </c>
      <c r="U51" s="81">
        <v>304.83</v>
      </c>
      <c r="V51" s="108">
        <v>350</v>
      </c>
      <c r="W51" s="81">
        <v>93.65</v>
      </c>
      <c r="X51" s="108">
        <v>200</v>
      </c>
      <c r="Y51" s="81">
        <v>251.85</v>
      </c>
      <c r="Z51" s="108">
        <v>0</v>
      </c>
      <c r="AA51" s="81">
        <v>179.2</v>
      </c>
      <c r="AB51" s="108">
        <v>568.94</v>
      </c>
      <c r="AC51" s="176">
        <f t="shared" si="3"/>
        <v>2416.36</v>
      </c>
      <c r="AD51" s="176">
        <f t="shared" si="4"/>
        <v>2829.79</v>
      </c>
      <c r="AE51" s="211">
        <f t="shared" si="5"/>
        <v>-22.1530459999994</v>
      </c>
    </row>
    <row r="52" s="11" customFormat="1" ht="35" customHeight="1" spans="1:31">
      <c r="A52" s="48">
        <v>49</v>
      </c>
      <c r="B52" s="48" t="s">
        <v>133</v>
      </c>
      <c r="C52" s="51" t="s">
        <v>134</v>
      </c>
      <c r="D52" s="75">
        <v>1309.570419</v>
      </c>
      <c r="E52" s="81">
        <v>189.77</v>
      </c>
      <c r="F52" s="48">
        <v>0</v>
      </c>
      <c r="G52" s="81">
        <v>195.41</v>
      </c>
      <c r="H52" s="108"/>
      <c r="I52" s="81">
        <v>246.02</v>
      </c>
      <c r="J52" s="108">
        <v>0</v>
      </c>
      <c r="K52" s="81">
        <v>335.38</v>
      </c>
      <c r="L52" s="108"/>
      <c r="M52" s="108"/>
      <c r="N52" s="108">
        <v>0</v>
      </c>
      <c r="O52" s="81">
        <v>128.01</v>
      </c>
      <c r="P52" s="108">
        <v>1675.98</v>
      </c>
      <c r="Q52" s="81">
        <v>136.25</v>
      </c>
      <c r="R52" s="108">
        <v>0</v>
      </c>
      <c r="S52" s="81">
        <v>348.22</v>
      </c>
      <c r="T52" s="108">
        <v>0</v>
      </c>
      <c r="U52" s="81">
        <v>345.34</v>
      </c>
      <c r="V52" s="108">
        <v>0</v>
      </c>
      <c r="W52" s="81">
        <v>130.93</v>
      </c>
      <c r="X52" s="108">
        <v>0</v>
      </c>
      <c r="Y52" s="81">
        <v>134.6</v>
      </c>
      <c r="Z52" s="108">
        <v>68.94</v>
      </c>
      <c r="AA52" s="81">
        <v>138.61</v>
      </c>
      <c r="AB52" s="108">
        <v>0</v>
      </c>
      <c r="AC52" s="176">
        <f t="shared" si="3"/>
        <v>2328.54</v>
      </c>
      <c r="AD52" s="176">
        <f t="shared" si="4"/>
        <v>1744.92</v>
      </c>
      <c r="AE52" s="211">
        <f t="shared" si="5"/>
        <v>725.950418999999</v>
      </c>
    </row>
    <row r="53" s="11" customFormat="1" ht="35" customHeight="1" spans="1:31">
      <c r="A53" s="48">
        <v>50</v>
      </c>
      <c r="B53" s="48" t="s">
        <v>135</v>
      </c>
      <c r="C53" s="51" t="s">
        <v>136</v>
      </c>
      <c r="D53" s="75">
        <v>250.565249000001</v>
      </c>
      <c r="E53" s="81">
        <v>154.3</v>
      </c>
      <c r="F53" s="48">
        <v>154.3</v>
      </c>
      <c r="G53" s="81">
        <v>434.97</v>
      </c>
      <c r="H53" s="108"/>
      <c r="I53" s="81">
        <v>255.44</v>
      </c>
      <c r="J53" s="108">
        <v>690.41</v>
      </c>
      <c r="K53" s="81">
        <v>326.99</v>
      </c>
      <c r="L53" s="108"/>
      <c r="M53" s="108"/>
      <c r="N53" s="108">
        <v>326.98</v>
      </c>
      <c r="O53" s="81">
        <v>136.17</v>
      </c>
      <c r="P53" s="108">
        <v>136.17</v>
      </c>
      <c r="Q53" s="81">
        <v>214.6</v>
      </c>
      <c r="R53" s="108">
        <v>214.6</v>
      </c>
      <c r="S53" s="81">
        <v>361.99</v>
      </c>
      <c r="T53" s="108">
        <v>161.99</v>
      </c>
      <c r="U53" s="81">
        <v>346.46</v>
      </c>
      <c r="V53" s="108">
        <v>346.46</v>
      </c>
      <c r="W53" s="81">
        <v>260.83</v>
      </c>
      <c r="X53" s="108">
        <v>260.83</v>
      </c>
      <c r="Y53" s="81">
        <v>218.98</v>
      </c>
      <c r="Z53" s="108">
        <v>218.98</v>
      </c>
      <c r="AA53" s="81">
        <v>236.13</v>
      </c>
      <c r="AB53" s="108">
        <v>236.13</v>
      </c>
      <c r="AC53" s="176">
        <f t="shared" si="3"/>
        <v>2946.86</v>
      </c>
      <c r="AD53" s="176">
        <f t="shared" si="4"/>
        <v>2746.85</v>
      </c>
      <c r="AE53" s="211">
        <f t="shared" si="5"/>
        <v>50.5552490000009</v>
      </c>
    </row>
    <row r="54" s="11" customFormat="1" ht="35" customHeight="1" spans="1:31">
      <c r="A54" s="48">
        <v>51</v>
      </c>
      <c r="B54" s="48" t="s">
        <v>137</v>
      </c>
      <c r="C54" s="51" t="s">
        <v>138</v>
      </c>
      <c r="D54" s="75">
        <v>611.16857</v>
      </c>
      <c r="E54" s="81">
        <v>106.27</v>
      </c>
      <c r="F54" s="48">
        <v>0</v>
      </c>
      <c r="G54" s="81">
        <v>99.92</v>
      </c>
      <c r="H54" s="108"/>
      <c r="I54" s="81">
        <v>110.87</v>
      </c>
      <c r="J54" s="108">
        <v>0</v>
      </c>
      <c r="K54" s="81">
        <v>239.69</v>
      </c>
      <c r="L54" s="108"/>
      <c r="M54" s="108"/>
      <c r="N54" s="108">
        <v>0</v>
      </c>
      <c r="O54" s="81">
        <v>133.45</v>
      </c>
      <c r="P54" s="108">
        <v>675.98</v>
      </c>
      <c r="Q54" s="81">
        <v>209.16</v>
      </c>
      <c r="R54" s="108">
        <v>0</v>
      </c>
      <c r="S54" s="81">
        <v>260.67</v>
      </c>
      <c r="T54" s="108">
        <v>0</v>
      </c>
      <c r="U54" s="81">
        <v>196.25</v>
      </c>
      <c r="V54" s="108">
        <v>0</v>
      </c>
      <c r="W54" s="81">
        <v>222.42</v>
      </c>
      <c r="X54" s="108">
        <v>1000</v>
      </c>
      <c r="Y54" s="81">
        <v>83.65</v>
      </c>
      <c r="Z54" s="108">
        <v>18.94</v>
      </c>
      <c r="AA54" s="81">
        <v>122.83</v>
      </c>
      <c r="AB54" s="108">
        <v>0</v>
      </c>
      <c r="AC54" s="176">
        <f t="shared" si="3"/>
        <v>1785.18</v>
      </c>
      <c r="AD54" s="176">
        <f t="shared" si="4"/>
        <v>1694.92</v>
      </c>
      <c r="AE54" s="211">
        <f t="shared" si="5"/>
        <v>520.90857</v>
      </c>
    </row>
    <row r="55" s="11" customFormat="1" ht="35" customHeight="1" spans="1:31">
      <c r="A55" s="48">
        <v>52</v>
      </c>
      <c r="B55" s="48" t="s">
        <v>139</v>
      </c>
      <c r="C55" s="51" t="s">
        <v>140</v>
      </c>
      <c r="D55" s="75">
        <v>833.602014</v>
      </c>
      <c r="E55" s="81">
        <v>127.01</v>
      </c>
      <c r="F55" s="48">
        <v>140</v>
      </c>
      <c r="G55" s="81">
        <v>184.92</v>
      </c>
      <c r="H55" s="108">
        <v>200</v>
      </c>
      <c r="I55" s="81">
        <v>194.51</v>
      </c>
      <c r="J55" s="108">
        <v>0</v>
      </c>
      <c r="K55" s="81">
        <v>239.96</v>
      </c>
      <c r="L55" s="108">
        <v>220</v>
      </c>
      <c r="M55" s="108"/>
      <c r="N55" s="108">
        <v>200</v>
      </c>
      <c r="O55" s="81">
        <v>104.61</v>
      </c>
      <c r="P55" s="108">
        <v>0</v>
      </c>
      <c r="Q55" s="81">
        <v>137.88</v>
      </c>
      <c r="R55" s="108">
        <v>55.98</v>
      </c>
      <c r="S55" s="81">
        <v>277.74</v>
      </c>
      <c r="T55" s="108">
        <v>0</v>
      </c>
      <c r="U55" s="81">
        <v>227.19</v>
      </c>
      <c r="V55" s="108">
        <v>255.98</v>
      </c>
      <c r="W55" s="81">
        <v>121.89</v>
      </c>
      <c r="X55" s="108">
        <v>200</v>
      </c>
      <c r="Y55" s="81">
        <v>80.91</v>
      </c>
      <c r="Z55" s="108">
        <v>0.04</v>
      </c>
      <c r="AA55" s="81">
        <v>78.3</v>
      </c>
      <c r="AB55" s="108">
        <v>100</v>
      </c>
      <c r="AC55" s="176">
        <f t="shared" si="3"/>
        <v>1774.92</v>
      </c>
      <c r="AD55" s="176">
        <f t="shared" si="4"/>
        <v>1372</v>
      </c>
      <c r="AE55" s="211">
        <f t="shared" si="5"/>
        <v>430.682014</v>
      </c>
    </row>
    <row r="56" s="11" customFormat="1" ht="35" customHeight="1" spans="1:31">
      <c r="A56" s="48">
        <v>53</v>
      </c>
      <c r="B56" s="48" t="s">
        <v>141</v>
      </c>
      <c r="C56" s="51" t="s">
        <v>142</v>
      </c>
      <c r="D56" s="75">
        <v>178.959876</v>
      </c>
      <c r="E56" s="81">
        <v>135.2</v>
      </c>
      <c r="F56" s="48">
        <v>135.2</v>
      </c>
      <c r="G56" s="81">
        <v>139.11</v>
      </c>
      <c r="H56" s="108"/>
      <c r="I56" s="81">
        <v>113.64</v>
      </c>
      <c r="J56" s="108">
        <v>252.75</v>
      </c>
      <c r="K56" s="81">
        <v>461.87</v>
      </c>
      <c r="L56" s="108"/>
      <c r="M56" s="108"/>
      <c r="N56" s="108">
        <v>461.87</v>
      </c>
      <c r="O56" s="81">
        <v>194.39</v>
      </c>
      <c r="P56" s="108">
        <v>194.39</v>
      </c>
      <c r="Q56" s="81">
        <v>224.39</v>
      </c>
      <c r="R56" s="108">
        <v>224.39</v>
      </c>
      <c r="S56" s="81">
        <v>179.18</v>
      </c>
      <c r="T56" s="108">
        <v>179.18</v>
      </c>
      <c r="U56" s="81">
        <v>311.58</v>
      </c>
      <c r="V56" s="108">
        <v>311.58</v>
      </c>
      <c r="W56" s="81">
        <v>272.12</v>
      </c>
      <c r="X56" s="108">
        <v>272.12</v>
      </c>
      <c r="Y56" s="81">
        <v>144.46</v>
      </c>
      <c r="Z56" s="108">
        <v>144.46</v>
      </c>
      <c r="AA56" s="81">
        <v>183.14</v>
      </c>
      <c r="AB56" s="108">
        <v>183.14</v>
      </c>
      <c r="AC56" s="176">
        <f t="shared" si="3"/>
        <v>2359.08</v>
      </c>
      <c r="AD56" s="176">
        <f t="shared" si="4"/>
        <v>2359.08</v>
      </c>
      <c r="AE56" s="211">
        <f t="shared" si="5"/>
        <v>178.959876</v>
      </c>
    </row>
    <row r="57" s="11" customFormat="1" ht="35" customHeight="1" spans="1:31">
      <c r="A57" s="48">
        <v>54</v>
      </c>
      <c r="B57" s="48" t="s">
        <v>143</v>
      </c>
      <c r="C57" s="51" t="s">
        <v>144</v>
      </c>
      <c r="D57" s="75">
        <v>-985.829259000001</v>
      </c>
      <c r="E57" s="81">
        <v>179.95</v>
      </c>
      <c r="F57" s="48">
        <v>340</v>
      </c>
      <c r="G57" s="81">
        <v>215.28</v>
      </c>
      <c r="H57" s="108">
        <v>200</v>
      </c>
      <c r="I57" s="81">
        <v>157.96</v>
      </c>
      <c r="J57" s="108">
        <v>0</v>
      </c>
      <c r="K57" s="81">
        <v>448.09</v>
      </c>
      <c r="L57" s="108">
        <v>300</v>
      </c>
      <c r="M57" s="108"/>
      <c r="N57" s="108">
        <v>135.98</v>
      </c>
      <c r="O57" s="81">
        <v>185.69</v>
      </c>
      <c r="P57" s="108">
        <v>200</v>
      </c>
      <c r="Q57" s="81">
        <v>174.88</v>
      </c>
      <c r="R57" s="108">
        <v>200</v>
      </c>
      <c r="S57" s="81">
        <v>198.45</v>
      </c>
      <c r="T57" s="108">
        <v>0</v>
      </c>
      <c r="U57" s="81">
        <v>273.32</v>
      </c>
      <c r="V57" s="108">
        <v>1000</v>
      </c>
      <c r="W57" s="81">
        <v>206.61</v>
      </c>
      <c r="X57" s="108">
        <v>0</v>
      </c>
      <c r="Y57" s="81">
        <v>166.38</v>
      </c>
      <c r="Z57" s="108">
        <v>68.94</v>
      </c>
      <c r="AA57" s="81">
        <v>176.38</v>
      </c>
      <c r="AB57" s="108">
        <v>200</v>
      </c>
      <c r="AC57" s="176">
        <f t="shared" si="3"/>
        <v>2382.99</v>
      </c>
      <c r="AD57" s="176">
        <f t="shared" si="4"/>
        <v>2644.92</v>
      </c>
      <c r="AE57" s="211">
        <f t="shared" si="5"/>
        <v>-723.899259000001</v>
      </c>
    </row>
    <row r="58" s="11" customFormat="1" ht="35" customHeight="1" spans="1:31">
      <c r="A58" s="48">
        <v>55</v>
      </c>
      <c r="B58" s="48" t="s">
        <v>145</v>
      </c>
      <c r="C58" s="51" t="s">
        <v>146</v>
      </c>
      <c r="D58" s="75">
        <v>105.131396</v>
      </c>
      <c r="E58" s="81">
        <v>252.53</v>
      </c>
      <c r="F58" s="48">
        <v>252.53</v>
      </c>
      <c r="G58" s="81">
        <v>279.31</v>
      </c>
      <c r="H58" s="108"/>
      <c r="I58" s="81">
        <v>331.88</v>
      </c>
      <c r="J58" s="108">
        <v>611.19</v>
      </c>
      <c r="K58" s="81">
        <v>691.85</v>
      </c>
      <c r="L58" s="108"/>
      <c r="M58" s="108"/>
      <c r="N58" s="108">
        <v>691.85</v>
      </c>
      <c r="O58" s="81">
        <v>345.65</v>
      </c>
      <c r="P58" s="108">
        <v>345.65</v>
      </c>
      <c r="Q58" s="81">
        <v>272.27</v>
      </c>
      <c r="R58" s="108">
        <v>272.27</v>
      </c>
      <c r="S58" s="81">
        <v>164.31</v>
      </c>
      <c r="T58" s="108">
        <v>164.31</v>
      </c>
      <c r="U58" s="81">
        <v>161.37</v>
      </c>
      <c r="V58" s="108">
        <v>161.37</v>
      </c>
      <c r="W58" s="81">
        <v>139.97</v>
      </c>
      <c r="X58" s="108">
        <v>139.97</v>
      </c>
      <c r="Y58" s="81">
        <v>197.61</v>
      </c>
      <c r="Z58" s="108">
        <v>197.61</v>
      </c>
      <c r="AA58" s="81">
        <v>195.54</v>
      </c>
      <c r="AB58" s="108">
        <v>195.54</v>
      </c>
      <c r="AC58" s="176">
        <f t="shared" si="3"/>
        <v>3032.29</v>
      </c>
      <c r="AD58" s="176">
        <f t="shared" si="4"/>
        <v>3032.29</v>
      </c>
      <c r="AE58" s="211">
        <f t="shared" si="5"/>
        <v>105.131396</v>
      </c>
    </row>
    <row r="59" s="11" customFormat="1" ht="35" customHeight="1" spans="1:31">
      <c r="A59" s="48">
        <v>56</v>
      </c>
      <c r="B59" s="48" t="s">
        <v>147</v>
      </c>
      <c r="C59" s="51" t="s">
        <v>148</v>
      </c>
      <c r="D59" s="75">
        <v>409.31817</v>
      </c>
      <c r="E59" s="81">
        <v>275.45</v>
      </c>
      <c r="F59" s="48">
        <v>275.45</v>
      </c>
      <c r="G59" s="81">
        <v>314.09</v>
      </c>
      <c r="H59" s="108"/>
      <c r="I59" s="81">
        <v>247.13</v>
      </c>
      <c r="J59" s="108">
        <v>561.22</v>
      </c>
      <c r="K59" s="81">
        <v>488.25</v>
      </c>
      <c r="L59" s="108"/>
      <c r="M59" s="108"/>
      <c r="N59" s="108">
        <v>0</v>
      </c>
      <c r="O59" s="81">
        <v>227.04</v>
      </c>
      <c r="P59" s="108">
        <v>0</v>
      </c>
      <c r="Q59" s="81">
        <v>274.99</v>
      </c>
      <c r="R59" s="108">
        <v>607.83</v>
      </c>
      <c r="S59" s="81">
        <v>365.84</v>
      </c>
      <c r="T59" s="108">
        <v>688.29</v>
      </c>
      <c r="U59" s="81">
        <v>281.76</v>
      </c>
      <c r="V59" s="108">
        <v>281.76</v>
      </c>
      <c r="W59" s="81">
        <v>354.58</v>
      </c>
      <c r="X59" s="108">
        <v>354.58</v>
      </c>
      <c r="Y59" s="81">
        <v>281.99</v>
      </c>
      <c r="Z59" s="108">
        <v>0</v>
      </c>
      <c r="AA59" s="81">
        <v>281.22</v>
      </c>
      <c r="AB59" s="108">
        <v>563.21</v>
      </c>
      <c r="AC59" s="176">
        <f t="shared" si="3"/>
        <v>3392.34</v>
      </c>
      <c r="AD59" s="176">
        <f t="shared" si="4"/>
        <v>3332.34</v>
      </c>
      <c r="AE59" s="211">
        <f t="shared" si="5"/>
        <v>349.31817</v>
      </c>
    </row>
    <row r="60" s="11" customFormat="1" ht="35" customHeight="1" spans="1:31">
      <c r="A60" s="48">
        <v>57</v>
      </c>
      <c r="B60" s="48" t="s">
        <v>149</v>
      </c>
      <c r="C60" s="51" t="s">
        <v>150</v>
      </c>
      <c r="D60" s="75">
        <v>669.560411</v>
      </c>
      <c r="E60" s="81">
        <v>336.03</v>
      </c>
      <c r="F60" s="48">
        <v>0</v>
      </c>
      <c r="G60" s="81">
        <v>399.65</v>
      </c>
      <c r="H60" s="108"/>
      <c r="I60" s="81">
        <v>372.31</v>
      </c>
      <c r="J60" s="108">
        <v>940</v>
      </c>
      <c r="K60" s="81">
        <v>505.89</v>
      </c>
      <c r="L60" s="108"/>
      <c r="M60" s="108"/>
      <c r="N60" s="108">
        <v>235.98</v>
      </c>
      <c r="O60" s="81">
        <v>194.39</v>
      </c>
      <c r="P60" s="108">
        <v>235.98</v>
      </c>
      <c r="Q60" s="81">
        <v>183.58</v>
      </c>
      <c r="R60" s="108"/>
      <c r="S60" s="81">
        <v>176.43</v>
      </c>
      <c r="T60" s="108">
        <v>0</v>
      </c>
      <c r="U60" s="81">
        <v>228.88</v>
      </c>
      <c r="V60" s="108">
        <v>1000</v>
      </c>
      <c r="W60" s="81">
        <v>184.02</v>
      </c>
      <c r="X60" s="108">
        <v>0</v>
      </c>
      <c r="Y60" s="81">
        <v>171.31</v>
      </c>
      <c r="Z60" s="108">
        <v>268.94</v>
      </c>
      <c r="AA60" s="81">
        <v>233.31</v>
      </c>
      <c r="AB60" s="108">
        <v>0</v>
      </c>
      <c r="AC60" s="176">
        <f t="shared" si="3"/>
        <v>2985.8</v>
      </c>
      <c r="AD60" s="176">
        <f t="shared" si="4"/>
        <v>2680.9</v>
      </c>
      <c r="AE60" s="211">
        <f t="shared" si="5"/>
        <v>364.660411</v>
      </c>
    </row>
    <row r="61" s="11" customFormat="1" ht="35" customHeight="1" spans="1:31">
      <c r="A61" s="48">
        <v>58</v>
      </c>
      <c r="B61" s="48" t="s">
        <v>151</v>
      </c>
      <c r="C61" s="51" t="s">
        <v>152</v>
      </c>
      <c r="D61" s="75">
        <v>593.061156</v>
      </c>
      <c r="E61" s="81">
        <v>59.89</v>
      </c>
      <c r="F61" s="48">
        <v>59.89</v>
      </c>
      <c r="G61" s="81">
        <v>184.37</v>
      </c>
      <c r="H61" s="108"/>
      <c r="I61" s="81">
        <v>105.34</v>
      </c>
      <c r="J61" s="108">
        <v>289.71</v>
      </c>
      <c r="K61" s="81">
        <v>152.7</v>
      </c>
      <c r="L61" s="108"/>
      <c r="M61" s="108"/>
      <c r="N61" s="108">
        <v>152.7</v>
      </c>
      <c r="O61" s="81">
        <v>46.4</v>
      </c>
      <c r="P61" s="108">
        <v>46.4</v>
      </c>
      <c r="Q61" s="81">
        <v>31.24</v>
      </c>
      <c r="R61" s="108">
        <v>31.24</v>
      </c>
      <c r="S61" s="81">
        <v>428.06</v>
      </c>
      <c r="T61" s="108">
        <v>428.06</v>
      </c>
      <c r="U61" s="81">
        <v>459.54</v>
      </c>
      <c r="V61" s="108">
        <v>459.54</v>
      </c>
      <c r="W61" s="81">
        <v>417.84</v>
      </c>
      <c r="X61" s="108">
        <v>417.84</v>
      </c>
      <c r="Y61" s="81">
        <v>168.02</v>
      </c>
      <c r="Z61" s="108">
        <v>168.02</v>
      </c>
      <c r="AA61" s="81">
        <v>193.85</v>
      </c>
      <c r="AB61" s="108">
        <v>193.85</v>
      </c>
      <c r="AC61" s="176">
        <f t="shared" si="3"/>
        <v>2247.25</v>
      </c>
      <c r="AD61" s="176">
        <f t="shared" si="4"/>
        <v>2247.25</v>
      </c>
      <c r="AE61" s="211">
        <f t="shared" si="5"/>
        <v>593.061156</v>
      </c>
    </row>
    <row r="62" s="11" customFormat="1" ht="35" customHeight="1" spans="1:31">
      <c r="A62" s="48">
        <v>59</v>
      </c>
      <c r="B62" s="48" t="s">
        <v>153</v>
      </c>
      <c r="C62" s="51" t="s">
        <v>154</v>
      </c>
      <c r="D62" s="75">
        <v>1288.721056</v>
      </c>
      <c r="E62" s="81">
        <v>216.86</v>
      </c>
      <c r="F62" s="48">
        <v>216.86</v>
      </c>
      <c r="G62" s="81">
        <v>204.79</v>
      </c>
      <c r="H62" s="108"/>
      <c r="I62" s="81">
        <v>246.58</v>
      </c>
      <c r="J62" s="108">
        <v>451.37</v>
      </c>
      <c r="K62" s="81">
        <v>334.78</v>
      </c>
      <c r="L62" s="108"/>
      <c r="M62" s="108"/>
      <c r="N62" s="108">
        <v>334.78</v>
      </c>
      <c r="O62" s="81">
        <v>135.63</v>
      </c>
      <c r="P62" s="108">
        <v>135.63</v>
      </c>
      <c r="Q62" s="81">
        <v>174.34</v>
      </c>
      <c r="R62" s="108">
        <v>174.34</v>
      </c>
      <c r="S62" s="81">
        <v>376.3</v>
      </c>
      <c r="T62" s="108">
        <v>376.3</v>
      </c>
      <c r="U62" s="81">
        <v>455.61</v>
      </c>
      <c r="V62" s="108">
        <v>455.61</v>
      </c>
      <c r="W62" s="81">
        <v>304.32</v>
      </c>
      <c r="X62" s="108">
        <v>304.32</v>
      </c>
      <c r="Y62" s="81">
        <v>159.8</v>
      </c>
      <c r="Z62" s="108">
        <v>159.8</v>
      </c>
      <c r="AA62" s="81">
        <v>158.34</v>
      </c>
      <c r="AB62" s="108">
        <v>158.34</v>
      </c>
      <c r="AC62" s="176">
        <f t="shared" si="3"/>
        <v>2767.35</v>
      </c>
      <c r="AD62" s="176">
        <f t="shared" si="4"/>
        <v>2767.35</v>
      </c>
      <c r="AE62" s="211">
        <f t="shared" si="5"/>
        <v>1288.721056</v>
      </c>
    </row>
    <row r="63" s="11" customFormat="1" ht="35" customHeight="1" spans="1:31">
      <c r="A63" s="48">
        <v>60</v>
      </c>
      <c r="B63" s="48" t="s">
        <v>155</v>
      </c>
      <c r="C63" s="210" t="s">
        <v>156</v>
      </c>
      <c r="D63" s="75">
        <v>-290.028429999999</v>
      </c>
      <c r="E63" s="81">
        <v>137.18</v>
      </c>
      <c r="F63" s="48">
        <v>137.18</v>
      </c>
      <c r="G63" s="81">
        <v>195.41</v>
      </c>
      <c r="H63" s="108"/>
      <c r="I63" s="81">
        <v>273.72</v>
      </c>
      <c r="J63" s="108">
        <v>469.13</v>
      </c>
      <c r="K63" s="81">
        <v>232.18</v>
      </c>
      <c r="L63" s="108"/>
      <c r="M63" s="108"/>
      <c r="N63" s="108">
        <v>232.18</v>
      </c>
      <c r="O63" s="81">
        <v>110.6</v>
      </c>
      <c r="P63" s="108">
        <v>110.6</v>
      </c>
      <c r="Q63" s="81">
        <v>104.15</v>
      </c>
      <c r="R63" s="108">
        <v>104.15</v>
      </c>
      <c r="S63" s="81">
        <v>211.67</v>
      </c>
      <c r="T63" s="108">
        <v>211.67</v>
      </c>
      <c r="U63" s="81">
        <v>204.12</v>
      </c>
      <c r="V63" s="108">
        <v>204.12</v>
      </c>
      <c r="W63" s="81">
        <v>121.89</v>
      </c>
      <c r="X63" s="108">
        <v>121.89</v>
      </c>
      <c r="Y63" s="81">
        <v>124.74</v>
      </c>
      <c r="Z63" s="108">
        <v>124.74</v>
      </c>
      <c r="AA63" s="81">
        <v>139.17</v>
      </c>
      <c r="AB63" s="108">
        <v>139.17</v>
      </c>
      <c r="AC63" s="176">
        <f t="shared" si="3"/>
        <v>1854.83</v>
      </c>
      <c r="AD63" s="176">
        <f t="shared" si="4"/>
        <v>1854.83</v>
      </c>
      <c r="AE63" s="211">
        <f t="shared" si="5"/>
        <v>-290.028429999999</v>
      </c>
    </row>
    <row r="64" s="11" customFormat="1" ht="35" customHeight="1" spans="1:31">
      <c r="A64" s="48">
        <v>61</v>
      </c>
      <c r="B64" s="48" t="s">
        <v>157</v>
      </c>
      <c r="C64" s="210" t="s">
        <v>158</v>
      </c>
      <c r="D64" s="75">
        <v>650.108996</v>
      </c>
      <c r="E64" s="81">
        <v>123.54</v>
      </c>
      <c r="F64" s="48">
        <v>0</v>
      </c>
      <c r="G64" s="81">
        <v>189.89</v>
      </c>
      <c r="H64" s="108"/>
      <c r="I64" s="81">
        <v>166.26</v>
      </c>
      <c r="J64" s="108">
        <v>0</v>
      </c>
      <c r="K64" s="81">
        <v>231.16</v>
      </c>
      <c r="L64" s="108"/>
      <c r="M64" s="108"/>
      <c r="N64" s="108">
        <v>340.64</v>
      </c>
      <c r="O64" s="81">
        <v>84.48</v>
      </c>
      <c r="P64" s="108">
        <v>0</v>
      </c>
      <c r="Q64" s="81">
        <v>67.15</v>
      </c>
      <c r="R64" s="108">
        <v>200</v>
      </c>
      <c r="S64" s="81">
        <v>183.58</v>
      </c>
      <c r="T64" s="108">
        <v>135.21</v>
      </c>
      <c r="U64" s="81">
        <v>142.24</v>
      </c>
      <c r="V64" s="108">
        <v>145</v>
      </c>
      <c r="W64" s="81">
        <v>464.15</v>
      </c>
      <c r="X64" s="108">
        <v>465</v>
      </c>
      <c r="Y64" s="81">
        <v>110.49</v>
      </c>
      <c r="Z64" s="108">
        <v>106.88</v>
      </c>
      <c r="AA64" s="81">
        <v>101.97</v>
      </c>
      <c r="AB64" s="108">
        <v>0</v>
      </c>
      <c r="AC64" s="176">
        <f t="shared" si="3"/>
        <v>1864.91</v>
      </c>
      <c r="AD64" s="176">
        <f t="shared" si="4"/>
        <v>1392.73</v>
      </c>
      <c r="AE64" s="211">
        <f t="shared" si="5"/>
        <v>177.928996</v>
      </c>
    </row>
    <row r="65" s="11" customFormat="1" ht="35" customHeight="1" spans="1:31">
      <c r="A65" s="48">
        <v>62</v>
      </c>
      <c r="B65" s="48" t="s">
        <v>159</v>
      </c>
      <c r="C65" s="51" t="s">
        <v>160</v>
      </c>
      <c r="D65" s="75">
        <v>411.539391000001</v>
      </c>
      <c r="E65" s="81">
        <v>92.98</v>
      </c>
      <c r="F65" s="48">
        <v>83</v>
      </c>
      <c r="G65" s="81">
        <v>150.7</v>
      </c>
      <c r="H65" s="108">
        <v>151</v>
      </c>
      <c r="I65" s="81">
        <v>155.19</v>
      </c>
      <c r="J65" s="108">
        <v>502.74</v>
      </c>
      <c r="K65" s="81">
        <v>165.46</v>
      </c>
      <c r="L65" s="108"/>
      <c r="M65" s="108"/>
      <c r="N65" s="108">
        <v>100</v>
      </c>
      <c r="O65" s="81">
        <v>125.83</v>
      </c>
      <c r="P65" s="108">
        <v>0</v>
      </c>
      <c r="Q65" s="81">
        <v>134.07</v>
      </c>
      <c r="R65" s="108">
        <v>0</v>
      </c>
      <c r="S65" s="81">
        <v>258.47</v>
      </c>
      <c r="T65" s="108">
        <v>0</v>
      </c>
      <c r="U65" s="81">
        <v>396.53</v>
      </c>
      <c r="V65" s="108">
        <v>637.98</v>
      </c>
      <c r="W65" s="81">
        <v>136.01</v>
      </c>
      <c r="X65" s="108">
        <v>131</v>
      </c>
      <c r="Y65" s="81">
        <v>86.93</v>
      </c>
      <c r="Z65" s="108">
        <v>87</v>
      </c>
      <c r="AA65" s="81">
        <v>80.55</v>
      </c>
      <c r="AB65" s="108">
        <v>179.94</v>
      </c>
      <c r="AC65" s="176">
        <f t="shared" si="3"/>
        <v>1782.72</v>
      </c>
      <c r="AD65" s="176">
        <f t="shared" si="4"/>
        <v>1872.66</v>
      </c>
      <c r="AE65" s="211">
        <f t="shared" si="5"/>
        <v>501.479391000001</v>
      </c>
    </row>
    <row r="66" s="11" customFormat="1" ht="35" customHeight="1" spans="1:31">
      <c r="A66" s="48">
        <v>63</v>
      </c>
      <c r="B66" s="48" t="s">
        <v>161</v>
      </c>
      <c r="C66" s="51" t="s">
        <v>162</v>
      </c>
      <c r="D66" s="75">
        <v>1070.722181</v>
      </c>
      <c r="E66" s="81">
        <v>250.69</v>
      </c>
      <c r="F66" s="48">
        <v>250.69</v>
      </c>
      <c r="G66" s="81">
        <v>246.75</v>
      </c>
      <c r="H66" s="108"/>
      <c r="I66" s="81">
        <v>255.99</v>
      </c>
      <c r="J66" s="108">
        <v>0</v>
      </c>
      <c r="K66" s="81">
        <v>414.03</v>
      </c>
      <c r="L66" s="108"/>
      <c r="M66" s="108"/>
      <c r="N66" s="108">
        <v>916.77</v>
      </c>
      <c r="O66" s="81">
        <v>189.49</v>
      </c>
      <c r="P66" s="108">
        <v>189.49</v>
      </c>
      <c r="Q66" s="81">
        <v>221.13</v>
      </c>
      <c r="R66" s="108">
        <v>221.13</v>
      </c>
      <c r="S66" s="81">
        <v>288.75</v>
      </c>
      <c r="T66" s="108">
        <v>288.75</v>
      </c>
      <c r="U66" s="81">
        <v>335.21</v>
      </c>
      <c r="V66" s="108">
        <v>335.21</v>
      </c>
      <c r="W66" s="81">
        <v>256.31</v>
      </c>
      <c r="X66" s="108">
        <v>256.31</v>
      </c>
      <c r="Y66" s="81">
        <v>167.48</v>
      </c>
      <c r="Z66" s="108">
        <v>167.48</v>
      </c>
      <c r="AA66" s="81">
        <v>183.71</v>
      </c>
      <c r="AB66" s="108">
        <v>183.71</v>
      </c>
      <c r="AC66" s="176">
        <f t="shared" si="3"/>
        <v>2809.54</v>
      </c>
      <c r="AD66" s="176">
        <f t="shared" si="4"/>
        <v>2809.54</v>
      </c>
      <c r="AE66" s="211">
        <f t="shared" si="5"/>
        <v>1070.722181</v>
      </c>
    </row>
    <row r="67" s="11" customFormat="1" ht="35" customHeight="1" spans="1:31">
      <c r="A67" s="48">
        <v>64</v>
      </c>
      <c r="B67" s="48" t="s">
        <v>163</v>
      </c>
      <c r="C67" s="51" t="s">
        <v>164</v>
      </c>
      <c r="D67" s="75">
        <v>-318.979944</v>
      </c>
      <c r="E67" s="81">
        <v>179.2</v>
      </c>
      <c r="F67" s="48">
        <v>179.2</v>
      </c>
      <c r="G67" s="81">
        <v>397.44</v>
      </c>
      <c r="H67" s="108"/>
      <c r="I67" s="81">
        <v>368.99</v>
      </c>
      <c r="J67" s="108">
        <v>766.43</v>
      </c>
      <c r="K67" s="81">
        <v>431.5</v>
      </c>
      <c r="L67" s="108"/>
      <c r="M67" s="108"/>
      <c r="N67" s="108">
        <v>431.5</v>
      </c>
      <c r="O67" s="81">
        <v>223.23</v>
      </c>
      <c r="P67" s="108">
        <v>223.23</v>
      </c>
      <c r="Q67" s="81">
        <v>210.79</v>
      </c>
      <c r="R67" s="108">
        <v>210.79</v>
      </c>
      <c r="S67" s="81">
        <v>193.5</v>
      </c>
      <c r="T67" s="108">
        <v>193.5</v>
      </c>
      <c r="U67" s="81">
        <v>168.68</v>
      </c>
      <c r="V67" s="108">
        <v>168.68</v>
      </c>
      <c r="W67" s="81">
        <v>155.21</v>
      </c>
      <c r="X67" s="108">
        <v>155.21</v>
      </c>
      <c r="Y67" s="81">
        <v>190.49</v>
      </c>
      <c r="Z67" s="108">
        <v>190.49</v>
      </c>
      <c r="AA67" s="81">
        <v>218.65</v>
      </c>
      <c r="AB67" s="108">
        <v>218.65</v>
      </c>
      <c r="AC67" s="176">
        <f t="shared" si="3"/>
        <v>2737.68</v>
      </c>
      <c r="AD67" s="176">
        <f t="shared" si="4"/>
        <v>2737.68</v>
      </c>
      <c r="AE67" s="211">
        <f t="shared" si="5"/>
        <v>-318.979944</v>
      </c>
    </row>
    <row r="68" s="11" customFormat="1" ht="35" customHeight="1" spans="1:31">
      <c r="A68" s="48">
        <v>65</v>
      </c>
      <c r="B68" s="108"/>
      <c r="C68" s="108" t="s">
        <v>165</v>
      </c>
      <c r="D68" s="75">
        <v>273.6163</v>
      </c>
      <c r="E68" s="81">
        <v>32.74</v>
      </c>
      <c r="F68" s="48">
        <v>0</v>
      </c>
      <c r="G68" s="81">
        <v>34.78</v>
      </c>
      <c r="H68" s="108"/>
      <c r="I68" s="81">
        <v>38.77</v>
      </c>
      <c r="J68" s="108">
        <v>240</v>
      </c>
      <c r="K68" s="81">
        <v>97.86</v>
      </c>
      <c r="L68" s="108"/>
      <c r="M68" s="108"/>
      <c r="N68" s="108">
        <v>0</v>
      </c>
      <c r="O68" s="81">
        <v>61.48</v>
      </c>
      <c r="P68" s="108">
        <v>0</v>
      </c>
      <c r="Q68" s="81">
        <v>69.1</v>
      </c>
      <c r="R68" s="108">
        <v>0</v>
      </c>
      <c r="S68" s="81">
        <v>94.71</v>
      </c>
      <c r="T68" s="108">
        <v>175.81</v>
      </c>
      <c r="U68" s="81">
        <v>91.14</v>
      </c>
      <c r="V68" s="108">
        <v>91.14</v>
      </c>
      <c r="W68" s="81">
        <v>69.49</v>
      </c>
      <c r="X68" s="108">
        <v>300</v>
      </c>
      <c r="Y68" s="81">
        <v>56.48</v>
      </c>
      <c r="Z68" s="108">
        <v>0</v>
      </c>
      <c r="AA68" s="81">
        <v>46.8</v>
      </c>
      <c r="AB68" s="108">
        <v>0</v>
      </c>
      <c r="AC68" s="176">
        <f t="shared" si="3"/>
        <v>693.35</v>
      </c>
      <c r="AD68" s="176">
        <f t="shared" si="4"/>
        <v>806.95</v>
      </c>
      <c r="AE68" s="211">
        <f t="shared" si="5"/>
        <v>387.2163</v>
      </c>
    </row>
    <row r="69" s="11" customFormat="1" ht="35" customHeight="1" spans="1:31">
      <c r="A69" s="48">
        <v>66</v>
      </c>
      <c r="B69" s="108"/>
      <c r="C69" s="108" t="s">
        <v>315</v>
      </c>
      <c r="D69" s="75">
        <v>312.59</v>
      </c>
      <c r="E69" s="81"/>
      <c r="F69" s="48">
        <v>0</v>
      </c>
      <c r="G69" s="81">
        <v>51</v>
      </c>
      <c r="H69" s="108"/>
      <c r="I69" s="81">
        <v>48.45</v>
      </c>
      <c r="J69" s="108">
        <v>0</v>
      </c>
      <c r="K69" s="81">
        <v>99.45</v>
      </c>
      <c r="L69" s="108"/>
      <c r="M69" s="108"/>
      <c r="N69" s="108">
        <v>0</v>
      </c>
      <c r="O69" s="81">
        <v>52.7</v>
      </c>
      <c r="P69" s="108"/>
      <c r="Q69" s="81">
        <v>51</v>
      </c>
      <c r="R69" s="108"/>
      <c r="S69" s="81">
        <v>49.3</v>
      </c>
      <c r="T69" s="108">
        <v>0</v>
      </c>
      <c r="U69" s="81">
        <v>51</v>
      </c>
      <c r="V69" s="108">
        <v>0</v>
      </c>
      <c r="W69" s="81">
        <v>50.15</v>
      </c>
      <c r="X69" s="108">
        <v>0</v>
      </c>
      <c r="Y69" s="81">
        <v>51</v>
      </c>
      <c r="Z69" s="108">
        <v>0</v>
      </c>
      <c r="AA69" s="81">
        <v>50.15</v>
      </c>
      <c r="AB69" s="108">
        <v>0</v>
      </c>
      <c r="AC69" s="176">
        <f t="shared" ref="AC69:AC100" si="6">E69+G69+I69+K69+M69+O69+Q69+S69+U69+W69+Y69+AA69</f>
        <v>554.2</v>
      </c>
      <c r="AD69" s="176">
        <f t="shared" ref="AD69:AD100" si="7">F69+H69+J69+L69+N69+P69+R69+T69+V69+X69+Z69+AB69</f>
        <v>0</v>
      </c>
      <c r="AE69" s="211">
        <f t="shared" ref="AE69:AE100" si="8">D69+AD69-AC69</f>
        <v>-241.61</v>
      </c>
    </row>
    <row r="70" s="11" customFormat="1" ht="35" customHeight="1" spans="1:31">
      <c r="A70" s="48">
        <v>67</v>
      </c>
      <c r="B70" s="48" t="s">
        <v>167</v>
      </c>
      <c r="C70" s="51" t="s">
        <v>168</v>
      </c>
      <c r="D70" s="75">
        <v>150.260772000001</v>
      </c>
      <c r="E70" s="81">
        <v>354.84</v>
      </c>
      <c r="F70" s="212">
        <v>354.84</v>
      </c>
      <c r="G70" s="81">
        <v>295.18</v>
      </c>
      <c r="H70" s="212"/>
      <c r="I70" s="81">
        <v>189.69</v>
      </c>
      <c r="J70" s="108">
        <v>484.87</v>
      </c>
      <c r="K70" s="81">
        <v>513.84</v>
      </c>
      <c r="L70" s="108"/>
      <c r="M70" s="108"/>
      <c r="N70" s="108">
        <v>513.84</v>
      </c>
      <c r="O70" s="81">
        <v>230</v>
      </c>
      <c r="P70" s="108">
        <v>230</v>
      </c>
      <c r="Q70" s="108">
        <v>261.45</v>
      </c>
      <c r="R70" s="108">
        <v>261.45</v>
      </c>
      <c r="S70" s="81">
        <v>408.14</v>
      </c>
      <c r="T70" s="108">
        <v>408.14</v>
      </c>
      <c r="U70" s="81">
        <v>430.56</v>
      </c>
      <c r="V70" s="108">
        <v>430.56</v>
      </c>
      <c r="W70" s="81">
        <v>310.12</v>
      </c>
      <c r="X70" s="108">
        <v>310.12</v>
      </c>
      <c r="Y70" s="81">
        <v>187.34</v>
      </c>
      <c r="Z70" s="108">
        <v>187.34</v>
      </c>
      <c r="AA70" s="81">
        <v>187.81</v>
      </c>
      <c r="AB70" s="108">
        <v>187.81</v>
      </c>
      <c r="AC70" s="176">
        <f t="shared" si="6"/>
        <v>3368.97</v>
      </c>
      <c r="AD70" s="176">
        <f t="shared" si="7"/>
        <v>3368.97</v>
      </c>
      <c r="AE70" s="211">
        <f t="shared" si="8"/>
        <v>150.260772000001</v>
      </c>
    </row>
    <row r="71" s="11" customFormat="1" ht="35" customHeight="1" spans="1:31">
      <c r="A71" s="48">
        <v>68</v>
      </c>
      <c r="B71" s="48" t="s">
        <v>169</v>
      </c>
      <c r="C71" s="51" t="s">
        <v>170</v>
      </c>
      <c r="D71" s="75">
        <v>-6.15774700000026</v>
      </c>
      <c r="E71" s="81">
        <v>49.23</v>
      </c>
      <c r="F71" s="212">
        <v>0</v>
      </c>
      <c r="G71" s="81">
        <v>52.85</v>
      </c>
      <c r="H71" s="212"/>
      <c r="I71" s="81">
        <v>9.12</v>
      </c>
      <c r="J71" s="108">
        <v>0</v>
      </c>
      <c r="K71" s="81">
        <v>19.42</v>
      </c>
      <c r="L71" s="108"/>
      <c r="M71" s="108"/>
      <c r="N71" s="108">
        <v>0</v>
      </c>
      <c r="O71" s="81">
        <v>24.87</v>
      </c>
      <c r="P71" s="108">
        <v>0</v>
      </c>
      <c r="Q71" s="108">
        <v>12.25</v>
      </c>
      <c r="R71" s="108">
        <v>681.79</v>
      </c>
      <c r="S71" s="81">
        <v>12.24</v>
      </c>
      <c r="T71" s="108">
        <v>0</v>
      </c>
      <c r="U71" s="81">
        <v>10.29</v>
      </c>
      <c r="V71" s="108">
        <v>0</v>
      </c>
      <c r="W71" s="81">
        <v>10.22</v>
      </c>
      <c r="X71" s="108">
        <v>0</v>
      </c>
      <c r="Y71" s="81">
        <v>10.37</v>
      </c>
      <c r="Z71" s="108">
        <v>5.66</v>
      </c>
      <c r="AA71" s="81">
        <v>9.12</v>
      </c>
      <c r="AB71" s="108">
        <v>0</v>
      </c>
      <c r="AC71" s="176">
        <f t="shared" si="6"/>
        <v>219.98</v>
      </c>
      <c r="AD71" s="176">
        <f t="shared" si="7"/>
        <v>687.45</v>
      </c>
      <c r="AE71" s="211">
        <f t="shared" si="8"/>
        <v>461.312253</v>
      </c>
    </row>
    <row r="72" s="11" customFormat="1" ht="35" customHeight="1" spans="1:31">
      <c r="A72" s="48">
        <v>69</v>
      </c>
      <c r="B72" s="48" t="s">
        <v>171</v>
      </c>
      <c r="C72" s="51" t="s">
        <v>172</v>
      </c>
      <c r="D72" s="75">
        <v>230.487418</v>
      </c>
      <c r="E72" s="81">
        <v>268.62</v>
      </c>
      <c r="F72" s="212">
        <v>268.62</v>
      </c>
      <c r="G72" s="81">
        <v>318.91</v>
      </c>
      <c r="H72" s="212"/>
      <c r="I72" s="81">
        <v>194.68</v>
      </c>
      <c r="J72" s="108">
        <v>513.59</v>
      </c>
      <c r="K72" s="81">
        <v>278.14</v>
      </c>
      <c r="L72" s="108"/>
      <c r="M72" s="108"/>
      <c r="N72" s="108">
        <v>278.14</v>
      </c>
      <c r="O72" s="81">
        <v>132.06</v>
      </c>
      <c r="P72" s="108">
        <v>132.06</v>
      </c>
      <c r="Q72" s="108">
        <v>244.58</v>
      </c>
      <c r="R72" s="108">
        <v>244.58</v>
      </c>
      <c r="S72" s="81">
        <v>344.27</v>
      </c>
      <c r="T72" s="108">
        <v>344.27</v>
      </c>
      <c r="U72" s="81">
        <v>368.11</v>
      </c>
      <c r="V72" s="108">
        <v>368.11</v>
      </c>
      <c r="W72" s="81">
        <v>266.63</v>
      </c>
      <c r="X72" s="108">
        <v>266.63</v>
      </c>
      <c r="Y72" s="81">
        <v>129.26</v>
      </c>
      <c r="Z72" s="108">
        <v>129.26</v>
      </c>
      <c r="AA72" s="81">
        <v>134.26</v>
      </c>
      <c r="AB72" s="108">
        <v>134.26</v>
      </c>
      <c r="AC72" s="176">
        <f t="shared" si="6"/>
        <v>2679.52</v>
      </c>
      <c r="AD72" s="176">
        <f t="shared" si="7"/>
        <v>2679.52</v>
      </c>
      <c r="AE72" s="211">
        <f t="shared" si="8"/>
        <v>230.487418</v>
      </c>
    </row>
    <row r="73" s="11" customFormat="1" ht="35" customHeight="1" spans="1:31">
      <c r="A73" s="48">
        <v>70</v>
      </c>
      <c r="B73" s="48" t="s">
        <v>173</v>
      </c>
      <c r="C73" s="51" t="s">
        <v>174</v>
      </c>
      <c r="D73" s="75">
        <v>126.908872</v>
      </c>
      <c r="E73" s="81">
        <v>292.63</v>
      </c>
      <c r="F73" s="212">
        <v>0</v>
      </c>
      <c r="G73" s="81">
        <v>381.29</v>
      </c>
      <c r="H73" s="212"/>
      <c r="I73" s="81">
        <v>140.4</v>
      </c>
      <c r="J73" s="108">
        <v>0</v>
      </c>
      <c r="K73" s="81">
        <v>372.38</v>
      </c>
      <c r="L73" s="108"/>
      <c r="M73" s="108"/>
      <c r="N73" s="108">
        <v>0</v>
      </c>
      <c r="O73" s="81">
        <v>143.48</v>
      </c>
      <c r="P73" s="108">
        <v>682.79</v>
      </c>
      <c r="Q73" s="108">
        <v>178.75</v>
      </c>
      <c r="R73" s="108">
        <v>0</v>
      </c>
      <c r="S73" s="81">
        <v>217.08</v>
      </c>
      <c r="T73" s="108">
        <v>0</v>
      </c>
      <c r="U73" s="81">
        <v>154.88</v>
      </c>
      <c r="V73" s="108">
        <v>0</v>
      </c>
      <c r="W73" s="81">
        <v>162.71</v>
      </c>
      <c r="X73" s="108">
        <v>1300</v>
      </c>
      <c r="Y73" s="81">
        <v>116.66</v>
      </c>
      <c r="Z73" s="108">
        <v>145.66</v>
      </c>
      <c r="AA73" s="81">
        <v>113.41</v>
      </c>
      <c r="AB73" s="108">
        <v>0</v>
      </c>
      <c r="AC73" s="176">
        <f t="shared" si="6"/>
        <v>2273.67</v>
      </c>
      <c r="AD73" s="176">
        <f t="shared" si="7"/>
        <v>2128.45</v>
      </c>
      <c r="AE73" s="211">
        <f t="shared" si="8"/>
        <v>-18.3111280000003</v>
      </c>
    </row>
    <row r="74" s="11" customFormat="1" ht="35" customHeight="1" spans="1:31">
      <c r="A74" s="48">
        <v>71</v>
      </c>
      <c r="B74" s="48" t="s">
        <v>175</v>
      </c>
      <c r="C74" s="51" t="s">
        <v>176</v>
      </c>
      <c r="D74" s="75">
        <v>463.484872</v>
      </c>
      <c r="E74" s="81">
        <v>167.11</v>
      </c>
      <c r="F74" s="212">
        <v>167.11</v>
      </c>
      <c r="G74" s="81">
        <v>167.67</v>
      </c>
      <c r="H74" s="212"/>
      <c r="I74" s="81">
        <v>161.45</v>
      </c>
      <c r="J74" s="108">
        <v>329.12</v>
      </c>
      <c r="K74" s="81">
        <v>258.71</v>
      </c>
      <c r="L74" s="108"/>
      <c r="M74" s="108"/>
      <c r="N74" s="108">
        <v>516.92</v>
      </c>
      <c r="O74" s="81">
        <v>133.15</v>
      </c>
      <c r="P74" s="108">
        <v>133.15</v>
      </c>
      <c r="Q74" s="108">
        <v>180.92</v>
      </c>
      <c r="R74" s="108">
        <v>180.92</v>
      </c>
      <c r="S74" s="81">
        <v>201.66</v>
      </c>
      <c r="T74" s="108">
        <v>201.66</v>
      </c>
      <c r="U74" s="81">
        <v>224.08</v>
      </c>
      <c r="V74" s="108">
        <v>224.08</v>
      </c>
      <c r="W74" s="81">
        <v>152.55</v>
      </c>
      <c r="X74" s="108">
        <v>152.55</v>
      </c>
      <c r="Y74" s="81">
        <v>136.38</v>
      </c>
      <c r="Z74" s="108">
        <v>136.38</v>
      </c>
      <c r="AA74" s="81">
        <v>128.63</v>
      </c>
      <c r="AB74" s="108">
        <v>128.63</v>
      </c>
      <c r="AC74" s="176">
        <f t="shared" si="6"/>
        <v>1912.31</v>
      </c>
      <c r="AD74" s="176">
        <f t="shared" si="7"/>
        <v>2170.52</v>
      </c>
      <c r="AE74" s="211">
        <f t="shared" si="8"/>
        <v>721.694872</v>
      </c>
    </row>
    <row r="75" s="11" customFormat="1" ht="35" customHeight="1" spans="1:31">
      <c r="A75" s="48">
        <v>72</v>
      </c>
      <c r="B75" s="48" t="s">
        <v>177</v>
      </c>
      <c r="C75" s="51" t="s">
        <v>178</v>
      </c>
      <c r="D75" s="75">
        <v>64.5459729999998</v>
      </c>
      <c r="E75" s="81">
        <v>177.48</v>
      </c>
      <c r="F75" s="212">
        <v>440</v>
      </c>
      <c r="G75" s="81">
        <v>236.67</v>
      </c>
      <c r="H75" s="212"/>
      <c r="I75" s="81">
        <v>140.4</v>
      </c>
      <c r="J75" s="108">
        <v>0</v>
      </c>
      <c r="K75" s="81">
        <v>307.03</v>
      </c>
      <c r="L75" s="108"/>
      <c r="M75" s="108"/>
      <c r="N75" s="108">
        <v>741.79</v>
      </c>
      <c r="O75" s="81">
        <v>135.87</v>
      </c>
      <c r="P75" s="108">
        <v>0</v>
      </c>
      <c r="Q75" s="108">
        <v>160.25</v>
      </c>
      <c r="R75" s="108">
        <v>0</v>
      </c>
      <c r="S75" s="81">
        <v>221.48</v>
      </c>
      <c r="T75" s="108">
        <v>0</v>
      </c>
      <c r="U75" s="81">
        <v>133.5</v>
      </c>
      <c r="V75" s="108">
        <v>1000</v>
      </c>
      <c r="W75" s="81">
        <v>255.9</v>
      </c>
      <c r="X75" s="108">
        <v>0</v>
      </c>
      <c r="Y75" s="81">
        <v>130.36</v>
      </c>
      <c r="Z75" s="108">
        <v>0</v>
      </c>
      <c r="AA75" s="81">
        <v>117.35</v>
      </c>
      <c r="AB75" s="108">
        <v>0</v>
      </c>
      <c r="AC75" s="176">
        <f t="shared" si="6"/>
        <v>2016.29</v>
      </c>
      <c r="AD75" s="176">
        <f t="shared" si="7"/>
        <v>2181.79</v>
      </c>
      <c r="AE75" s="211">
        <f t="shared" si="8"/>
        <v>230.045973</v>
      </c>
    </row>
    <row r="76" s="11" customFormat="1" ht="35" customHeight="1" spans="1:31">
      <c r="A76" s="48">
        <v>73</v>
      </c>
      <c r="B76" s="48" t="s">
        <v>179</v>
      </c>
      <c r="C76" s="51" t="s">
        <v>180</v>
      </c>
      <c r="D76" s="75">
        <v>-384.149047</v>
      </c>
      <c r="E76" s="81">
        <v>223.87</v>
      </c>
      <c r="F76" s="212">
        <v>240</v>
      </c>
      <c r="G76" s="81">
        <v>232.8</v>
      </c>
      <c r="H76" s="212"/>
      <c r="I76" s="81">
        <v>123.78</v>
      </c>
      <c r="J76" s="108">
        <v>300</v>
      </c>
      <c r="K76" s="81">
        <v>407.28</v>
      </c>
      <c r="L76" s="108">
        <v>200</v>
      </c>
      <c r="M76" s="108"/>
      <c r="N76" s="108">
        <v>241.79</v>
      </c>
      <c r="O76" s="81">
        <v>170.69</v>
      </c>
      <c r="P76" s="108">
        <v>200</v>
      </c>
      <c r="Q76" s="108">
        <v>192.89</v>
      </c>
      <c r="R76" s="108">
        <v>0</v>
      </c>
      <c r="S76" s="81">
        <v>166.97</v>
      </c>
      <c r="T76" s="108">
        <v>200</v>
      </c>
      <c r="U76" s="81">
        <v>201.58</v>
      </c>
      <c r="V76" s="108">
        <v>0</v>
      </c>
      <c r="W76" s="81">
        <v>210.15</v>
      </c>
      <c r="X76" s="108">
        <v>1000</v>
      </c>
      <c r="Y76" s="81">
        <v>150.08</v>
      </c>
      <c r="Z76" s="108">
        <v>45.66</v>
      </c>
      <c r="AA76" s="81">
        <v>172.03</v>
      </c>
      <c r="AB76" s="108">
        <v>0</v>
      </c>
      <c r="AC76" s="176">
        <f t="shared" si="6"/>
        <v>2252.12</v>
      </c>
      <c r="AD76" s="176">
        <f t="shared" si="7"/>
        <v>2427.45</v>
      </c>
      <c r="AE76" s="211">
        <f t="shared" si="8"/>
        <v>-208.819047</v>
      </c>
    </row>
    <row r="77" s="11" customFormat="1" ht="35" customHeight="1" spans="1:31">
      <c r="A77" s="48">
        <v>74</v>
      </c>
      <c r="B77" s="48" t="s">
        <v>181</v>
      </c>
      <c r="C77" s="51" t="s">
        <v>182</v>
      </c>
      <c r="D77" s="75">
        <v>298.88</v>
      </c>
      <c r="E77" s="81"/>
      <c r="F77" s="212">
        <v>0</v>
      </c>
      <c r="G77" s="81"/>
      <c r="H77" s="212"/>
      <c r="I77" s="81"/>
      <c r="J77" s="108">
        <v>0</v>
      </c>
      <c r="K77" s="81">
        <v>0</v>
      </c>
      <c r="L77" s="108"/>
      <c r="M77" s="108"/>
      <c r="N77" s="108">
        <v>0</v>
      </c>
      <c r="O77" s="81">
        <v>0</v>
      </c>
      <c r="P77" s="108">
        <v>0</v>
      </c>
      <c r="Q77" s="108">
        <v>0</v>
      </c>
      <c r="R77" s="108">
        <v>0</v>
      </c>
      <c r="S77" s="81"/>
      <c r="T77" s="108">
        <v>0</v>
      </c>
      <c r="U77" s="81"/>
      <c r="V77" s="108">
        <v>0</v>
      </c>
      <c r="W77" s="81">
        <v>0</v>
      </c>
      <c r="X77" s="108">
        <v>0</v>
      </c>
      <c r="Y77" s="81">
        <v>0</v>
      </c>
      <c r="Z77" s="108">
        <v>0</v>
      </c>
      <c r="AA77" s="81">
        <v>0</v>
      </c>
      <c r="AB77" s="108">
        <v>0</v>
      </c>
      <c r="AC77" s="176">
        <f t="shared" si="6"/>
        <v>0</v>
      </c>
      <c r="AD77" s="176">
        <f t="shared" si="7"/>
        <v>0</v>
      </c>
      <c r="AE77" s="211">
        <f t="shared" si="8"/>
        <v>298.88</v>
      </c>
    </row>
    <row r="78" s="11" customFormat="1" ht="35" customHeight="1" spans="1:31">
      <c r="A78" s="48">
        <v>75</v>
      </c>
      <c r="B78" s="48" t="s">
        <v>183</v>
      </c>
      <c r="C78" s="51" t="s">
        <v>184</v>
      </c>
      <c r="D78" s="75">
        <v>143.856872000001</v>
      </c>
      <c r="E78" s="81">
        <v>318.83</v>
      </c>
      <c r="F78" s="212">
        <v>940</v>
      </c>
      <c r="G78" s="81">
        <v>375.22</v>
      </c>
      <c r="H78" s="212"/>
      <c r="I78" s="81">
        <v>330.94</v>
      </c>
      <c r="J78" s="108">
        <v>0</v>
      </c>
      <c r="K78" s="81">
        <v>575.04</v>
      </c>
      <c r="L78" s="108"/>
      <c r="M78" s="108"/>
      <c r="N78" s="108">
        <v>941.79</v>
      </c>
      <c r="O78" s="81">
        <v>340.45</v>
      </c>
      <c r="P78" s="108">
        <v>0</v>
      </c>
      <c r="Q78" s="108">
        <v>333.27</v>
      </c>
      <c r="R78" s="108">
        <v>1000</v>
      </c>
      <c r="S78" s="81">
        <v>504.5</v>
      </c>
      <c r="T78" s="108">
        <v>0</v>
      </c>
      <c r="U78" s="81">
        <v>400.18</v>
      </c>
      <c r="V78" s="108">
        <v>1000</v>
      </c>
      <c r="W78" s="81">
        <v>406.7</v>
      </c>
      <c r="X78" s="108">
        <v>0</v>
      </c>
      <c r="Y78" s="81">
        <v>265.14</v>
      </c>
      <c r="Z78" s="108">
        <v>0</v>
      </c>
      <c r="AA78" s="81">
        <v>251.51</v>
      </c>
      <c r="AB78" s="108">
        <v>0</v>
      </c>
      <c r="AC78" s="176">
        <f t="shared" si="6"/>
        <v>4101.78</v>
      </c>
      <c r="AD78" s="176">
        <f t="shared" si="7"/>
        <v>3881.79</v>
      </c>
      <c r="AE78" s="211">
        <f t="shared" si="8"/>
        <v>-76.1331279999986</v>
      </c>
    </row>
    <row r="79" s="11" customFormat="1" ht="35" customHeight="1" spans="1:31">
      <c r="A79" s="48">
        <v>76</v>
      </c>
      <c r="B79" s="48" t="s">
        <v>185</v>
      </c>
      <c r="C79" s="51" t="s">
        <v>186</v>
      </c>
      <c r="D79" s="75">
        <v>194.493708</v>
      </c>
      <c r="E79" s="81">
        <v>59.6</v>
      </c>
      <c r="F79" s="212">
        <v>0</v>
      </c>
      <c r="G79" s="81">
        <v>66.1</v>
      </c>
      <c r="H79" s="212"/>
      <c r="I79" s="81">
        <v>43.47</v>
      </c>
      <c r="J79" s="108">
        <v>0</v>
      </c>
      <c r="K79" s="81">
        <v>95.16</v>
      </c>
      <c r="L79" s="108"/>
      <c r="M79" s="108"/>
      <c r="N79" s="108">
        <v>621.79</v>
      </c>
      <c r="O79" s="81">
        <v>41.74</v>
      </c>
      <c r="P79" s="108">
        <v>0</v>
      </c>
      <c r="Q79" s="108">
        <v>44.36</v>
      </c>
      <c r="R79" s="108">
        <v>0</v>
      </c>
      <c r="S79" s="81">
        <v>12.24</v>
      </c>
      <c r="T79" s="108">
        <v>0</v>
      </c>
      <c r="U79" s="81">
        <v>101.44</v>
      </c>
      <c r="V79" s="108">
        <v>0</v>
      </c>
      <c r="W79" s="81">
        <v>61.05</v>
      </c>
      <c r="X79" s="108">
        <v>0</v>
      </c>
      <c r="Y79" s="81">
        <v>43.79</v>
      </c>
      <c r="Z79" s="108">
        <v>0</v>
      </c>
      <c r="AA79" s="81">
        <v>43.51</v>
      </c>
      <c r="AB79" s="108">
        <v>0</v>
      </c>
      <c r="AC79" s="176">
        <f t="shared" si="6"/>
        <v>612.46</v>
      </c>
      <c r="AD79" s="176">
        <f t="shared" si="7"/>
        <v>621.79</v>
      </c>
      <c r="AE79" s="211">
        <f t="shared" si="8"/>
        <v>203.823708</v>
      </c>
    </row>
    <row r="80" s="11" customFormat="1" ht="35" customHeight="1" spans="1:31">
      <c r="A80" s="48">
        <v>77</v>
      </c>
      <c r="B80" s="48" t="s">
        <v>187</v>
      </c>
      <c r="C80" s="213" t="s">
        <v>188</v>
      </c>
      <c r="D80" s="75">
        <v>-25.579827999999</v>
      </c>
      <c r="E80" s="81">
        <v>220.05</v>
      </c>
      <c r="F80" s="212">
        <v>220.05</v>
      </c>
      <c r="G80" s="81">
        <v>289.66</v>
      </c>
      <c r="H80" s="212"/>
      <c r="I80" s="81">
        <v>237.88</v>
      </c>
      <c r="J80" s="108">
        <v>800</v>
      </c>
      <c r="K80" s="81">
        <v>358.54</v>
      </c>
      <c r="L80" s="108"/>
      <c r="M80" s="108"/>
      <c r="N80" s="108">
        <v>86.08</v>
      </c>
      <c r="O80" s="81">
        <v>152.73</v>
      </c>
      <c r="P80" s="108">
        <v>152.73</v>
      </c>
      <c r="Q80" s="108">
        <v>212.48</v>
      </c>
      <c r="R80" s="108">
        <v>212.48</v>
      </c>
      <c r="S80" s="81">
        <v>294.72</v>
      </c>
      <c r="T80" s="108">
        <v>294.72</v>
      </c>
      <c r="U80" s="81">
        <v>330.98</v>
      </c>
      <c r="V80" s="108">
        <v>330.98</v>
      </c>
      <c r="W80" s="81">
        <v>172.88</v>
      </c>
      <c r="X80" s="108">
        <v>600</v>
      </c>
      <c r="Y80" s="81">
        <v>164.88</v>
      </c>
      <c r="Z80" s="108">
        <v>0</v>
      </c>
      <c r="AA80" s="81">
        <v>141.03</v>
      </c>
      <c r="AB80" s="108">
        <v>0</v>
      </c>
      <c r="AC80" s="176">
        <f t="shared" si="6"/>
        <v>2575.83</v>
      </c>
      <c r="AD80" s="176">
        <f t="shared" si="7"/>
        <v>2697.04</v>
      </c>
      <c r="AE80" s="211">
        <f t="shared" si="8"/>
        <v>95.6301720000006</v>
      </c>
    </row>
    <row r="81" s="11" customFormat="1" ht="35" customHeight="1" spans="1:31">
      <c r="A81" s="48">
        <v>78</v>
      </c>
      <c r="B81" s="48" t="s">
        <v>189</v>
      </c>
      <c r="C81" s="51" t="s">
        <v>190</v>
      </c>
      <c r="D81" s="75">
        <v>-216.453141999999</v>
      </c>
      <c r="E81" s="81">
        <v>363.03</v>
      </c>
      <c r="F81" s="212">
        <v>567.63</v>
      </c>
      <c r="G81" s="81">
        <v>417.17</v>
      </c>
      <c r="H81" s="212">
        <v>417.17</v>
      </c>
      <c r="I81" s="81">
        <v>317.64</v>
      </c>
      <c r="J81" s="108">
        <v>0</v>
      </c>
      <c r="K81" s="81">
        <v>598.11</v>
      </c>
      <c r="L81" s="108"/>
      <c r="M81" s="108"/>
      <c r="N81" s="108">
        <v>915.75</v>
      </c>
      <c r="O81" s="81">
        <v>259.38</v>
      </c>
      <c r="P81" s="108">
        <v>259.38</v>
      </c>
      <c r="Q81" s="108">
        <v>370.27</v>
      </c>
      <c r="R81" s="108">
        <v>0</v>
      </c>
      <c r="S81" s="81">
        <v>623.99</v>
      </c>
      <c r="T81" s="108">
        <v>0</v>
      </c>
      <c r="U81" s="81">
        <v>553.2</v>
      </c>
      <c r="V81" s="108">
        <v>1547.46</v>
      </c>
      <c r="W81" s="81">
        <v>203.38</v>
      </c>
      <c r="X81" s="108">
        <v>203.38</v>
      </c>
      <c r="Y81" s="81">
        <v>628.95</v>
      </c>
      <c r="Z81" s="108">
        <v>0</v>
      </c>
      <c r="AA81" s="81">
        <v>318.03</v>
      </c>
      <c r="AB81" s="108">
        <v>0</v>
      </c>
      <c r="AC81" s="176">
        <f t="shared" si="6"/>
        <v>4653.15</v>
      </c>
      <c r="AD81" s="176">
        <f t="shared" si="7"/>
        <v>3910.77</v>
      </c>
      <c r="AE81" s="211">
        <f t="shared" si="8"/>
        <v>-958.833141999999</v>
      </c>
    </row>
    <row r="82" s="11" customFormat="1" ht="35" customHeight="1" spans="1:31">
      <c r="A82" s="48">
        <v>79</v>
      </c>
      <c r="B82" s="48" t="s">
        <v>191</v>
      </c>
      <c r="C82" s="51" t="s">
        <v>192</v>
      </c>
      <c r="D82" s="75">
        <v>367.338872000001</v>
      </c>
      <c r="E82" s="81">
        <v>155.65</v>
      </c>
      <c r="F82" s="212">
        <v>155.65</v>
      </c>
      <c r="G82" s="81">
        <v>205.2</v>
      </c>
      <c r="H82" s="212"/>
      <c r="I82" s="81">
        <v>215.73</v>
      </c>
      <c r="J82" s="108">
        <v>420.93</v>
      </c>
      <c r="K82" s="81">
        <v>261.22</v>
      </c>
      <c r="L82" s="108"/>
      <c r="M82" s="108"/>
      <c r="N82" s="108">
        <v>261.22</v>
      </c>
      <c r="O82" s="81">
        <v>131.51</v>
      </c>
      <c r="P82" s="108">
        <v>131.51</v>
      </c>
      <c r="Q82" s="108">
        <v>138.48</v>
      </c>
      <c r="R82" s="108">
        <v>138.48</v>
      </c>
      <c r="S82" s="81">
        <v>272.14</v>
      </c>
      <c r="T82" s="108">
        <v>272.14</v>
      </c>
      <c r="U82" s="81">
        <v>386.11</v>
      </c>
      <c r="V82" s="108">
        <v>386.11</v>
      </c>
      <c r="W82" s="81">
        <v>210.72</v>
      </c>
      <c r="X82" s="108">
        <v>210.72</v>
      </c>
      <c r="Y82" s="81">
        <v>114.47</v>
      </c>
      <c r="Z82" s="108">
        <v>114.47</v>
      </c>
      <c r="AA82" s="81">
        <v>124.68</v>
      </c>
      <c r="AB82" s="108">
        <v>124.68</v>
      </c>
      <c r="AC82" s="176">
        <f t="shared" si="6"/>
        <v>2215.91</v>
      </c>
      <c r="AD82" s="176">
        <f t="shared" si="7"/>
        <v>2215.91</v>
      </c>
      <c r="AE82" s="211">
        <f t="shared" si="8"/>
        <v>367.338872000001</v>
      </c>
    </row>
    <row r="83" s="11" customFormat="1" ht="35" customHeight="1" spans="1:31">
      <c r="A83" s="48">
        <v>80</v>
      </c>
      <c r="B83" s="48" t="s">
        <v>193</v>
      </c>
      <c r="C83" s="51" t="s">
        <v>194</v>
      </c>
      <c r="D83" s="75">
        <v>290.75</v>
      </c>
      <c r="E83" s="81"/>
      <c r="F83" s="212">
        <v>0</v>
      </c>
      <c r="G83" s="81"/>
      <c r="H83" s="212"/>
      <c r="I83" s="81"/>
      <c r="J83" s="108">
        <v>0</v>
      </c>
      <c r="K83" s="81"/>
      <c r="L83" s="108"/>
      <c r="M83" s="108"/>
      <c r="N83" s="108">
        <v>0</v>
      </c>
      <c r="O83" s="81">
        <v>0</v>
      </c>
      <c r="P83" s="108">
        <v>0</v>
      </c>
      <c r="Q83" s="108">
        <v>0</v>
      </c>
      <c r="R83" s="108">
        <v>0</v>
      </c>
      <c r="S83" s="81"/>
      <c r="T83" s="108">
        <v>0</v>
      </c>
      <c r="U83" s="81"/>
      <c r="V83" s="108">
        <v>0</v>
      </c>
      <c r="W83" s="81">
        <v>0</v>
      </c>
      <c r="X83" s="108">
        <v>0</v>
      </c>
      <c r="Y83" s="81">
        <v>0</v>
      </c>
      <c r="Z83" s="108">
        <v>0</v>
      </c>
      <c r="AA83" s="81">
        <v>0</v>
      </c>
      <c r="AB83" s="108">
        <v>0</v>
      </c>
      <c r="AC83" s="176">
        <f t="shared" si="6"/>
        <v>0</v>
      </c>
      <c r="AD83" s="176">
        <f t="shared" si="7"/>
        <v>0</v>
      </c>
      <c r="AE83" s="211">
        <f t="shared" si="8"/>
        <v>290.75</v>
      </c>
    </row>
    <row r="84" s="11" customFormat="1" ht="35" customHeight="1" spans="1:31">
      <c r="A84" s="48">
        <v>81</v>
      </c>
      <c r="B84" s="48" t="s">
        <v>195</v>
      </c>
      <c r="C84" s="51" t="s">
        <v>196</v>
      </c>
      <c r="D84" s="75">
        <v>4579.568463</v>
      </c>
      <c r="E84" s="81">
        <v>234.24</v>
      </c>
      <c r="F84" s="212">
        <v>0</v>
      </c>
      <c r="G84" s="81">
        <v>261.51</v>
      </c>
      <c r="H84" s="212"/>
      <c r="I84" s="81">
        <v>266.13</v>
      </c>
      <c r="J84" s="108">
        <v>0</v>
      </c>
      <c r="K84" s="81">
        <v>395.03</v>
      </c>
      <c r="L84" s="108"/>
      <c r="M84" s="108"/>
      <c r="N84" s="108">
        <v>0</v>
      </c>
      <c r="O84" s="81">
        <v>175.59</v>
      </c>
      <c r="P84" s="108">
        <v>0</v>
      </c>
      <c r="Q84" s="108">
        <v>190.72</v>
      </c>
      <c r="R84" s="108">
        <v>3281.79</v>
      </c>
      <c r="S84" s="81">
        <v>266.08</v>
      </c>
      <c r="T84" s="108">
        <v>0</v>
      </c>
      <c r="U84" s="81">
        <v>225.21</v>
      </c>
      <c r="V84" s="108">
        <v>0</v>
      </c>
      <c r="W84" s="81">
        <v>189.82</v>
      </c>
      <c r="X84" s="108">
        <v>0</v>
      </c>
      <c r="Y84" s="81">
        <v>170.35</v>
      </c>
      <c r="Z84" s="108">
        <v>0</v>
      </c>
      <c r="AA84" s="81">
        <v>185</v>
      </c>
      <c r="AB84" s="108">
        <v>0</v>
      </c>
      <c r="AC84" s="176">
        <f t="shared" si="6"/>
        <v>2559.68</v>
      </c>
      <c r="AD84" s="176">
        <f t="shared" si="7"/>
        <v>3281.79</v>
      </c>
      <c r="AE84" s="211">
        <f t="shared" si="8"/>
        <v>5301.678463</v>
      </c>
    </row>
    <row r="85" s="11" customFormat="1" ht="35" customHeight="1" spans="1:31">
      <c r="A85" s="48">
        <v>82</v>
      </c>
      <c r="B85" s="48" t="s">
        <v>197</v>
      </c>
      <c r="C85" s="51" t="s">
        <v>198</v>
      </c>
      <c r="D85" s="75">
        <v>-328.955962</v>
      </c>
      <c r="E85" s="81">
        <v>445.44</v>
      </c>
      <c r="F85" s="212">
        <v>445</v>
      </c>
      <c r="G85" s="81">
        <v>219</v>
      </c>
      <c r="H85" s="212"/>
      <c r="I85" s="81">
        <v>162.55</v>
      </c>
      <c r="J85" s="108">
        <v>0</v>
      </c>
      <c r="K85" s="81">
        <v>248.06</v>
      </c>
      <c r="L85" s="108"/>
      <c r="M85" s="108"/>
      <c r="N85" s="108">
        <v>341.79</v>
      </c>
      <c r="O85" s="81">
        <v>203.88</v>
      </c>
      <c r="P85" s="108">
        <v>703</v>
      </c>
      <c r="Q85" s="108">
        <v>223.91</v>
      </c>
      <c r="R85" s="108">
        <v>224</v>
      </c>
      <c r="S85" s="81">
        <v>279.85</v>
      </c>
      <c r="T85" s="108">
        <v>0</v>
      </c>
      <c r="U85" s="81">
        <v>401.86</v>
      </c>
      <c r="V85" s="108">
        <v>0</v>
      </c>
      <c r="W85" s="81">
        <v>323.67</v>
      </c>
      <c r="X85" s="108">
        <v>1324</v>
      </c>
      <c r="Y85" s="81">
        <v>176.38</v>
      </c>
      <c r="Z85" s="108">
        <v>245.66</v>
      </c>
      <c r="AA85" s="81">
        <v>188.38</v>
      </c>
      <c r="AB85" s="108">
        <v>0</v>
      </c>
      <c r="AC85" s="176">
        <f t="shared" si="6"/>
        <v>2872.98</v>
      </c>
      <c r="AD85" s="176">
        <f t="shared" si="7"/>
        <v>3283.45</v>
      </c>
      <c r="AE85" s="211">
        <f t="shared" si="8"/>
        <v>81.5140379999993</v>
      </c>
    </row>
    <row r="86" s="11" customFormat="1" ht="35" customHeight="1" spans="1:31">
      <c r="A86" s="48">
        <v>83</v>
      </c>
      <c r="B86" s="48" t="s">
        <v>199</v>
      </c>
      <c r="C86" s="51" t="s">
        <v>200</v>
      </c>
      <c r="D86" s="75">
        <v>457.727593000001</v>
      </c>
      <c r="E86" s="81">
        <v>151.83</v>
      </c>
      <c r="F86" s="212">
        <v>0</v>
      </c>
      <c r="G86" s="81">
        <v>163.8</v>
      </c>
      <c r="H86" s="212">
        <v>170</v>
      </c>
      <c r="I86" s="81">
        <v>102.73</v>
      </c>
      <c r="J86" s="108">
        <v>320</v>
      </c>
      <c r="K86" s="81">
        <v>264.39</v>
      </c>
      <c r="L86" s="108"/>
      <c r="M86" s="108"/>
      <c r="N86" s="108">
        <v>0</v>
      </c>
      <c r="O86" s="81">
        <v>142.94</v>
      </c>
      <c r="P86" s="108">
        <v>171.79</v>
      </c>
      <c r="Q86" s="108">
        <v>136.31</v>
      </c>
      <c r="R86" s="108">
        <v>0</v>
      </c>
      <c r="S86" s="81">
        <v>169.17</v>
      </c>
      <c r="T86" s="108">
        <v>0</v>
      </c>
      <c r="U86" s="81">
        <v>120</v>
      </c>
      <c r="V86" s="108">
        <v>570</v>
      </c>
      <c r="W86" s="81">
        <v>146.33</v>
      </c>
      <c r="X86" s="108">
        <v>150</v>
      </c>
      <c r="Y86" s="81">
        <v>124.88</v>
      </c>
      <c r="Z86" s="108">
        <v>45.66</v>
      </c>
      <c r="AA86" s="81">
        <v>135.39</v>
      </c>
      <c r="AB86" s="108">
        <v>220</v>
      </c>
      <c r="AC86" s="176">
        <f t="shared" si="6"/>
        <v>1657.77</v>
      </c>
      <c r="AD86" s="176">
        <f t="shared" si="7"/>
        <v>1647.45</v>
      </c>
      <c r="AE86" s="211">
        <f t="shared" si="8"/>
        <v>447.407593000001</v>
      </c>
    </row>
    <row r="87" s="11" customFormat="1" ht="35" customHeight="1" spans="1:31">
      <c r="A87" s="48">
        <v>84</v>
      </c>
      <c r="B87" s="48" t="s">
        <v>201</v>
      </c>
      <c r="C87" s="51" t="s">
        <v>202</v>
      </c>
      <c r="D87" s="75">
        <v>412.589772</v>
      </c>
      <c r="E87" s="81">
        <v>268.07</v>
      </c>
      <c r="F87" s="212">
        <v>0</v>
      </c>
      <c r="G87" s="81">
        <v>292.97</v>
      </c>
      <c r="H87" s="212">
        <v>300</v>
      </c>
      <c r="I87" s="81">
        <v>344.78</v>
      </c>
      <c r="J87" s="108">
        <v>400</v>
      </c>
      <c r="K87" s="81">
        <v>413.74</v>
      </c>
      <c r="L87" s="108"/>
      <c r="M87" s="108"/>
      <c r="N87" s="108">
        <v>341.79</v>
      </c>
      <c r="O87" s="81">
        <v>193.54</v>
      </c>
      <c r="P87" s="108">
        <v>200</v>
      </c>
      <c r="Q87" s="108">
        <v>187.45</v>
      </c>
      <c r="R87" s="108">
        <v>200</v>
      </c>
      <c r="S87" s="81">
        <v>279.3</v>
      </c>
      <c r="T87" s="108">
        <v>0</v>
      </c>
      <c r="U87" s="81">
        <v>295.53</v>
      </c>
      <c r="V87" s="108">
        <v>600</v>
      </c>
      <c r="W87" s="81">
        <v>248.56</v>
      </c>
      <c r="X87" s="108">
        <v>300</v>
      </c>
      <c r="Y87" s="81">
        <v>162.14</v>
      </c>
      <c r="Z87" s="108">
        <v>445.66</v>
      </c>
      <c r="AA87" s="81">
        <v>194.58</v>
      </c>
      <c r="AB87" s="108">
        <v>0</v>
      </c>
      <c r="AC87" s="176">
        <f t="shared" si="6"/>
        <v>2880.66</v>
      </c>
      <c r="AD87" s="176">
        <f t="shared" si="7"/>
        <v>2787.45</v>
      </c>
      <c r="AE87" s="211">
        <f t="shared" si="8"/>
        <v>319.379772</v>
      </c>
    </row>
    <row r="88" s="11" customFormat="1" ht="35" customHeight="1" spans="1:31">
      <c r="A88" s="48">
        <v>85</v>
      </c>
      <c r="B88" s="48" t="s">
        <v>203</v>
      </c>
      <c r="C88" s="51" t="s">
        <v>204</v>
      </c>
      <c r="D88" s="75">
        <v>273.239867999999</v>
      </c>
      <c r="E88" s="81">
        <v>92.89</v>
      </c>
      <c r="F88" s="212">
        <v>92.89</v>
      </c>
      <c r="G88" s="81">
        <v>103.09</v>
      </c>
      <c r="H88" s="212"/>
      <c r="I88" s="81">
        <v>94.42</v>
      </c>
      <c r="J88" s="108">
        <v>197.51</v>
      </c>
      <c r="K88" s="81">
        <v>208.89</v>
      </c>
      <c r="L88" s="108"/>
      <c r="M88" s="108"/>
      <c r="N88" s="108">
        <v>208.89</v>
      </c>
      <c r="O88" s="81">
        <v>100.5</v>
      </c>
      <c r="P88" s="108">
        <v>100.5</v>
      </c>
      <c r="Q88" s="108">
        <v>116.18</v>
      </c>
      <c r="R88" s="108">
        <v>116.18</v>
      </c>
      <c r="S88" s="81">
        <v>128.43</v>
      </c>
      <c r="T88" s="108">
        <v>128.43</v>
      </c>
      <c r="U88" s="81">
        <v>123.38</v>
      </c>
      <c r="V88" s="108">
        <v>123.38</v>
      </c>
      <c r="W88" s="81">
        <v>116.4</v>
      </c>
      <c r="X88" s="108">
        <v>116.4</v>
      </c>
      <c r="Y88" s="81">
        <v>92</v>
      </c>
      <c r="Z88" s="108">
        <v>92</v>
      </c>
      <c r="AA88" s="81">
        <v>99.31</v>
      </c>
      <c r="AB88" s="108">
        <v>99.31</v>
      </c>
      <c r="AC88" s="176">
        <f t="shared" si="6"/>
        <v>1275.49</v>
      </c>
      <c r="AD88" s="176">
        <f t="shared" si="7"/>
        <v>1275.49</v>
      </c>
      <c r="AE88" s="211">
        <f t="shared" si="8"/>
        <v>273.239867999999</v>
      </c>
    </row>
    <row r="89" s="11" customFormat="1" ht="35" customHeight="1" spans="1:31">
      <c r="A89" s="48">
        <v>86</v>
      </c>
      <c r="B89" s="48" t="s">
        <v>205</v>
      </c>
      <c r="C89" s="51" t="s">
        <v>206</v>
      </c>
      <c r="D89" s="75">
        <v>269.484107999999</v>
      </c>
      <c r="E89" s="81">
        <v>346.66</v>
      </c>
      <c r="F89" s="212">
        <v>0</v>
      </c>
      <c r="G89" s="81">
        <v>329.95</v>
      </c>
      <c r="H89" s="212"/>
      <c r="I89" s="81">
        <v>248.96</v>
      </c>
      <c r="J89" s="108">
        <v>0</v>
      </c>
      <c r="K89" s="81">
        <v>572.81</v>
      </c>
      <c r="L89" s="108">
        <v>1940</v>
      </c>
      <c r="M89" s="108"/>
      <c r="N89" s="108">
        <v>0</v>
      </c>
      <c r="O89" s="81">
        <v>271.35</v>
      </c>
      <c r="P89" s="108">
        <v>0</v>
      </c>
      <c r="Q89" s="108">
        <v>258.73</v>
      </c>
      <c r="R89" s="108">
        <v>0</v>
      </c>
      <c r="S89" s="81">
        <v>270.49</v>
      </c>
      <c r="T89" s="108">
        <v>0</v>
      </c>
      <c r="U89" s="81">
        <v>234.21</v>
      </c>
      <c r="V89" s="108">
        <v>0</v>
      </c>
      <c r="W89" s="81">
        <v>238.39</v>
      </c>
      <c r="X89" s="108">
        <v>1500</v>
      </c>
      <c r="Y89" s="81">
        <v>241.03</v>
      </c>
      <c r="Z89" s="108">
        <v>45.66</v>
      </c>
      <c r="AA89" s="81">
        <v>262.22</v>
      </c>
      <c r="AB89" s="108">
        <v>0</v>
      </c>
      <c r="AC89" s="176">
        <f t="shared" si="6"/>
        <v>3274.8</v>
      </c>
      <c r="AD89" s="176">
        <f t="shared" si="7"/>
        <v>3485.66</v>
      </c>
      <c r="AE89" s="211">
        <f t="shared" si="8"/>
        <v>480.344107999999</v>
      </c>
    </row>
    <row r="90" s="11" customFormat="1" ht="35" customHeight="1" spans="1:31">
      <c r="A90" s="48">
        <v>87</v>
      </c>
      <c r="B90" s="48" t="s">
        <v>207</v>
      </c>
      <c r="C90" s="51" t="s">
        <v>208</v>
      </c>
      <c r="D90" s="75">
        <v>288.207272</v>
      </c>
      <c r="E90" s="81">
        <v>103.81</v>
      </c>
      <c r="F90" s="212">
        <v>103.81</v>
      </c>
      <c r="G90" s="81">
        <v>164.36</v>
      </c>
      <c r="H90" s="212"/>
      <c r="I90" s="81">
        <v>150.37</v>
      </c>
      <c r="J90" s="108">
        <v>314.73</v>
      </c>
      <c r="K90" s="81">
        <v>310.44</v>
      </c>
      <c r="L90" s="108"/>
      <c r="M90" s="108"/>
      <c r="N90" s="108">
        <v>310.44</v>
      </c>
      <c r="O90" s="81">
        <v>145.12</v>
      </c>
      <c r="P90" s="108">
        <v>145.12</v>
      </c>
      <c r="Q90" s="108">
        <v>196.7</v>
      </c>
      <c r="R90" s="108">
        <v>196.7</v>
      </c>
      <c r="S90" s="81">
        <v>302.42</v>
      </c>
      <c r="T90" s="108">
        <v>302.42</v>
      </c>
      <c r="U90" s="81">
        <v>285.41</v>
      </c>
      <c r="V90" s="108">
        <v>285.41</v>
      </c>
      <c r="W90" s="81">
        <v>220.89</v>
      </c>
      <c r="X90" s="108">
        <v>220.89</v>
      </c>
      <c r="Y90" s="81">
        <v>101.87</v>
      </c>
      <c r="Z90" s="108">
        <v>101.87</v>
      </c>
      <c r="AA90" s="81">
        <v>101.57</v>
      </c>
      <c r="AB90" s="108">
        <v>101.57</v>
      </c>
      <c r="AC90" s="176">
        <f t="shared" si="6"/>
        <v>2082.96</v>
      </c>
      <c r="AD90" s="176">
        <f t="shared" si="7"/>
        <v>2082.96</v>
      </c>
      <c r="AE90" s="211">
        <f t="shared" si="8"/>
        <v>288.207272</v>
      </c>
    </row>
    <row r="91" s="11" customFormat="1" ht="35" customHeight="1" spans="1:31">
      <c r="A91" s="48">
        <v>88</v>
      </c>
      <c r="B91" s="48" t="s">
        <v>209</v>
      </c>
      <c r="C91" s="51" t="s">
        <v>210</v>
      </c>
      <c r="D91" s="75">
        <v>351.699783000001</v>
      </c>
      <c r="E91" s="81">
        <v>419.24</v>
      </c>
      <c r="F91" s="212">
        <v>0</v>
      </c>
      <c r="G91" s="81">
        <v>398.95</v>
      </c>
      <c r="H91" s="212">
        <v>390</v>
      </c>
      <c r="I91" s="81">
        <v>250.07</v>
      </c>
      <c r="J91" s="108">
        <v>500</v>
      </c>
      <c r="K91" s="81">
        <v>662.07</v>
      </c>
      <c r="L91" s="108">
        <v>400</v>
      </c>
      <c r="M91" s="108"/>
      <c r="N91" s="108">
        <v>11.79</v>
      </c>
      <c r="O91" s="81">
        <v>230</v>
      </c>
      <c r="P91" s="108">
        <v>250</v>
      </c>
      <c r="Q91" s="108">
        <v>325.65</v>
      </c>
      <c r="R91" s="108">
        <v>310</v>
      </c>
      <c r="S91" s="81">
        <v>592.61</v>
      </c>
      <c r="T91" s="108">
        <v>0</v>
      </c>
      <c r="U91" s="81">
        <v>486.82</v>
      </c>
      <c r="V91" s="108">
        <v>1100</v>
      </c>
      <c r="W91" s="81">
        <v>434.37</v>
      </c>
      <c r="X91" s="108">
        <v>1000</v>
      </c>
      <c r="Y91" s="81">
        <v>242.13</v>
      </c>
      <c r="Z91" s="108">
        <v>0</v>
      </c>
      <c r="AA91" s="81">
        <v>239.67</v>
      </c>
      <c r="AB91" s="108">
        <v>240</v>
      </c>
      <c r="AC91" s="176">
        <f t="shared" si="6"/>
        <v>4281.58</v>
      </c>
      <c r="AD91" s="176">
        <f t="shared" si="7"/>
        <v>4201.79</v>
      </c>
      <c r="AE91" s="211">
        <f t="shared" si="8"/>
        <v>271.909783000001</v>
      </c>
    </row>
    <row r="92" s="11" customFormat="1" ht="35" customHeight="1" spans="1:31">
      <c r="A92" s="48">
        <v>89</v>
      </c>
      <c r="B92" s="48" t="s">
        <v>211</v>
      </c>
      <c r="C92" s="51" t="s">
        <v>212</v>
      </c>
      <c r="D92" s="75">
        <v>92.4318280000002</v>
      </c>
      <c r="E92" s="81">
        <v>269.16</v>
      </c>
      <c r="F92" s="212">
        <v>269.16</v>
      </c>
      <c r="G92" s="81">
        <v>276.96</v>
      </c>
      <c r="H92" s="212"/>
      <c r="I92" s="81">
        <v>259.48</v>
      </c>
      <c r="J92" s="108">
        <v>536.44</v>
      </c>
      <c r="K92" s="81">
        <v>463.88</v>
      </c>
      <c r="L92" s="108"/>
      <c r="M92" s="108"/>
      <c r="N92" s="108">
        <v>463.88</v>
      </c>
      <c r="O92" s="81">
        <v>223.47</v>
      </c>
      <c r="P92" s="108">
        <v>223.47</v>
      </c>
      <c r="Q92" s="108">
        <v>218.47</v>
      </c>
      <c r="R92" s="108">
        <v>218.47</v>
      </c>
      <c r="S92" s="81">
        <v>274.34</v>
      </c>
      <c r="T92" s="108">
        <v>274.34</v>
      </c>
      <c r="U92" s="81">
        <v>291.59</v>
      </c>
      <c r="V92" s="108">
        <v>291.59</v>
      </c>
      <c r="W92" s="81">
        <v>241.22</v>
      </c>
      <c r="X92" s="108">
        <v>241.22</v>
      </c>
      <c r="Y92" s="81">
        <v>211.45</v>
      </c>
      <c r="Z92" s="108">
        <v>211.45</v>
      </c>
      <c r="AA92" s="81">
        <v>242.49</v>
      </c>
      <c r="AB92" s="108">
        <v>242.49</v>
      </c>
      <c r="AC92" s="176">
        <f t="shared" si="6"/>
        <v>2972.51</v>
      </c>
      <c r="AD92" s="176">
        <f t="shared" si="7"/>
        <v>2972.51</v>
      </c>
      <c r="AE92" s="211">
        <f t="shared" si="8"/>
        <v>92.4318280000002</v>
      </c>
    </row>
    <row r="93" s="11" customFormat="1" ht="35" customHeight="1" spans="1:31">
      <c r="A93" s="48">
        <v>90</v>
      </c>
      <c r="B93" s="48" t="s">
        <v>213</v>
      </c>
      <c r="C93" s="51" t="s">
        <v>214</v>
      </c>
      <c r="D93" s="75">
        <v>-32.6903279999992</v>
      </c>
      <c r="E93" s="81">
        <v>189.49</v>
      </c>
      <c r="F93" s="212">
        <v>0</v>
      </c>
      <c r="G93" s="81">
        <v>203</v>
      </c>
      <c r="H93" s="212"/>
      <c r="I93" s="81">
        <v>175.85</v>
      </c>
      <c r="J93" s="108">
        <v>940</v>
      </c>
      <c r="K93" s="81">
        <v>327.13</v>
      </c>
      <c r="L93" s="108"/>
      <c r="M93" s="108"/>
      <c r="N93" s="108">
        <v>0</v>
      </c>
      <c r="O93" s="81">
        <v>145.66</v>
      </c>
      <c r="P93" s="108">
        <v>0</v>
      </c>
      <c r="Q93" s="108">
        <v>186.37</v>
      </c>
      <c r="R93" s="108">
        <v>0</v>
      </c>
      <c r="S93" s="81">
        <v>282.05</v>
      </c>
      <c r="T93" s="108">
        <f>1200+1000</f>
        <v>2200</v>
      </c>
      <c r="U93" s="81">
        <v>272.47</v>
      </c>
      <c r="V93" s="108">
        <v>0</v>
      </c>
      <c r="W93" s="81">
        <v>187</v>
      </c>
      <c r="X93" s="108">
        <v>0</v>
      </c>
      <c r="Y93" s="81">
        <v>120.49</v>
      </c>
      <c r="Z93" s="108">
        <v>45.66</v>
      </c>
      <c r="AA93" s="81">
        <v>131.44</v>
      </c>
      <c r="AB93" s="108">
        <v>0</v>
      </c>
      <c r="AC93" s="176">
        <f t="shared" si="6"/>
        <v>2220.95</v>
      </c>
      <c r="AD93" s="176">
        <f t="shared" si="7"/>
        <v>3185.66</v>
      </c>
      <c r="AE93" s="211">
        <f t="shared" si="8"/>
        <v>932.019672000001</v>
      </c>
    </row>
    <row r="94" s="11" customFormat="1" ht="35" customHeight="1" spans="1:31">
      <c r="A94" s="48">
        <v>91</v>
      </c>
      <c r="B94" s="48" t="s">
        <v>215</v>
      </c>
      <c r="C94" s="51" t="s">
        <v>216</v>
      </c>
      <c r="D94" s="75">
        <v>319.434648</v>
      </c>
      <c r="E94" s="81">
        <v>124</v>
      </c>
      <c r="F94" s="212">
        <v>240</v>
      </c>
      <c r="G94" s="81">
        <v>135.65</v>
      </c>
      <c r="H94" s="212"/>
      <c r="I94" s="81">
        <v>97.75</v>
      </c>
      <c r="J94" s="108">
        <v>300</v>
      </c>
      <c r="K94" s="81">
        <v>198.15</v>
      </c>
      <c r="L94" s="108"/>
      <c r="M94" s="108"/>
      <c r="N94" s="108">
        <v>41.79</v>
      </c>
      <c r="O94" s="81">
        <v>88.53</v>
      </c>
      <c r="P94" s="108">
        <v>0</v>
      </c>
      <c r="Q94" s="108">
        <v>124.34</v>
      </c>
      <c r="R94" s="108">
        <v>200</v>
      </c>
      <c r="S94" s="81">
        <v>141.64</v>
      </c>
      <c r="T94" s="108">
        <v>0</v>
      </c>
      <c r="U94" s="81">
        <v>133.5</v>
      </c>
      <c r="V94" s="108">
        <v>300</v>
      </c>
      <c r="W94" s="81">
        <v>93.81</v>
      </c>
      <c r="X94" s="108">
        <v>0</v>
      </c>
      <c r="Y94" s="81">
        <v>59.68</v>
      </c>
      <c r="Z94" s="108">
        <v>95.66</v>
      </c>
      <c r="AA94" s="81">
        <v>74.51</v>
      </c>
      <c r="AB94" s="108">
        <v>0</v>
      </c>
      <c r="AC94" s="176">
        <f t="shared" si="6"/>
        <v>1271.56</v>
      </c>
      <c r="AD94" s="176">
        <f t="shared" si="7"/>
        <v>1177.45</v>
      </c>
      <c r="AE94" s="211">
        <f t="shared" si="8"/>
        <v>225.324648</v>
      </c>
    </row>
    <row r="95" s="11" customFormat="1" ht="35" customHeight="1" spans="1:31">
      <c r="A95" s="48">
        <v>92</v>
      </c>
      <c r="B95" s="48" t="s">
        <v>217</v>
      </c>
      <c r="C95" s="51" t="s">
        <v>218</v>
      </c>
      <c r="D95" s="75">
        <v>912.869872</v>
      </c>
      <c r="E95" s="81">
        <v>104.9</v>
      </c>
      <c r="F95" s="212">
        <v>0</v>
      </c>
      <c r="G95" s="81">
        <v>119.65</v>
      </c>
      <c r="H95" s="212"/>
      <c r="I95" s="81">
        <v>96.64</v>
      </c>
      <c r="J95" s="108">
        <v>0</v>
      </c>
      <c r="K95" s="81">
        <v>186.46</v>
      </c>
      <c r="L95" s="108"/>
      <c r="M95" s="108"/>
      <c r="N95" s="108">
        <v>38.69</v>
      </c>
      <c r="O95" s="81">
        <v>72.75</v>
      </c>
      <c r="P95" s="108">
        <v>0</v>
      </c>
      <c r="Q95" s="108">
        <v>83.53</v>
      </c>
      <c r="R95" s="108">
        <v>36.28</v>
      </c>
      <c r="S95" s="81">
        <v>123.47</v>
      </c>
      <c r="T95" s="108">
        <v>123.47</v>
      </c>
      <c r="U95" s="81">
        <v>101.44</v>
      </c>
      <c r="V95" s="108">
        <v>101.44</v>
      </c>
      <c r="W95" s="81">
        <v>97.76</v>
      </c>
      <c r="X95" s="108">
        <v>100</v>
      </c>
      <c r="Y95" s="81">
        <v>83.78</v>
      </c>
      <c r="Z95" s="108">
        <v>81.54</v>
      </c>
      <c r="AA95" s="81">
        <v>87.48</v>
      </c>
      <c r="AB95" s="108">
        <v>87.48</v>
      </c>
      <c r="AC95" s="176">
        <f t="shared" si="6"/>
        <v>1157.86</v>
      </c>
      <c r="AD95" s="176">
        <f t="shared" si="7"/>
        <v>568.9</v>
      </c>
      <c r="AE95" s="211">
        <f t="shared" si="8"/>
        <v>323.909871999999</v>
      </c>
    </row>
    <row r="96" s="11" customFormat="1" ht="35" customHeight="1" spans="1:31">
      <c r="A96" s="48">
        <v>93</v>
      </c>
      <c r="B96" s="48" t="s">
        <v>219</v>
      </c>
      <c r="C96" s="51" t="s">
        <v>220</v>
      </c>
      <c r="D96" s="75">
        <v>75.4340179999999</v>
      </c>
      <c r="E96" s="81">
        <v>203.13</v>
      </c>
      <c r="F96" s="212">
        <v>0</v>
      </c>
      <c r="G96" s="81">
        <v>290.21</v>
      </c>
      <c r="H96" s="212">
        <v>1940</v>
      </c>
      <c r="I96" s="81">
        <v>258.38</v>
      </c>
      <c r="J96" s="108">
        <v>0</v>
      </c>
      <c r="K96" s="81">
        <v>313.49</v>
      </c>
      <c r="L96" s="108"/>
      <c r="M96" s="108"/>
      <c r="N96" s="108">
        <v>0</v>
      </c>
      <c r="O96" s="81">
        <v>143.48</v>
      </c>
      <c r="P96" s="108">
        <v>0</v>
      </c>
      <c r="Q96" s="108">
        <v>145.01</v>
      </c>
      <c r="R96" s="108">
        <v>0</v>
      </c>
      <c r="S96" s="81">
        <v>274.34</v>
      </c>
      <c r="T96" s="108">
        <v>0</v>
      </c>
      <c r="U96" s="81">
        <v>192.01</v>
      </c>
      <c r="V96" s="108">
        <v>0</v>
      </c>
      <c r="W96" s="81">
        <v>157.07</v>
      </c>
      <c r="X96" s="108">
        <v>0</v>
      </c>
      <c r="Y96" s="81">
        <v>146.25</v>
      </c>
      <c r="Z96" s="108">
        <v>500</v>
      </c>
      <c r="AA96" s="81">
        <v>176.54</v>
      </c>
      <c r="AB96" s="108">
        <v>0</v>
      </c>
      <c r="AC96" s="176">
        <f t="shared" si="6"/>
        <v>2299.91</v>
      </c>
      <c r="AD96" s="176">
        <f t="shared" si="7"/>
        <v>2440</v>
      </c>
      <c r="AE96" s="211">
        <f t="shared" si="8"/>
        <v>215.524018</v>
      </c>
    </row>
    <row r="97" s="11" customFormat="1" ht="35" customHeight="1" spans="1:31">
      <c r="A97" s="48">
        <v>94</v>
      </c>
      <c r="B97" s="48" t="s">
        <v>221</v>
      </c>
      <c r="C97" s="51" t="s">
        <v>222</v>
      </c>
      <c r="D97" s="75">
        <v>-178.867636999999</v>
      </c>
      <c r="E97" s="81">
        <v>256.61</v>
      </c>
      <c r="F97" s="212">
        <v>240</v>
      </c>
      <c r="G97" s="81">
        <v>268.68</v>
      </c>
      <c r="H97" s="212"/>
      <c r="I97" s="81">
        <v>137.63</v>
      </c>
      <c r="J97" s="108">
        <v>300</v>
      </c>
      <c r="K97" s="81">
        <v>378</v>
      </c>
      <c r="L97" s="108"/>
      <c r="M97" s="108"/>
      <c r="N97" s="108">
        <v>450.12</v>
      </c>
      <c r="O97" s="81">
        <v>151.1</v>
      </c>
      <c r="P97" s="108">
        <v>160</v>
      </c>
      <c r="Q97" s="108">
        <v>168.41</v>
      </c>
      <c r="R97" s="108">
        <v>160</v>
      </c>
      <c r="S97" s="81">
        <v>220.38</v>
      </c>
      <c r="T97" s="108">
        <v>0</v>
      </c>
      <c r="U97" s="81">
        <v>171.2</v>
      </c>
      <c r="V97" s="108">
        <v>400</v>
      </c>
      <c r="W97" s="81">
        <v>139.56</v>
      </c>
      <c r="X97" s="108">
        <v>200</v>
      </c>
      <c r="Y97" s="81">
        <v>167.07</v>
      </c>
      <c r="Z97" s="108">
        <v>105.66</v>
      </c>
      <c r="AA97" s="81">
        <v>163.57</v>
      </c>
      <c r="AB97" s="108">
        <v>0</v>
      </c>
      <c r="AC97" s="176">
        <f t="shared" si="6"/>
        <v>2222.21</v>
      </c>
      <c r="AD97" s="176">
        <f t="shared" si="7"/>
        <v>2015.78</v>
      </c>
      <c r="AE97" s="211">
        <f t="shared" si="8"/>
        <v>-385.297636999999</v>
      </c>
    </row>
    <row r="98" s="11" customFormat="1" ht="35" customHeight="1" spans="1:31">
      <c r="A98" s="48">
        <v>95</v>
      </c>
      <c r="B98" s="48" t="s">
        <v>223</v>
      </c>
      <c r="C98" s="51" t="s">
        <v>224</v>
      </c>
      <c r="D98" s="75">
        <v>349.161423</v>
      </c>
      <c r="E98" s="81">
        <v>77.07</v>
      </c>
      <c r="F98" s="212">
        <v>0</v>
      </c>
      <c r="G98" s="81">
        <v>67.76</v>
      </c>
      <c r="H98" s="212">
        <v>440</v>
      </c>
      <c r="I98" s="81">
        <v>73.38</v>
      </c>
      <c r="J98" s="108">
        <v>0</v>
      </c>
      <c r="K98" s="81">
        <v>167.82</v>
      </c>
      <c r="L98" s="108"/>
      <c r="M98" s="108"/>
      <c r="N98" s="108">
        <v>241.79</v>
      </c>
      <c r="O98" s="81">
        <v>92.88</v>
      </c>
      <c r="P98" s="108">
        <v>0</v>
      </c>
      <c r="Q98" s="108">
        <v>117.81</v>
      </c>
      <c r="R98" s="108">
        <v>0</v>
      </c>
      <c r="S98" s="81">
        <v>136.68</v>
      </c>
      <c r="T98" s="108">
        <v>0</v>
      </c>
      <c r="U98" s="81">
        <v>167.26</v>
      </c>
      <c r="V98" s="108">
        <v>500</v>
      </c>
      <c r="W98" s="81">
        <v>131.09</v>
      </c>
      <c r="X98" s="108">
        <v>0</v>
      </c>
      <c r="Y98" s="81">
        <v>75.57</v>
      </c>
      <c r="Z98" s="108">
        <v>0</v>
      </c>
      <c r="AA98" s="81">
        <v>79.02</v>
      </c>
      <c r="AB98" s="108">
        <v>0</v>
      </c>
      <c r="AC98" s="176">
        <f t="shared" si="6"/>
        <v>1186.34</v>
      </c>
      <c r="AD98" s="176">
        <f t="shared" si="7"/>
        <v>1181.79</v>
      </c>
      <c r="AE98" s="211">
        <f t="shared" si="8"/>
        <v>344.611423</v>
      </c>
    </row>
    <row r="99" s="11" customFormat="1" ht="35" customHeight="1" spans="1:31">
      <c r="A99" s="48">
        <v>96</v>
      </c>
      <c r="B99" s="48" t="s">
        <v>225</v>
      </c>
      <c r="C99" s="51" t="s">
        <v>226</v>
      </c>
      <c r="D99" s="75">
        <v>757.494772000001</v>
      </c>
      <c r="E99" s="81">
        <v>236.42</v>
      </c>
      <c r="F99" s="212">
        <v>240</v>
      </c>
      <c r="G99" s="81">
        <v>188.64</v>
      </c>
      <c r="H99" s="212">
        <v>300</v>
      </c>
      <c r="I99" s="81">
        <v>92.76</v>
      </c>
      <c r="J99" s="108">
        <v>0</v>
      </c>
      <c r="K99" s="81">
        <v>310.29</v>
      </c>
      <c r="L99" s="108"/>
      <c r="M99" s="108"/>
      <c r="N99" s="108">
        <v>341.79</v>
      </c>
      <c r="O99" s="81">
        <v>166.88</v>
      </c>
      <c r="P99" s="108">
        <v>0</v>
      </c>
      <c r="Q99" s="108">
        <v>219.56</v>
      </c>
      <c r="R99" s="108">
        <v>400</v>
      </c>
      <c r="S99" s="81">
        <v>293.06</v>
      </c>
      <c r="T99" s="108">
        <v>0</v>
      </c>
      <c r="U99" s="81">
        <v>333.79</v>
      </c>
      <c r="V99" s="108">
        <v>500</v>
      </c>
      <c r="W99" s="81">
        <v>272.84</v>
      </c>
      <c r="X99" s="108">
        <v>300</v>
      </c>
      <c r="Y99" s="81">
        <v>133.64</v>
      </c>
      <c r="Z99" s="108">
        <v>245.66</v>
      </c>
      <c r="AA99" s="81">
        <v>136.52</v>
      </c>
      <c r="AB99" s="108">
        <v>0</v>
      </c>
      <c r="AC99" s="176">
        <f t="shared" si="6"/>
        <v>2384.4</v>
      </c>
      <c r="AD99" s="176">
        <f t="shared" si="7"/>
        <v>2327.45</v>
      </c>
      <c r="AE99" s="211">
        <f t="shared" si="8"/>
        <v>700.544772000002</v>
      </c>
    </row>
    <row r="100" s="11" customFormat="1" ht="35" customHeight="1" spans="1:31">
      <c r="A100" s="48">
        <v>97</v>
      </c>
      <c r="B100" s="48" t="s">
        <v>227</v>
      </c>
      <c r="C100" s="51" t="s">
        <v>228</v>
      </c>
      <c r="D100" s="75">
        <v>587.450788</v>
      </c>
      <c r="E100" s="81">
        <v>101.08</v>
      </c>
      <c r="F100" s="212">
        <v>0</v>
      </c>
      <c r="G100" s="81">
        <v>59.48</v>
      </c>
      <c r="H100" s="212"/>
      <c r="I100" s="81">
        <v>80.58</v>
      </c>
      <c r="J100" s="108">
        <v>0</v>
      </c>
      <c r="K100" s="81">
        <v>163.54</v>
      </c>
      <c r="L100" s="108">
        <v>300</v>
      </c>
      <c r="M100" s="108"/>
      <c r="N100" s="108">
        <v>0</v>
      </c>
      <c r="O100" s="81">
        <v>75.47</v>
      </c>
      <c r="P100" s="108">
        <v>241.79</v>
      </c>
      <c r="Q100" s="108">
        <v>127.6</v>
      </c>
      <c r="R100" s="108">
        <v>0</v>
      </c>
      <c r="S100" s="81">
        <v>170.82</v>
      </c>
      <c r="T100" s="108">
        <v>0</v>
      </c>
      <c r="U100" s="81">
        <v>240.4</v>
      </c>
      <c r="V100" s="108">
        <v>460</v>
      </c>
      <c r="W100" s="81">
        <v>78.56</v>
      </c>
      <c r="X100" s="108">
        <v>0</v>
      </c>
      <c r="Y100" s="81">
        <v>50.36</v>
      </c>
      <c r="Z100" s="108">
        <v>45.66</v>
      </c>
      <c r="AA100" s="81">
        <v>31.67</v>
      </c>
      <c r="AB100" s="108">
        <v>0</v>
      </c>
      <c r="AC100" s="176">
        <f t="shared" si="6"/>
        <v>1179.56</v>
      </c>
      <c r="AD100" s="176">
        <f t="shared" si="7"/>
        <v>1047.45</v>
      </c>
      <c r="AE100" s="211">
        <f t="shared" si="8"/>
        <v>455.340788</v>
      </c>
    </row>
    <row r="101" s="11" customFormat="1" ht="35" customHeight="1" spans="1:31">
      <c r="A101" s="48">
        <v>98</v>
      </c>
      <c r="B101" s="48" t="s">
        <v>229</v>
      </c>
      <c r="C101" s="51" t="s">
        <v>230</v>
      </c>
      <c r="D101" s="75">
        <v>159.888672</v>
      </c>
      <c r="E101" s="81">
        <v>160.56</v>
      </c>
      <c r="F101" s="212">
        <v>160.56</v>
      </c>
      <c r="G101" s="81">
        <v>149.45</v>
      </c>
      <c r="H101" s="212"/>
      <c r="I101" s="81">
        <v>238.99</v>
      </c>
      <c r="J101" s="108">
        <v>388.44</v>
      </c>
      <c r="K101" s="81">
        <v>263.73</v>
      </c>
      <c r="L101" s="108"/>
      <c r="M101" s="108"/>
      <c r="N101" s="108">
        <v>263.73</v>
      </c>
      <c r="O101" s="81">
        <v>141.85</v>
      </c>
      <c r="P101" s="108">
        <v>141.85</v>
      </c>
      <c r="Q101" s="108">
        <v>155.9</v>
      </c>
      <c r="R101" s="108">
        <v>155.9</v>
      </c>
      <c r="S101" s="81">
        <v>234.7</v>
      </c>
      <c r="T101" s="108">
        <v>234.7</v>
      </c>
      <c r="U101" s="81">
        <v>203.83</v>
      </c>
      <c r="V101" s="108">
        <v>203.83</v>
      </c>
      <c r="W101" s="81">
        <v>143.51</v>
      </c>
      <c r="X101" s="108">
        <v>143.51</v>
      </c>
      <c r="Y101" s="81">
        <v>114.47</v>
      </c>
      <c r="Z101" s="108">
        <v>0</v>
      </c>
      <c r="AA101" s="81">
        <v>115.66</v>
      </c>
      <c r="AB101" s="108">
        <v>230.13</v>
      </c>
      <c r="AC101" s="176">
        <f t="shared" ref="AC101:AC135" si="9">E101+G101+I101+K101+M101+O101+Q101+S101+U101+W101+Y101+AA101</f>
        <v>1922.65</v>
      </c>
      <c r="AD101" s="176">
        <f t="shared" ref="AD101:AD135" si="10">F101+H101+J101+L101+N101+P101+R101+T101+V101+X101+Z101+AB101</f>
        <v>1922.65</v>
      </c>
      <c r="AE101" s="211">
        <f t="shared" ref="AE101:AE135" si="11">D101+AD101-AC101</f>
        <v>159.888672</v>
      </c>
    </row>
    <row r="102" s="11" customFormat="1" ht="35" customHeight="1" spans="1:31">
      <c r="A102" s="48">
        <v>99</v>
      </c>
      <c r="B102" s="48" t="s">
        <v>231</v>
      </c>
      <c r="C102" s="51" t="s">
        <v>232</v>
      </c>
      <c r="D102" s="75">
        <v>338.810672000001</v>
      </c>
      <c r="E102" s="81">
        <v>200.4</v>
      </c>
      <c r="F102" s="212">
        <v>200.4</v>
      </c>
      <c r="G102" s="81">
        <v>214.04</v>
      </c>
      <c r="H102" s="212"/>
      <c r="I102" s="81">
        <v>138.74</v>
      </c>
      <c r="J102" s="108">
        <v>352.78</v>
      </c>
      <c r="K102" s="81">
        <v>370.57</v>
      </c>
      <c r="L102" s="108"/>
      <c r="M102" s="108"/>
      <c r="N102" s="108">
        <v>370.57</v>
      </c>
      <c r="O102" s="81">
        <v>138.04</v>
      </c>
      <c r="P102" s="108">
        <v>138.04</v>
      </c>
      <c r="Q102" s="108">
        <v>151.54</v>
      </c>
      <c r="R102" s="108">
        <v>151.54</v>
      </c>
      <c r="S102" s="81">
        <v>214.87</v>
      </c>
      <c r="T102" s="108">
        <v>214.87</v>
      </c>
      <c r="U102" s="81">
        <v>162.76</v>
      </c>
      <c r="V102" s="108">
        <v>162.76</v>
      </c>
      <c r="W102" s="81">
        <v>146.9</v>
      </c>
      <c r="X102" s="108">
        <v>146.9</v>
      </c>
      <c r="Y102" s="81">
        <v>136.93</v>
      </c>
      <c r="Z102" s="108">
        <v>136.93</v>
      </c>
      <c r="AA102" s="81">
        <v>110.59</v>
      </c>
      <c r="AB102" s="108">
        <v>110.59</v>
      </c>
      <c r="AC102" s="176">
        <f t="shared" si="9"/>
        <v>1985.38</v>
      </c>
      <c r="AD102" s="176">
        <f t="shared" si="10"/>
        <v>1985.38</v>
      </c>
      <c r="AE102" s="211">
        <f t="shared" si="11"/>
        <v>338.810672000001</v>
      </c>
    </row>
    <row r="103" s="11" customFormat="1" ht="35" customHeight="1" spans="1:31">
      <c r="A103" s="48">
        <v>100</v>
      </c>
      <c r="B103" s="48" t="s">
        <v>233</v>
      </c>
      <c r="C103" s="210" t="s">
        <v>234</v>
      </c>
      <c r="D103" s="75">
        <v>184.328198</v>
      </c>
      <c r="E103" s="81">
        <v>181.3</v>
      </c>
      <c r="F103" s="212">
        <v>440</v>
      </c>
      <c r="G103" s="81">
        <v>179.81</v>
      </c>
      <c r="H103" s="212"/>
      <c r="I103" s="81">
        <v>191.91</v>
      </c>
      <c r="J103" s="108">
        <v>113.02</v>
      </c>
      <c r="K103" s="81">
        <v>294.02</v>
      </c>
      <c r="L103" s="108"/>
      <c r="M103" s="108"/>
      <c r="N103" s="108">
        <v>0</v>
      </c>
      <c r="O103" s="81">
        <v>115.74</v>
      </c>
      <c r="P103" s="108">
        <v>741.79</v>
      </c>
      <c r="Q103" s="108">
        <v>116.18</v>
      </c>
      <c r="R103" s="108">
        <v>0</v>
      </c>
      <c r="S103" s="81">
        <v>136.13</v>
      </c>
      <c r="T103" s="108">
        <v>0</v>
      </c>
      <c r="U103" s="81">
        <v>148.69</v>
      </c>
      <c r="V103" s="108">
        <v>68.97</v>
      </c>
      <c r="W103" s="81">
        <v>141.82</v>
      </c>
      <c r="X103" s="108">
        <v>141.82</v>
      </c>
      <c r="Y103" s="81">
        <v>157.2</v>
      </c>
      <c r="Z103" s="108">
        <v>157.2</v>
      </c>
      <c r="AA103" s="81">
        <v>164.14</v>
      </c>
      <c r="AB103" s="108">
        <v>164.14</v>
      </c>
      <c r="AC103" s="176">
        <f t="shared" si="9"/>
        <v>1826.94</v>
      </c>
      <c r="AD103" s="176">
        <f t="shared" si="10"/>
        <v>1826.94</v>
      </c>
      <c r="AE103" s="211">
        <f t="shared" si="11"/>
        <v>184.328198</v>
      </c>
    </row>
    <row r="104" s="11" customFormat="1" ht="35" customHeight="1" spans="1:31">
      <c r="A104" s="48">
        <v>101</v>
      </c>
      <c r="B104" s="48" t="s">
        <v>235</v>
      </c>
      <c r="C104" s="51" t="s">
        <v>236</v>
      </c>
      <c r="D104" s="75">
        <v>-1594.817422</v>
      </c>
      <c r="E104" s="81">
        <v>234.24</v>
      </c>
      <c r="F104" s="212">
        <v>0</v>
      </c>
      <c r="G104" s="81">
        <v>360.31</v>
      </c>
      <c r="H104" s="212"/>
      <c r="I104" s="81">
        <v>321.52</v>
      </c>
      <c r="J104" s="108">
        <v>0</v>
      </c>
      <c r="K104" s="81">
        <v>429.04</v>
      </c>
      <c r="L104" s="108"/>
      <c r="M104" s="108"/>
      <c r="N104" s="108">
        <v>1735.98</v>
      </c>
      <c r="O104" s="81">
        <v>152.19</v>
      </c>
      <c r="P104" s="108">
        <v>0</v>
      </c>
      <c r="Q104" s="108">
        <v>182.56</v>
      </c>
      <c r="R104" s="108">
        <v>0</v>
      </c>
      <c r="S104" s="81">
        <v>319.49</v>
      </c>
      <c r="T104" s="108">
        <v>0</v>
      </c>
      <c r="U104" s="81">
        <v>291.59</v>
      </c>
      <c r="V104" s="108">
        <v>0</v>
      </c>
      <c r="W104" s="81">
        <v>188.69</v>
      </c>
      <c r="X104" s="108">
        <v>0</v>
      </c>
      <c r="Y104" s="81">
        <v>144.6</v>
      </c>
      <c r="Z104" s="108">
        <v>0</v>
      </c>
      <c r="AA104" s="81">
        <v>198.52</v>
      </c>
      <c r="AB104" s="108">
        <v>0</v>
      </c>
      <c r="AC104" s="176">
        <f t="shared" si="9"/>
        <v>2822.75</v>
      </c>
      <c r="AD104" s="176">
        <f t="shared" si="10"/>
        <v>1735.98</v>
      </c>
      <c r="AE104" s="211">
        <f t="shared" si="11"/>
        <v>-2681.587422</v>
      </c>
    </row>
    <row r="105" s="11" customFormat="1" ht="35" customHeight="1" spans="1:31">
      <c r="A105" s="48">
        <v>102</v>
      </c>
      <c r="B105" s="48" t="s">
        <v>237</v>
      </c>
      <c r="C105" s="51" t="s">
        <v>238</v>
      </c>
      <c r="D105" s="75">
        <v>42</v>
      </c>
      <c r="E105" s="81">
        <v>178.57</v>
      </c>
      <c r="F105" s="212">
        <v>178.57</v>
      </c>
      <c r="G105" s="81">
        <v>206.31</v>
      </c>
      <c r="H105" s="212"/>
      <c r="I105" s="81">
        <v>227.91</v>
      </c>
      <c r="J105" s="108">
        <v>434.22</v>
      </c>
      <c r="K105" s="81">
        <v>370.37</v>
      </c>
      <c r="L105" s="108"/>
      <c r="M105" s="108"/>
      <c r="N105" s="108">
        <v>370.37</v>
      </c>
      <c r="O105" s="81">
        <v>153.28</v>
      </c>
      <c r="P105" s="108">
        <v>153.28</v>
      </c>
      <c r="Q105" s="108">
        <v>150.45</v>
      </c>
      <c r="R105" s="108">
        <v>150.45</v>
      </c>
      <c r="S105" s="81">
        <v>211.57</v>
      </c>
      <c r="T105" s="108">
        <v>211.57</v>
      </c>
      <c r="U105" s="81">
        <v>201.58</v>
      </c>
      <c r="V105" s="108">
        <v>201.58</v>
      </c>
      <c r="W105" s="81">
        <v>117.53</v>
      </c>
      <c r="X105" s="108">
        <v>117.53</v>
      </c>
      <c r="Y105" s="81">
        <v>120.49</v>
      </c>
      <c r="Z105" s="108">
        <v>120.49</v>
      </c>
      <c r="AA105" s="81">
        <v>124.68</v>
      </c>
      <c r="AB105" s="108">
        <v>124.68</v>
      </c>
      <c r="AC105" s="176">
        <f t="shared" si="9"/>
        <v>2062.74</v>
      </c>
      <c r="AD105" s="176">
        <f t="shared" si="10"/>
        <v>2062.74</v>
      </c>
      <c r="AE105" s="211">
        <f t="shared" si="11"/>
        <v>42</v>
      </c>
    </row>
    <row r="106" s="11" customFormat="1" ht="35" customHeight="1" spans="1:31">
      <c r="A106" s="48">
        <v>103</v>
      </c>
      <c r="B106" s="48" t="s">
        <v>239</v>
      </c>
      <c r="C106" s="51" t="s">
        <v>240</v>
      </c>
      <c r="D106" s="75">
        <v>467.157273</v>
      </c>
      <c r="E106" s="81">
        <v>208.04</v>
      </c>
      <c r="F106" s="212">
        <v>208.04</v>
      </c>
      <c r="G106" s="81">
        <v>193.61</v>
      </c>
      <c r="H106" s="212"/>
      <c r="I106" s="81">
        <v>138.18</v>
      </c>
      <c r="J106" s="108">
        <v>331.79</v>
      </c>
      <c r="K106" s="81">
        <v>227.16</v>
      </c>
      <c r="L106" s="108"/>
      <c r="M106" s="108"/>
      <c r="N106" s="108">
        <v>227.16</v>
      </c>
      <c r="O106" s="81">
        <v>90.16</v>
      </c>
      <c r="P106" s="108">
        <v>90.16</v>
      </c>
      <c r="Q106" s="108">
        <v>103.66</v>
      </c>
      <c r="R106" s="108">
        <v>103.66</v>
      </c>
      <c r="S106" s="81">
        <v>136.13</v>
      </c>
      <c r="T106" s="108">
        <v>136.13</v>
      </c>
      <c r="U106" s="81">
        <v>144.19</v>
      </c>
      <c r="V106" s="108">
        <v>144.19</v>
      </c>
      <c r="W106" s="81">
        <v>182.48</v>
      </c>
      <c r="X106" s="108">
        <v>182.48</v>
      </c>
      <c r="Y106" s="81">
        <v>133.1</v>
      </c>
      <c r="Z106" s="108">
        <v>133.1</v>
      </c>
      <c r="AA106" s="81">
        <v>135.39</v>
      </c>
      <c r="AB106" s="108">
        <v>135.39</v>
      </c>
      <c r="AC106" s="176">
        <f t="shared" si="9"/>
        <v>1692.1</v>
      </c>
      <c r="AD106" s="176">
        <f t="shared" si="10"/>
        <v>1692.1</v>
      </c>
      <c r="AE106" s="211">
        <f t="shared" si="11"/>
        <v>467.157273</v>
      </c>
    </row>
    <row r="107" s="11" customFormat="1" ht="35" customHeight="1" spans="1:31">
      <c r="A107" s="48">
        <v>104</v>
      </c>
      <c r="B107" s="48" t="s">
        <v>241</v>
      </c>
      <c r="C107" s="51" t="s">
        <v>242</v>
      </c>
      <c r="D107" s="75">
        <v>-1963.637928</v>
      </c>
      <c r="E107" s="81">
        <v>268.07</v>
      </c>
      <c r="F107" s="212">
        <v>0</v>
      </c>
      <c r="G107" s="81">
        <v>304.01</v>
      </c>
      <c r="H107" s="212">
        <v>2140</v>
      </c>
      <c r="I107" s="81">
        <v>271.67</v>
      </c>
      <c r="J107" s="108">
        <v>0</v>
      </c>
      <c r="K107" s="81">
        <v>502.05</v>
      </c>
      <c r="L107" s="108"/>
      <c r="M107" s="108"/>
      <c r="N107" s="108">
        <v>0</v>
      </c>
      <c r="O107" s="81">
        <v>219.11</v>
      </c>
      <c r="P107" s="108">
        <v>0</v>
      </c>
      <c r="Q107" s="108">
        <v>282.13</v>
      </c>
      <c r="R107" s="108">
        <v>1241.79</v>
      </c>
      <c r="S107" s="81">
        <v>442.28</v>
      </c>
      <c r="T107" s="108">
        <v>0</v>
      </c>
      <c r="U107" s="81">
        <v>521.13</v>
      </c>
      <c r="V107" s="108">
        <v>0</v>
      </c>
      <c r="W107" s="81">
        <v>401.05</v>
      </c>
      <c r="X107" s="108">
        <v>0</v>
      </c>
      <c r="Y107" s="81">
        <v>165.97</v>
      </c>
      <c r="Z107" s="108">
        <v>1600</v>
      </c>
      <c r="AA107" s="81">
        <v>226.14</v>
      </c>
      <c r="AB107" s="108">
        <v>0</v>
      </c>
      <c r="AC107" s="176">
        <f t="shared" si="9"/>
        <v>3603.61</v>
      </c>
      <c r="AD107" s="176">
        <f t="shared" si="10"/>
        <v>4981.79</v>
      </c>
      <c r="AE107" s="211">
        <f t="shared" si="11"/>
        <v>-585.457928</v>
      </c>
    </row>
    <row r="108" s="11" customFormat="1" ht="35" customHeight="1" spans="1:31">
      <c r="A108" s="48">
        <v>105</v>
      </c>
      <c r="B108" s="48" t="s">
        <v>243</v>
      </c>
      <c r="C108" s="51" t="s">
        <v>244</v>
      </c>
      <c r="D108" s="75">
        <v>-105.227557</v>
      </c>
      <c r="E108" s="81">
        <v>113.63</v>
      </c>
      <c r="F108" s="212">
        <v>0</v>
      </c>
      <c r="G108" s="81">
        <v>139.52</v>
      </c>
      <c r="H108" s="212">
        <v>513.04</v>
      </c>
      <c r="I108" s="81">
        <v>126.55</v>
      </c>
      <c r="J108" s="108">
        <v>0</v>
      </c>
      <c r="K108" s="81">
        <v>233.81</v>
      </c>
      <c r="L108" s="108"/>
      <c r="M108" s="108"/>
      <c r="N108" s="108">
        <v>0</v>
      </c>
      <c r="O108" s="81">
        <v>120.63</v>
      </c>
      <c r="P108" s="108">
        <v>741.79</v>
      </c>
      <c r="Q108" s="108">
        <v>161.34</v>
      </c>
      <c r="R108" s="108">
        <v>0</v>
      </c>
      <c r="S108" s="81">
        <v>261.68</v>
      </c>
      <c r="T108" s="108">
        <v>0</v>
      </c>
      <c r="U108" s="81">
        <v>270.22</v>
      </c>
      <c r="V108" s="108">
        <v>0</v>
      </c>
      <c r="W108" s="81">
        <v>209.59</v>
      </c>
      <c r="X108" s="108">
        <v>0</v>
      </c>
      <c r="Y108" s="81">
        <v>110.08</v>
      </c>
      <c r="Z108" s="108">
        <v>1045.66</v>
      </c>
      <c r="AA108" s="81">
        <v>107.77</v>
      </c>
      <c r="AB108" s="108">
        <v>0</v>
      </c>
      <c r="AC108" s="176">
        <f t="shared" si="9"/>
        <v>1854.82</v>
      </c>
      <c r="AD108" s="176">
        <f t="shared" si="10"/>
        <v>2300.49</v>
      </c>
      <c r="AE108" s="211">
        <f t="shared" si="11"/>
        <v>340.442443</v>
      </c>
    </row>
    <row r="109" s="11" customFormat="1" ht="35" customHeight="1" spans="1:31">
      <c r="A109" s="48">
        <v>106</v>
      </c>
      <c r="B109" s="48" t="s">
        <v>245</v>
      </c>
      <c r="C109" s="51" t="s">
        <v>246</v>
      </c>
      <c r="D109" s="75">
        <v>-389.894528000001</v>
      </c>
      <c r="E109" s="81">
        <v>420.88</v>
      </c>
      <c r="F109" s="212">
        <v>0</v>
      </c>
      <c r="G109" s="81">
        <v>397.3</v>
      </c>
      <c r="H109" s="212"/>
      <c r="I109" s="81">
        <v>379.68</v>
      </c>
      <c r="J109" s="108">
        <v>1940</v>
      </c>
      <c r="K109" s="81">
        <v>555.07</v>
      </c>
      <c r="L109" s="108"/>
      <c r="M109" s="108"/>
      <c r="N109" s="108">
        <v>0</v>
      </c>
      <c r="O109" s="81">
        <v>247.95</v>
      </c>
      <c r="P109" s="108">
        <v>0</v>
      </c>
      <c r="Q109" s="108">
        <v>306.61</v>
      </c>
      <c r="R109" s="108">
        <v>1741.79</v>
      </c>
      <c r="S109" s="81">
        <v>314.54</v>
      </c>
      <c r="T109" s="108">
        <v>0</v>
      </c>
      <c r="U109" s="81">
        <v>383.3</v>
      </c>
      <c r="V109" s="108">
        <v>0</v>
      </c>
      <c r="W109" s="81">
        <v>322.54</v>
      </c>
      <c r="X109" s="108">
        <v>141.67</v>
      </c>
      <c r="Y109" s="81">
        <v>259.66</v>
      </c>
      <c r="Z109" s="108">
        <v>545.66</v>
      </c>
      <c r="AA109" s="81">
        <v>214.31</v>
      </c>
      <c r="AB109" s="108">
        <v>0</v>
      </c>
      <c r="AC109" s="176">
        <f t="shared" si="9"/>
        <v>3801.84</v>
      </c>
      <c r="AD109" s="176">
        <f t="shared" si="10"/>
        <v>4369.12</v>
      </c>
      <c r="AE109" s="211">
        <f t="shared" si="11"/>
        <v>177.385471999999</v>
      </c>
    </row>
    <row r="110" s="11" customFormat="1" ht="35" customHeight="1" spans="1:31">
      <c r="A110" s="48">
        <v>107</v>
      </c>
      <c r="B110" s="48" t="s">
        <v>247</v>
      </c>
      <c r="C110" s="51" t="s">
        <v>248</v>
      </c>
      <c r="D110" s="75">
        <v>174.636572</v>
      </c>
      <c r="E110" s="81">
        <v>163.84</v>
      </c>
      <c r="F110" s="212">
        <v>163.84</v>
      </c>
      <c r="G110" s="81">
        <v>164.36</v>
      </c>
      <c r="H110" s="212"/>
      <c r="I110" s="81">
        <v>174.18</v>
      </c>
      <c r="J110" s="108">
        <v>338.54</v>
      </c>
      <c r="K110" s="81">
        <v>284.5</v>
      </c>
      <c r="L110" s="108"/>
      <c r="M110" s="108"/>
      <c r="N110" s="108">
        <v>284.5</v>
      </c>
      <c r="O110" s="81">
        <v>135.87</v>
      </c>
      <c r="P110" s="108">
        <v>135.87</v>
      </c>
      <c r="Q110" s="108">
        <v>174.39</v>
      </c>
      <c r="R110" s="108">
        <v>174.39</v>
      </c>
      <c r="S110" s="81">
        <v>235.8</v>
      </c>
      <c r="T110" s="108">
        <v>235.8</v>
      </c>
      <c r="U110" s="81">
        <v>228.02</v>
      </c>
      <c r="V110" s="108">
        <v>228.02</v>
      </c>
      <c r="W110" s="81">
        <v>145.21</v>
      </c>
      <c r="X110" s="108">
        <v>145.21</v>
      </c>
      <c r="Y110" s="81">
        <v>107.89</v>
      </c>
      <c r="Z110" s="108">
        <v>107.89</v>
      </c>
      <c r="AA110" s="81">
        <v>70.57</v>
      </c>
      <c r="AB110" s="108">
        <v>70.57</v>
      </c>
      <c r="AC110" s="176">
        <f t="shared" si="9"/>
        <v>1884.63</v>
      </c>
      <c r="AD110" s="176">
        <f t="shared" si="10"/>
        <v>1884.63</v>
      </c>
      <c r="AE110" s="211">
        <f t="shared" si="11"/>
        <v>174.636572</v>
      </c>
    </row>
    <row r="111" s="11" customFormat="1" ht="35" customHeight="1" spans="1:31">
      <c r="A111" s="48">
        <v>108</v>
      </c>
      <c r="B111" s="48" t="s">
        <v>249</v>
      </c>
      <c r="C111" s="51" t="s">
        <v>250</v>
      </c>
      <c r="D111" s="75">
        <v>-20.9346319999995</v>
      </c>
      <c r="E111" s="81">
        <v>192.76</v>
      </c>
      <c r="F111" s="212">
        <v>132.76</v>
      </c>
      <c r="G111" s="81">
        <v>230.04</v>
      </c>
      <c r="H111" s="212"/>
      <c r="I111" s="81">
        <v>235.11</v>
      </c>
      <c r="J111" s="108">
        <v>424.71</v>
      </c>
      <c r="K111" s="81">
        <v>398.34</v>
      </c>
      <c r="L111" s="108"/>
      <c r="M111" s="108"/>
      <c r="N111" s="108">
        <v>241.79</v>
      </c>
      <c r="O111" s="81">
        <v>181.57</v>
      </c>
      <c r="P111" s="108">
        <v>500</v>
      </c>
      <c r="Q111" s="108">
        <v>180.92</v>
      </c>
      <c r="R111" s="108">
        <v>0</v>
      </c>
      <c r="S111" s="81">
        <v>351.43</v>
      </c>
      <c r="T111" s="108">
        <v>0</v>
      </c>
      <c r="U111" s="81">
        <v>260.65</v>
      </c>
      <c r="V111" s="108">
        <v>400</v>
      </c>
      <c r="W111" s="81">
        <v>176.83</v>
      </c>
      <c r="X111" s="108">
        <v>500</v>
      </c>
      <c r="Y111" s="81">
        <v>170.35</v>
      </c>
      <c r="Z111" s="108">
        <v>0</v>
      </c>
      <c r="AA111" s="81">
        <v>179.36</v>
      </c>
      <c r="AB111" s="108">
        <v>457.66</v>
      </c>
      <c r="AC111" s="176">
        <f t="shared" si="9"/>
        <v>2557.36</v>
      </c>
      <c r="AD111" s="176">
        <f t="shared" si="10"/>
        <v>2656.92</v>
      </c>
      <c r="AE111" s="211">
        <f t="shared" si="11"/>
        <v>78.6253680000004</v>
      </c>
    </row>
    <row r="112" s="11" customFormat="1" ht="35" customHeight="1" spans="1:31">
      <c r="A112" s="48">
        <v>109</v>
      </c>
      <c r="B112" s="48" t="s">
        <v>251</v>
      </c>
      <c r="C112" s="51" t="s">
        <v>252</v>
      </c>
      <c r="D112" s="75">
        <v>213.745923</v>
      </c>
      <c r="E112" s="81">
        <v>56.33</v>
      </c>
      <c r="F112" s="212">
        <v>0</v>
      </c>
      <c r="G112" s="81">
        <v>51.2</v>
      </c>
      <c r="H112" s="212"/>
      <c r="I112" s="81">
        <v>51.77</v>
      </c>
      <c r="J112" s="108">
        <v>0</v>
      </c>
      <c r="K112" s="81">
        <v>132.8</v>
      </c>
      <c r="L112" s="108"/>
      <c r="M112" s="108"/>
      <c r="N112" s="108">
        <v>0</v>
      </c>
      <c r="O112" s="81">
        <v>55.88</v>
      </c>
      <c r="P112" s="108">
        <v>0</v>
      </c>
      <c r="Q112" s="108">
        <v>54.69</v>
      </c>
      <c r="R112" s="108">
        <v>0</v>
      </c>
      <c r="S112" s="81">
        <v>97.59</v>
      </c>
      <c r="T112" s="108">
        <v>0</v>
      </c>
      <c r="U112" s="81">
        <v>88.5</v>
      </c>
      <c r="V112" s="108">
        <v>0</v>
      </c>
      <c r="W112" s="81">
        <v>58.23</v>
      </c>
      <c r="X112" s="108">
        <v>741.79</v>
      </c>
      <c r="Y112" s="81">
        <v>82.14</v>
      </c>
      <c r="Z112" s="108">
        <v>0</v>
      </c>
      <c r="AA112" s="81">
        <v>93.68</v>
      </c>
      <c r="AB112" s="108">
        <v>0</v>
      </c>
      <c r="AC112" s="176">
        <f t="shared" si="9"/>
        <v>822.81</v>
      </c>
      <c r="AD112" s="176">
        <f t="shared" si="10"/>
        <v>741.79</v>
      </c>
      <c r="AE112" s="211">
        <f t="shared" si="11"/>
        <v>132.725923</v>
      </c>
    </row>
    <row r="113" s="11" customFormat="1" ht="35" customHeight="1" spans="1:31">
      <c r="A113" s="48">
        <v>110</v>
      </c>
      <c r="B113" s="48" t="s">
        <v>253</v>
      </c>
      <c r="C113" s="51" t="s">
        <v>254</v>
      </c>
      <c r="D113" s="75">
        <v>670.163971999999</v>
      </c>
      <c r="E113" s="81">
        <v>59.06</v>
      </c>
      <c r="F113" s="212">
        <v>0</v>
      </c>
      <c r="G113" s="81">
        <v>104.74</v>
      </c>
      <c r="H113" s="212">
        <v>440</v>
      </c>
      <c r="I113" s="81">
        <v>93.87</v>
      </c>
      <c r="J113" s="108">
        <v>0</v>
      </c>
      <c r="K113" s="81">
        <v>80.28</v>
      </c>
      <c r="L113" s="108"/>
      <c r="M113" s="108"/>
      <c r="N113" s="108">
        <v>741.79</v>
      </c>
      <c r="O113" s="81">
        <v>44.46</v>
      </c>
      <c r="P113" s="108">
        <v>0</v>
      </c>
      <c r="Q113" s="108">
        <v>46.53</v>
      </c>
      <c r="R113" s="108">
        <v>0</v>
      </c>
      <c r="S113" s="81">
        <v>54.64</v>
      </c>
      <c r="T113" s="108">
        <v>0</v>
      </c>
      <c r="U113" s="81">
        <v>47.43</v>
      </c>
      <c r="V113" s="108">
        <v>0</v>
      </c>
      <c r="W113" s="81">
        <v>32.25</v>
      </c>
      <c r="X113" s="108">
        <v>0</v>
      </c>
      <c r="Y113" s="81">
        <v>43.24</v>
      </c>
      <c r="Z113" s="108">
        <v>0</v>
      </c>
      <c r="AA113" s="81">
        <v>42.38</v>
      </c>
      <c r="AB113" s="108">
        <v>0</v>
      </c>
      <c r="AC113" s="176">
        <f t="shared" si="9"/>
        <v>648.88</v>
      </c>
      <c r="AD113" s="176">
        <f t="shared" si="10"/>
        <v>1181.79</v>
      </c>
      <c r="AE113" s="211">
        <f t="shared" si="11"/>
        <v>1203.073972</v>
      </c>
    </row>
    <row r="114" s="11" customFormat="1" ht="35" customHeight="1" spans="1:31">
      <c r="A114" s="48">
        <v>111</v>
      </c>
      <c r="B114" s="48" t="s">
        <v>255</v>
      </c>
      <c r="C114" s="51" t="s">
        <v>256</v>
      </c>
      <c r="D114" s="75">
        <v>257.904723000001</v>
      </c>
      <c r="E114" s="81">
        <v>86.89</v>
      </c>
      <c r="F114" s="212">
        <v>0</v>
      </c>
      <c r="G114" s="81">
        <v>87.63</v>
      </c>
      <c r="H114" s="212">
        <v>140</v>
      </c>
      <c r="I114" s="81">
        <v>74.48</v>
      </c>
      <c r="J114" s="108">
        <v>0</v>
      </c>
      <c r="K114" s="81">
        <v>143.02</v>
      </c>
      <c r="L114" s="108"/>
      <c r="M114" s="108"/>
      <c r="N114" s="108">
        <v>566.57</v>
      </c>
      <c r="O114" s="81">
        <v>49.9</v>
      </c>
      <c r="P114" s="108">
        <v>0</v>
      </c>
      <c r="Q114" s="108">
        <v>65.57</v>
      </c>
      <c r="R114" s="108">
        <v>0</v>
      </c>
      <c r="S114" s="81">
        <v>59.05</v>
      </c>
      <c r="T114" s="108">
        <v>0</v>
      </c>
      <c r="U114" s="81">
        <v>51.93</v>
      </c>
      <c r="V114" s="108">
        <v>0</v>
      </c>
      <c r="W114" s="81">
        <v>49.76</v>
      </c>
      <c r="X114" s="108">
        <v>0</v>
      </c>
      <c r="Y114" s="81">
        <v>59.13</v>
      </c>
      <c r="Z114" s="108">
        <v>0</v>
      </c>
      <c r="AA114" s="81">
        <v>69.44</v>
      </c>
      <c r="AB114" s="108">
        <v>360.3</v>
      </c>
      <c r="AC114" s="176">
        <f t="shared" si="9"/>
        <v>796.8</v>
      </c>
      <c r="AD114" s="176">
        <f t="shared" si="10"/>
        <v>1066.87</v>
      </c>
      <c r="AE114" s="211">
        <f t="shared" si="11"/>
        <v>527.974723000001</v>
      </c>
    </row>
    <row r="115" s="11" customFormat="1" ht="35" customHeight="1" spans="1:31">
      <c r="A115" s="48">
        <v>112</v>
      </c>
      <c r="B115" s="48" t="s">
        <v>257</v>
      </c>
      <c r="C115" s="51" t="s">
        <v>258</v>
      </c>
      <c r="D115" s="75">
        <v>44.2431780000011</v>
      </c>
      <c r="E115" s="81">
        <v>173.11</v>
      </c>
      <c r="F115" s="212">
        <v>0</v>
      </c>
      <c r="G115" s="81">
        <v>255.44</v>
      </c>
      <c r="H115" s="212">
        <v>940</v>
      </c>
      <c r="I115" s="81">
        <v>307.12</v>
      </c>
      <c r="J115" s="108">
        <v>0</v>
      </c>
      <c r="K115" s="81">
        <v>319.9</v>
      </c>
      <c r="L115" s="108"/>
      <c r="M115" s="108"/>
      <c r="N115" s="108">
        <v>241.79</v>
      </c>
      <c r="O115" s="81">
        <v>123.35</v>
      </c>
      <c r="P115" s="108">
        <v>241.79</v>
      </c>
      <c r="Q115" s="108">
        <v>152.09</v>
      </c>
      <c r="R115" s="108">
        <v>0</v>
      </c>
      <c r="S115" s="81">
        <v>314.54</v>
      </c>
      <c r="T115" s="108">
        <v>0</v>
      </c>
      <c r="U115" s="81">
        <v>298.35</v>
      </c>
      <c r="V115" s="108">
        <v>1000</v>
      </c>
      <c r="W115" s="81">
        <v>231.62</v>
      </c>
      <c r="X115" s="108">
        <v>0</v>
      </c>
      <c r="Y115" s="81">
        <v>138.58</v>
      </c>
      <c r="Z115" s="108">
        <v>0</v>
      </c>
      <c r="AA115" s="81">
        <v>149.48</v>
      </c>
      <c r="AB115" s="108">
        <v>0</v>
      </c>
      <c r="AC115" s="176">
        <f t="shared" si="9"/>
        <v>2463.58</v>
      </c>
      <c r="AD115" s="176">
        <f t="shared" si="10"/>
        <v>2423.58</v>
      </c>
      <c r="AE115" s="211">
        <f t="shared" si="11"/>
        <v>4.24317800000108</v>
      </c>
    </row>
    <row r="116" s="11" customFormat="1" ht="35" customHeight="1" spans="1:31">
      <c r="A116" s="48">
        <v>113</v>
      </c>
      <c r="B116" s="48" t="s">
        <v>259</v>
      </c>
      <c r="C116" s="51" t="s">
        <v>260</v>
      </c>
      <c r="D116" s="75">
        <v>-463.677547</v>
      </c>
      <c r="E116" s="81">
        <v>214.04</v>
      </c>
      <c r="F116" s="212">
        <v>13.04</v>
      </c>
      <c r="G116" s="81">
        <v>213.48</v>
      </c>
      <c r="H116" s="212"/>
      <c r="I116" s="81">
        <v>142.06</v>
      </c>
      <c r="J116" s="108">
        <v>300</v>
      </c>
      <c r="K116" s="81">
        <v>319.03</v>
      </c>
      <c r="L116" s="108"/>
      <c r="M116" s="108"/>
      <c r="N116" s="108">
        <v>241.79</v>
      </c>
      <c r="O116" s="81">
        <v>138.04</v>
      </c>
      <c r="P116" s="108">
        <v>0</v>
      </c>
      <c r="Q116" s="108">
        <v>146.1</v>
      </c>
      <c r="R116" s="108">
        <v>280</v>
      </c>
      <c r="S116" s="81">
        <v>122.92</v>
      </c>
      <c r="T116" s="108">
        <v>0</v>
      </c>
      <c r="U116" s="81">
        <v>158.26</v>
      </c>
      <c r="V116" s="108">
        <v>500</v>
      </c>
      <c r="W116" s="81">
        <v>139.56</v>
      </c>
      <c r="X116" s="108">
        <v>0</v>
      </c>
      <c r="Y116" s="81">
        <v>124.88</v>
      </c>
      <c r="Z116" s="108">
        <v>0</v>
      </c>
      <c r="AA116" s="81">
        <v>167.52</v>
      </c>
      <c r="AB116" s="108">
        <v>0</v>
      </c>
      <c r="AC116" s="176">
        <f t="shared" si="9"/>
        <v>1885.89</v>
      </c>
      <c r="AD116" s="176">
        <f t="shared" si="10"/>
        <v>1334.83</v>
      </c>
      <c r="AE116" s="211">
        <f t="shared" si="11"/>
        <v>-1014.737547</v>
      </c>
    </row>
    <row r="117" s="11" customFormat="1" ht="35" customHeight="1" spans="1:31">
      <c r="A117" s="48">
        <v>114</v>
      </c>
      <c r="B117" s="48" t="s">
        <v>261</v>
      </c>
      <c r="C117" s="51" t="s">
        <v>262</v>
      </c>
      <c r="D117" s="75">
        <v>-1762.442728</v>
      </c>
      <c r="E117" s="81">
        <v>319.37</v>
      </c>
      <c r="F117" s="212">
        <v>0</v>
      </c>
      <c r="G117" s="81">
        <v>335.47</v>
      </c>
      <c r="H117" s="212">
        <v>1940</v>
      </c>
      <c r="I117" s="81">
        <v>235.11</v>
      </c>
      <c r="J117" s="108">
        <v>0</v>
      </c>
      <c r="K117" s="81">
        <v>599.56</v>
      </c>
      <c r="L117" s="108"/>
      <c r="M117" s="108"/>
      <c r="N117" s="108">
        <v>0</v>
      </c>
      <c r="O117" s="81">
        <v>383.98</v>
      </c>
      <c r="P117" s="108">
        <v>0</v>
      </c>
      <c r="Q117" s="108">
        <v>430.67</v>
      </c>
      <c r="R117" s="108">
        <v>1241.79</v>
      </c>
      <c r="S117" s="81">
        <v>528.73</v>
      </c>
      <c r="T117" s="108">
        <v>0</v>
      </c>
      <c r="U117" s="81">
        <v>553.77</v>
      </c>
      <c r="V117" s="108">
        <v>0</v>
      </c>
      <c r="W117" s="81">
        <v>529.82</v>
      </c>
      <c r="X117" s="108">
        <v>1500</v>
      </c>
      <c r="Y117" s="81">
        <v>192.27</v>
      </c>
      <c r="Z117" s="108">
        <v>0.66</v>
      </c>
      <c r="AA117" s="81">
        <v>250.95</v>
      </c>
      <c r="AB117" s="108">
        <v>0</v>
      </c>
      <c r="AC117" s="176">
        <f t="shared" si="9"/>
        <v>4359.7</v>
      </c>
      <c r="AD117" s="176">
        <f t="shared" si="10"/>
        <v>4682.45</v>
      </c>
      <c r="AE117" s="211">
        <f t="shared" si="11"/>
        <v>-1439.692728</v>
      </c>
    </row>
    <row r="118" s="11" customFormat="1" ht="35" customHeight="1" spans="1:31">
      <c r="A118" s="48">
        <v>115</v>
      </c>
      <c r="B118" s="48" t="s">
        <v>263</v>
      </c>
      <c r="C118" s="51" t="s">
        <v>264</v>
      </c>
      <c r="D118" s="75">
        <v>-266.074192</v>
      </c>
      <c r="E118" s="81">
        <v>280.08</v>
      </c>
      <c r="F118" s="212">
        <v>940</v>
      </c>
      <c r="G118" s="81">
        <v>274.2</v>
      </c>
      <c r="H118" s="212"/>
      <c r="I118" s="81">
        <v>227.36</v>
      </c>
      <c r="J118" s="108">
        <v>0</v>
      </c>
      <c r="K118" s="81">
        <v>484.23</v>
      </c>
      <c r="L118" s="108"/>
      <c r="M118" s="108"/>
      <c r="N118" s="108">
        <v>0</v>
      </c>
      <c r="O118" s="81">
        <v>222.92</v>
      </c>
      <c r="P118" s="108">
        <v>1241.79</v>
      </c>
      <c r="Q118" s="108">
        <v>191.26</v>
      </c>
      <c r="R118" s="108">
        <v>0</v>
      </c>
      <c r="S118" s="81">
        <v>260.03</v>
      </c>
      <c r="T118" s="108">
        <v>0</v>
      </c>
      <c r="U118" s="81">
        <v>274.72</v>
      </c>
      <c r="V118" s="108">
        <v>0</v>
      </c>
      <c r="W118" s="81">
        <v>229.92</v>
      </c>
      <c r="X118" s="108">
        <v>800</v>
      </c>
      <c r="Y118" s="81">
        <v>193.37</v>
      </c>
      <c r="Z118" s="108">
        <v>15.66</v>
      </c>
      <c r="AA118" s="81">
        <v>218.25</v>
      </c>
      <c r="AB118" s="108">
        <v>0</v>
      </c>
      <c r="AC118" s="176">
        <f t="shared" si="9"/>
        <v>2856.34</v>
      </c>
      <c r="AD118" s="176">
        <f t="shared" si="10"/>
        <v>2997.45</v>
      </c>
      <c r="AE118" s="211">
        <f t="shared" si="11"/>
        <v>-124.964192</v>
      </c>
    </row>
    <row r="119" s="11" customFormat="1" ht="35" customHeight="1" spans="1:31">
      <c r="A119" s="48">
        <v>116</v>
      </c>
      <c r="B119" s="48" t="s">
        <v>265</v>
      </c>
      <c r="C119" s="51" t="s">
        <v>266</v>
      </c>
      <c r="D119" s="75">
        <v>331.62</v>
      </c>
      <c r="E119" s="81">
        <v>37.77</v>
      </c>
      <c r="F119" s="212">
        <v>0</v>
      </c>
      <c r="G119" s="81">
        <v>226.73</v>
      </c>
      <c r="H119" s="212">
        <v>940</v>
      </c>
      <c r="I119" s="81">
        <v>121.56</v>
      </c>
      <c r="J119" s="108">
        <v>0</v>
      </c>
      <c r="K119" s="81">
        <v>257.97</v>
      </c>
      <c r="L119" s="108"/>
      <c r="M119" s="108"/>
      <c r="N119" s="108">
        <v>0</v>
      </c>
      <c r="O119" s="81">
        <v>62.41</v>
      </c>
      <c r="P119" s="108">
        <v>0</v>
      </c>
      <c r="Q119" s="108">
        <v>69.93</v>
      </c>
      <c r="R119" s="108">
        <v>0</v>
      </c>
      <c r="S119" s="81">
        <v>54.64</v>
      </c>
      <c r="T119" s="108">
        <v>0</v>
      </c>
      <c r="U119" s="81">
        <v>77.24</v>
      </c>
      <c r="V119" s="108">
        <v>741.79</v>
      </c>
      <c r="W119" s="81">
        <v>80.26</v>
      </c>
      <c r="X119" s="108">
        <v>0</v>
      </c>
      <c r="Y119" s="81">
        <v>72.28</v>
      </c>
      <c r="Z119" s="108">
        <v>45.66</v>
      </c>
      <c r="AA119" s="81">
        <v>46.89</v>
      </c>
      <c r="AB119" s="108">
        <v>0</v>
      </c>
      <c r="AC119" s="176">
        <f t="shared" si="9"/>
        <v>1107.68</v>
      </c>
      <c r="AD119" s="176">
        <f t="shared" si="10"/>
        <v>1727.45</v>
      </c>
      <c r="AE119" s="211">
        <f t="shared" si="11"/>
        <v>951.39</v>
      </c>
    </row>
    <row r="120" s="11" customFormat="1" ht="35" customHeight="1" spans="1:31">
      <c r="A120" s="48">
        <v>117</v>
      </c>
      <c r="B120" s="48" t="s">
        <v>267</v>
      </c>
      <c r="C120" s="51" t="s">
        <v>268</v>
      </c>
      <c r="D120" s="75">
        <v>101.342372</v>
      </c>
      <c r="E120" s="81">
        <v>71.06</v>
      </c>
      <c r="F120" s="212">
        <v>274.26</v>
      </c>
      <c r="G120" s="81">
        <v>69.97</v>
      </c>
      <c r="H120" s="212"/>
      <c r="I120" s="81">
        <v>57.87</v>
      </c>
      <c r="J120" s="108">
        <v>0</v>
      </c>
      <c r="K120" s="81">
        <v>185.05</v>
      </c>
      <c r="L120" s="108"/>
      <c r="M120" s="108"/>
      <c r="N120" s="108">
        <v>119.02</v>
      </c>
      <c r="O120" s="81">
        <v>121.18</v>
      </c>
      <c r="P120" s="108">
        <v>111.85</v>
      </c>
      <c r="Q120" s="108">
        <v>173.85</v>
      </c>
      <c r="R120" s="108">
        <v>173.85</v>
      </c>
      <c r="S120" s="81">
        <v>260.58</v>
      </c>
      <c r="T120" s="108">
        <v>260.58</v>
      </c>
      <c r="U120" s="81">
        <v>237.02</v>
      </c>
      <c r="V120" s="108">
        <v>237.2</v>
      </c>
      <c r="W120" s="81">
        <v>247.99</v>
      </c>
      <c r="X120" s="108">
        <v>247.81</v>
      </c>
      <c r="Y120" s="81">
        <v>73.92</v>
      </c>
      <c r="Z120" s="108">
        <v>73.92</v>
      </c>
      <c r="AA120" s="81">
        <v>70</v>
      </c>
      <c r="AB120" s="108">
        <v>70</v>
      </c>
      <c r="AC120" s="176">
        <f t="shared" si="9"/>
        <v>1568.49</v>
      </c>
      <c r="AD120" s="176">
        <f t="shared" si="10"/>
        <v>1568.49</v>
      </c>
      <c r="AE120" s="211">
        <f t="shared" si="11"/>
        <v>101.342372</v>
      </c>
    </row>
    <row r="121" s="11" customFormat="1" ht="35" customHeight="1" spans="1:31">
      <c r="A121" s="48">
        <v>118</v>
      </c>
      <c r="B121" s="48" t="s">
        <v>269</v>
      </c>
      <c r="C121" s="51" t="s">
        <v>270</v>
      </c>
      <c r="D121" s="75">
        <v>-430.573727999999</v>
      </c>
      <c r="E121" s="81">
        <v>282.26</v>
      </c>
      <c r="F121" s="212">
        <v>440</v>
      </c>
      <c r="G121" s="81">
        <v>247.71</v>
      </c>
      <c r="H121" s="212"/>
      <c r="I121" s="81">
        <v>312.66</v>
      </c>
      <c r="J121" s="108">
        <v>500</v>
      </c>
      <c r="K121" s="81">
        <v>510.96</v>
      </c>
      <c r="L121" s="108"/>
      <c r="M121" s="108"/>
      <c r="N121" s="108">
        <v>741.79</v>
      </c>
      <c r="O121" s="81">
        <v>257.75</v>
      </c>
      <c r="P121" s="108">
        <v>0</v>
      </c>
      <c r="Q121" s="108">
        <v>312.05</v>
      </c>
      <c r="R121" s="108">
        <v>375.5</v>
      </c>
      <c r="S121" s="81">
        <v>413.1</v>
      </c>
      <c r="T121" s="108">
        <v>0</v>
      </c>
      <c r="U121" s="81">
        <v>376.55</v>
      </c>
      <c r="V121" s="108">
        <v>0</v>
      </c>
      <c r="W121" s="81">
        <v>246.86</v>
      </c>
      <c r="X121" s="108">
        <v>1000</v>
      </c>
      <c r="Y121" s="81">
        <v>194.46</v>
      </c>
      <c r="Z121" s="108">
        <v>0</v>
      </c>
      <c r="AA121" s="81">
        <v>199.65</v>
      </c>
      <c r="AB121" s="108">
        <v>185.49</v>
      </c>
      <c r="AC121" s="176">
        <f t="shared" si="9"/>
        <v>3354.01</v>
      </c>
      <c r="AD121" s="176">
        <f t="shared" si="10"/>
        <v>3242.78</v>
      </c>
      <c r="AE121" s="211">
        <f t="shared" si="11"/>
        <v>-541.803728</v>
      </c>
    </row>
    <row r="122" s="11" customFormat="1" ht="35" customHeight="1" spans="1:31">
      <c r="A122" s="48">
        <v>119</v>
      </c>
      <c r="B122" s="48" t="s">
        <v>271</v>
      </c>
      <c r="C122" s="51" t="s">
        <v>272</v>
      </c>
      <c r="D122" s="75">
        <v>605.046485</v>
      </c>
      <c r="E122" s="81">
        <v>27.95</v>
      </c>
      <c r="F122" s="212">
        <v>0</v>
      </c>
      <c r="G122" s="81">
        <v>38.5</v>
      </c>
      <c r="H122" s="212"/>
      <c r="I122" s="81">
        <v>31.83</v>
      </c>
      <c r="J122" s="108">
        <v>0</v>
      </c>
      <c r="K122" s="81">
        <v>28.06</v>
      </c>
      <c r="L122" s="108"/>
      <c r="M122" s="108"/>
      <c r="N122" s="108">
        <v>0</v>
      </c>
      <c r="O122" s="81">
        <v>25.41</v>
      </c>
      <c r="P122" s="108">
        <v>0</v>
      </c>
      <c r="Q122" s="108">
        <v>12.8</v>
      </c>
      <c r="R122" s="108">
        <v>621.79</v>
      </c>
      <c r="S122" s="81">
        <v>18.3</v>
      </c>
      <c r="T122" s="108">
        <v>0</v>
      </c>
      <c r="U122" s="81">
        <v>10.29</v>
      </c>
      <c r="V122" s="108">
        <v>0</v>
      </c>
      <c r="W122" s="81">
        <v>15.87</v>
      </c>
      <c r="X122" s="108">
        <v>0</v>
      </c>
      <c r="Y122" s="81">
        <v>10.37</v>
      </c>
      <c r="Z122" s="108">
        <v>0.66</v>
      </c>
      <c r="AA122" s="81">
        <v>9.69</v>
      </c>
      <c r="AB122" s="108">
        <v>0</v>
      </c>
      <c r="AC122" s="176">
        <f t="shared" si="9"/>
        <v>229.07</v>
      </c>
      <c r="AD122" s="176">
        <f t="shared" si="10"/>
        <v>622.45</v>
      </c>
      <c r="AE122" s="211">
        <f t="shared" si="11"/>
        <v>998.426485</v>
      </c>
    </row>
    <row r="123" s="11" customFormat="1" ht="35" customHeight="1" spans="1:31">
      <c r="A123" s="48">
        <v>120</v>
      </c>
      <c r="B123" s="48" t="s">
        <v>273</v>
      </c>
      <c r="C123" s="51" t="s">
        <v>274</v>
      </c>
      <c r="D123" s="75">
        <v>-569.54338</v>
      </c>
      <c r="E123" s="81">
        <v>189.49</v>
      </c>
      <c r="F123" s="212">
        <v>690</v>
      </c>
      <c r="G123" s="81">
        <v>238.88</v>
      </c>
      <c r="H123" s="212"/>
      <c r="I123" s="81">
        <v>188.03</v>
      </c>
      <c r="J123" s="108">
        <v>250</v>
      </c>
      <c r="K123" s="81">
        <v>326.41</v>
      </c>
      <c r="L123" s="108"/>
      <c r="M123" s="108"/>
      <c r="N123" s="108">
        <v>0</v>
      </c>
      <c r="O123" s="81">
        <v>140.76</v>
      </c>
      <c r="P123" s="108">
        <v>641.79</v>
      </c>
      <c r="Q123" s="108">
        <v>153.72</v>
      </c>
      <c r="R123" s="108">
        <v>180</v>
      </c>
      <c r="S123" s="81">
        <v>179.63</v>
      </c>
      <c r="T123" s="108">
        <v>0</v>
      </c>
      <c r="U123" s="81">
        <v>152.07</v>
      </c>
      <c r="V123" s="108">
        <v>350</v>
      </c>
      <c r="W123" s="81">
        <v>198.86</v>
      </c>
      <c r="X123" s="108">
        <v>200</v>
      </c>
      <c r="Y123" s="81">
        <v>168.16</v>
      </c>
      <c r="Z123" s="108">
        <v>0</v>
      </c>
      <c r="AA123" s="81">
        <v>173.72</v>
      </c>
      <c r="AB123" s="108">
        <v>300</v>
      </c>
      <c r="AC123" s="176">
        <f t="shared" si="9"/>
        <v>2109.73</v>
      </c>
      <c r="AD123" s="176">
        <f t="shared" si="10"/>
        <v>2611.79</v>
      </c>
      <c r="AE123" s="211">
        <f t="shared" si="11"/>
        <v>-67.4833800000001</v>
      </c>
    </row>
    <row r="124" s="11" customFormat="1" ht="35" customHeight="1" spans="1:31">
      <c r="A124" s="48">
        <v>121</v>
      </c>
      <c r="B124" s="48" t="s">
        <v>275</v>
      </c>
      <c r="C124" s="210" t="s">
        <v>276</v>
      </c>
      <c r="D124" s="75">
        <v>136.663472000001</v>
      </c>
      <c r="E124" s="81">
        <v>256.07</v>
      </c>
      <c r="F124" s="212">
        <v>260</v>
      </c>
      <c r="G124" s="81">
        <v>233.91</v>
      </c>
      <c r="H124" s="212"/>
      <c r="I124" s="81">
        <v>268.9</v>
      </c>
      <c r="J124" s="108">
        <v>0</v>
      </c>
      <c r="K124" s="81">
        <v>324.53</v>
      </c>
      <c r="L124" s="108"/>
      <c r="M124" s="108"/>
      <c r="N124" s="108">
        <v>0</v>
      </c>
      <c r="O124" s="81">
        <v>104.31</v>
      </c>
      <c r="P124" s="108">
        <v>0</v>
      </c>
      <c r="Q124" s="108">
        <v>184.19</v>
      </c>
      <c r="R124" s="108">
        <v>1241.79</v>
      </c>
      <c r="S124" s="81">
        <v>202.21</v>
      </c>
      <c r="T124" s="108">
        <v>72.33</v>
      </c>
      <c r="U124" s="81">
        <v>209.45</v>
      </c>
      <c r="V124" s="108">
        <v>0</v>
      </c>
      <c r="W124" s="81">
        <v>202.25</v>
      </c>
      <c r="X124" s="108">
        <v>0</v>
      </c>
      <c r="Y124" s="81">
        <v>201.59</v>
      </c>
      <c r="Z124" s="108">
        <v>1000</v>
      </c>
      <c r="AA124" s="81">
        <v>159.07</v>
      </c>
      <c r="AB124" s="108">
        <v>0</v>
      </c>
      <c r="AC124" s="176">
        <f t="shared" si="9"/>
        <v>2346.48</v>
      </c>
      <c r="AD124" s="176">
        <f t="shared" si="10"/>
        <v>2574.12</v>
      </c>
      <c r="AE124" s="211">
        <f t="shared" si="11"/>
        <v>364.303472000001</v>
      </c>
    </row>
    <row r="125" s="11" customFormat="1" ht="35" customHeight="1" spans="1:31">
      <c r="A125" s="48">
        <v>122</v>
      </c>
      <c r="B125" s="48" t="s">
        <v>277</v>
      </c>
      <c r="C125" s="51" t="s">
        <v>278</v>
      </c>
      <c r="D125" s="75">
        <v>-405.476475</v>
      </c>
      <c r="E125" s="81">
        <v>218.41</v>
      </c>
      <c r="F125" s="212">
        <v>670</v>
      </c>
      <c r="G125" s="81">
        <v>236.12</v>
      </c>
      <c r="H125" s="212"/>
      <c r="I125" s="81">
        <v>109.38</v>
      </c>
      <c r="J125" s="108">
        <v>0</v>
      </c>
      <c r="K125" s="81">
        <v>246.18</v>
      </c>
      <c r="L125" s="108"/>
      <c r="M125" s="108"/>
      <c r="N125" s="108">
        <v>541.79</v>
      </c>
      <c r="O125" s="81">
        <v>181.57</v>
      </c>
      <c r="P125" s="108">
        <v>0</v>
      </c>
      <c r="Q125" s="108">
        <v>231.53</v>
      </c>
      <c r="R125" s="108">
        <v>0</v>
      </c>
      <c r="S125" s="81">
        <v>421.91</v>
      </c>
      <c r="T125" s="108">
        <v>0</v>
      </c>
      <c r="U125" s="81">
        <v>360.23</v>
      </c>
      <c r="V125" s="108">
        <v>0</v>
      </c>
      <c r="W125" s="81">
        <v>270.02</v>
      </c>
      <c r="X125" s="108">
        <v>1500</v>
      </c>
      <c r="Y125" s="81">
        <v>121.59</v>
      </c>
      <c r="Z125" s="108">
        <v>145.66</v>
      </c>
      <c r="AA125" s="81">
        <v>112.28</v>
      </c>
      <c r="AB125" s="108">
        <v>0</v>
      </c>
      <c r="AC125" s="176">
        <f t="shared" si="9"/>
        <v>2509.22</v>
      </c>
      <c r="AD125" s="176">
        <f t="shared" si="10"/>
        <v>2857.45</v>
      </c>
      <c r="AE125" s="211">
        <f t="shared" si="11"/>
        <v>-57.2464750000004</v>
      </c>
    </row>
    <row r="126" s="11" customFormat="1" ht="35" customHeight="1" spans="1:31">
      <c r="A126" s="48">
        <v>123</v>
      </c>
      <c r="B126" s="48" t="s">
        <v>279</v>
      </c>
      <c r="C126" s="51" t="s">
        <v>280</v>
      </c>
      <c r="D126" s="75">
        <v>2006.871115</v>
      </c>
      <c r="E126" s="81">
        <v>234.24</v>
      </c>
      <c r="F126" s="212">
        <v>234.24</v>
      </c>
      <c r="G126" s="81">
        <v>256.54</v>
      </c>
      <c r="H126" s="212"/>
      <c r="I126" s="81">
        <v>197.45</v>
      </c>
      <c r="J126" s="108">
        <v>453.99</v>
      </c>
      <c r="K126" s="81">
        <v>360.55</v>
      </c>
      <c r="L126" s="108"/>
      <c r="M126" s="108"/>
      <c r="N126" s="108">
        <v>360.55</v>
      </c>
      <c r="O126" s="81">
        <v>150.01</v>
      </c>
      <c r="P126" s="108">
        <v>144.79</v>
      </c>
      <c r="Q126" s="108">
        <v>143.38</v>
      </c>
      <c r="R126" s="108">
        <v>143.38</v>
      </c>
      <c r="S126" s="81">
        <v>270.49</v>
      </c>
      <c r="T126" s="108">
        <v>265.27</v>
      </c>
      <c r="U126" s="81">
        <v>242.09</v>
      </c>
      <c r="V126" s="108">
        <v>242.09</v>
      </c>
      <c r="W126" s="81">
        <v>149.72</v>
      </c>
      <c r="X126" s="108">
        <v>149.72</v>
      </c>
      <c r="Y126" s="81">
        <v>165.42</v>
      </c>
      <c r="Z126" s="108">
        <v>165.42</v>
      </c>
      <c r="AA126" s="81">
        <v>182.74</v>
      </c>
      <c r="AB126" s="108">
        <v>182.74</v>
      </c>
      <c r="AC126" s="176">
        <f t="shared" si="9"/>
        <v>2352.63</v>
      </c>
      <c r="AD126" s="176">
        <f t="shared" si="10"/>
        <v>2342.19</v>
      </c>
      <c r="AE126" s="211">
        <f t="shared" si="11"/>
        <v>1996.431115</v>
      </c>
    </row>
    <row r="127" s="11" customFormat="1" ht="35" customHeight="1" spans="1:31">
      <c r="A127" s="48">
        <v>124</v>
      </c>
      <c r="B127" s="48" t="s">
        <v>281</v>
      </c>
      <c r="C127" s="51" t="s">
        <v>282</v>
      </c>
      <c r="D127" s="75">
        <v>738.18833</v>
      </c>
      <c r="E127" s="81">
        <v>9.94</v>
      </c>
      <c r="F127" s="212">
        <v>9.94</v>
      </c>
      <c r="G127" s="81">
        <v>10.9</v>
      </c>
      <c r="H127" s="212"/>
      <c r="I127" s="81">
        <v>109.93</v>
      </c>
      <c r="J127" s="108">
        <v>120.83</v>
      </c>
      <c r="K127" s="81">
        <v>33.1</v>
      </c>
      <c r="L127" s="108"/>
      <c r="M127" s="108"/>
      <c r="N127" s="108">
        <v>0</v>
      </c>
      <c r="O127" s="81">
        <v>9.64</v>
      </c>
      <c r="P127" s="108">
        <v>0</v>
      </c>
      <c r="Q127" s="108">
        <v>24.77</v>
      </c>
      <c r="R127" s="108">
        <v>0</v>
      </c>
      <c r="S127" s="81">
        <v>12.79</v>
      </c>
      <c r="T127" s="108">
        <v>160</v>
      </c>
      <c r="U127" s="81">
        <v>11.98</v>
      </c>
      <c r="V127" s="108">
        <v>160</v>
      </c>
      <c r="W127" s="81">
        <v>19.26</v>
      </c>
      <c r="X127" s="108">
        <v>49.75</v>
      </c>
      <c r="Y127" s="81">
        <v>16.94</v>
      </c>
      <c r="Z127" s="108">
        <v>0</v>
      </c>
      <c r="AA127" s="81">
        <v>9.12</v>
      </c>
      <c r="AB127" s="108">
        <v>26.0600000000001</v>
      </c>
      <c r="AC127" s="176">
        <f t="shared" si="9"/>
        <v>268.37</v>
      </c>
      <c r="AD127" s="176">
        <f t="shared" si="10"/>
        <v>526.58</v>
      </c>
      <c r="AE127" s="211">
        <f t="shared" si="11"/>
        <v>996.39833</v>
      </c>
    </row>
    <row r="128" s="11" customFormat="1" ht="35" customHeight="1" spans="1:31">
      <c r="A128" s="48">
        <v>125</v>
      </c>
      <c r="B128" s="48" t="s">
        <v>283</v>
      </c>
      <c r="C128" s="51" t="s">
        <v>284</v>
      </c>
      <c r="D128" s="75">
        <v>-243.779728000001</v>
      </c>
      <c r="E128" s="81">
        <v>221.68</v>
      </c>
      <c r="F128" s="212">
        <v>940</v>
      </c>
      <c r="G128" s="81">
        <v>260.95</v>
      </c>
      <c r="H128" s="212"/>
      <c r="I128" s="81">
        <v>299.92</v>
      </c>
      <c r="J128" s="108">
        <v>0</v>
      </c>
      <c r="K128" s="81">
        <v>471.4</v>
      </c>
      <c r="L128" s="108"/>
      <c r="M128" s="108"/>
      <c r="N128" s="108">
        <v>741.79</v>
      </c>
      <c r="O128" s="81">
        <v>247.95</v>
      </c>
      <c r="P128" s="108">
        <v>0</v>
      </c>
      <c r="Q128" s="108">
        <v>247.3</v>
      </c>
      <c r="R128" s="108">
        <v>220</v>
      </c>
      <c r="S128" s="81">
        <v>327.75</v>
      </c>
      <c r="T128" s="108">
        <v>0</v>
      </c>
      <c r="U128" s="81">
        <v>358.54</v>
      </c>
      <c r="V128" s="108">
        <v>500</v>
      </c>
      <c r="W128" s="81">
        <v>258.16</v>
      </c>
      <c r="X128" s="108">
        <v>500</v>
      </c>
      <c r="Y128" s="81">
        <v>175.83</v>
      </c>
      <c r="Z128" s="108">
        <v>114.54</v>
      </c>
      <c r="AA128" s="81">
        <v>152.3</v>
      </c>
      <c r="AB128" s="108">
        <v>152.3</v>
      </c>
      <c r="AC128" s="176">
        <f t="shared" si="9"/>
        <v>3021.78</v>
      </c>
      <c r="AD128" s="176">
        <f t="shared" si="10"/>
        <v>3168.63</v>
      </c>
      <c r="AE128" s="211">
        <f t="shared" si="11"/>
        <v>-96.9297280000005</v>
      </c>
    </row>
    <row r="129" s="11" customFormat="1" ht="35" customHeight="1" spans="1:31">
      <c r="A129" s="48">
        <v>126</v>
      </c>
      <c r="B129" s="48" t="s">
        <v>285</v>
      </c>
      <c r="C129" s="51" t="s">
        <v>286</v>
      </c>
      <c r="D129" s="75">
        <v>152.320772</v>
      </c>
      <c r="E129" s="81">
        <v>77.07</v>
      </c>
      <c r="F129" s="212">
        <v>77.07</v>
      </c>
      <c r="G129" s="81">
        <v>82.66</v>
      </c>
      <c r="H129" s="212"/>
      <c r="I129" s="81">
        <v>153.14</v>
      </c>
      <c r="J129" s="108">
        <v>235.8</v>
      </c>
      <c r="K129" s="81">
        <v>141.81</v>
      </c>
      <c r="L129" s="108"/>
      <c r="M129" s="108"/>
      <c r="N129" s="108">
        <v>141.79</v>
      </c>
      <c r="O129" s="81">
        <v>55.88</v>
      </c>
      <c r="P129" s="108">
        <v>55.9</v>
      </c>
      <c r="Q129" s="108">
        <v>63.4</v>
      </c>
      <c r="R129" s="108">
        <v>63.4</v>
      </c>
      <c r="S129" s="81">
        <v>55.74</v>
      </c>
      <c r="T129" s="108">
        <v>55.74</v>
      </c>
      <c r="U129" s="81">
        <v>52.49</v>
      </c>
      <c r="V129" s="108">
        <v>52.49</v>
      </c>
      <c r="W129" s="81">
        <v>51.45</v>
      </c>
      <c r="X129" s="108">
        <v>51.45</v>
      </c>
      <c r="Y129" s="81">
        <v>70.09</v>
      </c>
      <c r="Z129" s="108">
        <v>70.01</v>
      </c>
      <c r="AA129" s="81">
        <v>64.37</v>
      </c>
      <c r="AB129" s="108">
        <v>64.4500000000002</v>
      </c>
      <c r="AC129" s="176">
        <f t="shared" si="9"/>
        <v>868.1</v>
      </c>
      <c r="AD129" s="176">
        <f t="shared" si="10"/>
        <v>868.1</v>
      </c>
      <c r="AE129" s="211">
        <f t="shared" si="11"/>
        <v>152.320772</v>
      </c>
    </row>
    <row r="130" s="11" customFormat="1" ht="35" customHeight="1" spans="1:31">
      <c r="A130" s="48">
        <v>127</v>
      </c>
      <c r="B130" s="48" t="s">
        <v>287</v>
      </c>
      <c r="C130" s="51" t="s">
        <v>288</v>
      </c>
      <c r="D130" s="75">
        <v>339.166065</v>
      </c>
      <c r="E130" s="81">
        <v>149.1</v>
      </c>
      <c r="F130" s="212">
        <v>149.1</v>
      </c>
      <c r="G130" s="81">
        <v>162.15</v>
      </c>
      <c r="H130" s="212"/>
      <c r="I130" s="81">
        <v>156.46</v>
      </c>
      <c r="J130" s="108">
        <v>318.61</v>
      </c>
      <c r="K130" s="81">
        <v>270.32</v>
      </c>
      <c r="L130" s="108"/>
      <c r="M130" s="108"/>
      <c r="N130" s="108">
        <v>270.32</v>
      </c>
      <c r="O130" s="81">
        <v>122.26</v>
      </c>
      <c r="P130" s="108">
        <v>122.26</v>
      </c>
      <c r="Q130" s="108">
        <v>175.48</v>
      </c>
      <c r="R130" s="108">
        <v>175.48</v>
      </c>
      <c r="S130" s="81">
        <v>230.29</v>
      </c>
      <c r="T130" s="108">
        <v>230.29</v>
      </c>
      <c r="U130" s="81">
        <v>262.34</v>
      </c>
      <c r="V130" s="108">
        <v>262.34</v>
      </c>
      <c r="W130" s="81">
        <v>118.1</v>
      </c>
      <c r="X130" s="108">
        <v>118.1</v>
      </c>
      <c r="Y130" s="81">
        <v>113.37</v>
      </c>
      <c r="Z130" s="108">
        <v>113.37</v>
      </c>
      <c r="AA130" s="81">
        <v>120.17</v>
      </c>
      <c r="AB130" s="108">
        <v>120.17</v>
      </c>
      <c r="AC130" s="176">
        <f t="shared" si="9"/>
        <v>1880.04</v>
      </c>
      <c r="AD130" s="176">
        <f t="shared" si="10"/>
        <v>1880.04</v>
      </c>
      <c r="AE130" s="211">
        <f t="shared" si="11"/>
        <v>339.166065</v>
      </c>
    </row>
    <row r="131" s="11" customFormat="1" ht="35" customHeight="1" spans="1:31">
      <c r="A131" s="48">
        <v>128</v>
      </c>
      <c r="B131" s="48" t="s">
        <v>289</v>
      </c>
      <c r="C131" s="51" t="s">
        <v>290</v>
      </c>
      <c r="D131" s="75">
        <v>-1189.62307</v>
      </c>
      <c r="E131" s="81">
        <v>77.61</v>
      </c>
      <c r="F131" s="48"/>
      <c r="G131" s="81">
        <v>121.85</v>
      </c>
      <c r="H131" s="212"/>
      <c r="I131" s="81">
        <v>99.41</v>
      </c>
      <c r="J131" s="108">
        <v>0</v>
      </c>
      <c r="K131" s="81">
        <v>138.75</v>
      </c>
      <c r="L131" s="108"/>
      <c r="M131" s="108"/>
      <c r="N131" s="108">
        <v>0</v>
      </c>
      <c r="O131" s="81">
        <v>60.78</v>
      </c>
      <c r="P131" s="108">
        <v>681.79</v>
      </c>
      <c r="Q131" s="108">
        <v>106.38</v>
      </c>
      <c r="R131" s="108">
        <v>0</v>
      </c>
      <c r="S131" s="81">
        <v>54.09</v>
      </c>
      <c r="T131" s="108">
        <v>0</v>
      </c>
      <c r="U131" s="81">
        <v>98.06</v>
      </c>
      <c r="V131" s="108">
        <v>0</v>
      </c>
      <c r="W131" s="81">
        <v>69.53</v>
      </c>
      <c r="X131" s="108">
        <v>350</v>
      </c>
      <c r="Y131" s="81">
        <v>29.54</v>
      </c>
      <c r="Z131" s="108">
        <v>15.76</v>
      </c>
      <c r="AA131" s="81">
        <v>26.6</v>
      </c>
      <c r="AB131" s="108">
        <v>0</v>
      </c>
      <c r="AC131" s="176">
        <f t="shared" si="9"/>
        <v>882.6</v>
      </c>
      <c r="AD131" s="176">
        <f t="shared" si="10"/>
        <v>1047.55</v>
      </c>
      <c r="AE131" s="211">
        <f t="shared" si="11"/>
        <v>-1024.67307</v>
      </c>
    </row>
    <row r="132" s="11" customFormat="1" ht="35" customHeight="1" spans="1:31">
      <c r="A132" s="48">
        <v>129</v>
      </c>
      <c r="B132" s="48" t="s">
        <v>291</v>
      </c>
      <c r="C132" s="51" t="s">
        <v>292</v>
      </c>
      <c r="D132" s="75">
        <v>-178.671464999999</v>
      </c>
      <c r="E132" s="81">
        <v>9.89</v>
      </c>
      <c r="F132" s="48"/>
      <c r="G132" s="81">
        <v>10.9</v>
      </c>
      <c r="H132" s="212"/>
      <c r="I132" s="81">
        <v>9.12</v>
      </c>
      <c r="J132" s="108">
        <v>0</v>
      </c>
      <c r="K132" s="81">
        <v>19.97</v>
      </c>
      <c r="L132" s="108"/>
      <c r="M132" s="108"/>
      <c r="N132" s="108">
        <v>0</v>
      </c>
      <c r="O132" s="81">
        <v>6.92</v>
      </c>
      <c r="P132" s="108">
        <v>0</v>
      </c>
      <c r="Q132" s="108">
        <v>12.26</v>
      </c>
      <c r="R132" s="108">
        <v>0</v>
      </c>
      <c r="S132" s="81">
        <v>12.24</v>
      </c>
      <c r="T132" s="108">
        <v>0</v>
      </c>
      <c r="U132" s="81">
        <v>10.29</v>
      </c>
      <c r="V132" s="108">
        <v>0</v>
      </c>
      <c r="W132" s="81">
        <v>10.22</v>
      </c>
      <c r="X132" s="108">
        <v>0</v>
      </c>
      <c r="Y132" s="81">
        <v>10.37</v>
      </c>
      <c r="Z132" s="108">
        <v>545.66</v>
      </c>
      <c r="AA132" s="81">
        <v>9.12</v>
      </c>
      <c r="AB132" s="108">
        <v>0</v>
      </c>
      <c r="AC132" s="176">
        <f t="shared" si="9"/>
        <v>121.3</v>
      </c>
      <c r="AD132" s="176">
        <f t="shared" si="10"/>
        <v>545.66</v>
      </c>
      <c r="AE132" s="211">
        <f t="shared" si="11"/>
        <v>245.688535000001</v>
      </c>
    </row>
    <row r="133" s="11" customFormat="1" ht="35" customHeight="1" spans="1:31">
      <c r="A133" s="48">
        <v>130</v>
      </c>
      <c r="B133" s="108"/>
      <c r="C133" s="108" t="s">
        <v>3</v>
      </c>
      <c r="D133" s="214">
        <f>SUM(D4:D132)</f>
        <v>30414.335414</v>
      </c>
      <c r="E133" s="108">
        <f t="shared" ref="D133:L133" si="12">SUM(E4:E132)</f>
        <v>21960.65</v>
      </c>
      <c r="F133" s="108">
        <f t="shared" si="12"/>
        <v>21550.98</v>
      </c>
      <c r="G133" s="108">
        <f t="shared" si="12"/>
        <v>25136.51</v>
      </c>
      <c r="H133" s="108">
        <f t="shared" si="12"/>
        <v>15412.24</v>
      </c>
      <c r="I133" s="108">
        <f t="shared" si="12"/>
        <v>22234.36</v>
      </c>
      <c r="J133" s="108">
        <f t="shared" si="12"/>
        <v>28876.52</v>
      </c>
      <c r="K133" s="108">
        <f t="shared" si="12"/>
        <v>38168.11</v>
      </c>
      <c r="L133" s="108">
        <f t="shared" si="12"/>
        <v>7080.38</v>
      </c>
      <c r="M133" s="108">
        <f t="shared" ref="M133:AE133" si="13">SUM(M4:M132)</f>
        <v>0</v>
      </c>
      <c r="N133" s="108">
        <f t="shared" si="13"/>
        <v>27878.74</v>
      </c>
      <c r="O133" s="108">
        <f t="shared" si="13"/>
        <v>17828.27</v>
      </c>
      <c r="P133" s="108">
        <f t="shared" si="13"/>
        <v>21880.09</v>
      </c>
      <c r="Q133" s="108">
        <f t="shared" si="13"/>
        <v>21050.39</v>
      </c>
      <c r="R133" s="108">
        <f t="shared" si="13"/>
        <v>29552.68</v>
      </c>
      <c r="S133" s="108">
        <f t="shared" si="13"/>
        <v>29577.37</v>
      </c>
      <c r="T133" s="108">
        <f t="shared" si="13"/>
        <v>15373.35</v>
      </c>
      <c r="U133" s="108">
        <f t="shared" si="13"/>
        <v>29520.8</v>
      </c>
      <c r="V133" s="108">
        <f t="shared" si="13"/>
        <v>34844.7</v>
      </c>
      <c r="W133" s="108">
        <f t="shared" si="13"/>
        <v>23262.17</v>
      </c>
      <c r="X133" s="108">
        <f t="shared" si="13"/>
        <v>37114.94</v>
      </c>
      <c r="Y133" s="108">
        <f t="shared" si="13"/>
        <v>16702.7</v>
      </c>
      <c r="Z133" s="108">
        <f t="shared" si="13"/>
        <v>17932.27</v>
      </c>
      <c r="AA133" s="108">
        <f t="shared" si="13"/>
        <v>17267.03</v>
      </c>
      <c r="AB133" s="108">
        <f t="shared" si="13"/>
        <v>10469.27</v>
      </c>
      <c r="AC133" s="176">
        <f t="shared" si="13"/>
        <v>262708.36</v>
      </c>
      <c r="AD133" s="176">
        <f t="shared" si="13"/>
        <v>267966.16</v>
      </c>
      <c r="AE133" s="185">
        <f t="shared" si="13"/>
        <v>35672.135414</v>
      </c>
    </row>
  </sheetData>
  <sheetProtection password="DE10" sheet="1" objects="1"/>
  <mergeCells count="3">
    <mergeCell ref="A1:AB1"/>
    <mergeCell ref="A2:D2"/>
    <mergeCell ref="Z2:AB2"/>
  </mergeCells>
  <conditionalFormatting sqref="C4:C67">
    <cfRule type="cellIs" dxfId="0" priority="62" operator="equal">
      <formula>0</formula>
    </cfRule>
    <cfRule type="duplicateValues" dxfId="1" priority="61"/>
  </conditionalFormatting>
  <conditionalFormatting sqref="C70:C132">
    <cfRule type="cellIs" dxfId="0" priority="60" operator="equal">
      <formula>0</formula>
    </cfRule>
  </conditionalFormatting>
  <conditionalFormatting sqref="E4:E69">
    <cfRule type="cellIs" dxfId="0" priority="59" operator="equal">
      <formula>0</formula>
    </cfRule>
  </conditionalFormatting>
  <conditionalFormatting sqref="E70:E132">
    <cfRule type="cellIs" dxfId="0" priority="58" operator="equal">
      <formula>0</formula>
    </cfRule>
  </conditionalFormatting>
  <conditionalFormatting sqref="F70:F130">
    <cfRule type="cellIs" dxfId="0" priority="57" operator="equal">
      <formula>0</formula>
    </cfRule>
  </conditionalFormatting>
  <conditionalFormatting sqref="G4:G69">
    <cfRule type="cellIs" dxfId="0" priority="56" operator="equal">
      <formula>0</formula>
    </cfRule>
  </conditionalFormatting>
  <conditionalFormatting sqref="G70:G132">
    <cfRule type="cellIs" dxfId="0" priority="55" operator="equal">
      <formula>0</formula>
    </cfRule>
  </conditionalFormatting>
  <conditionalFormatting sqref="H70:H132">
    <cfRule type="cellIs" dxfId="0" priority="52" operator="equal">
      <formula>0</formula>
    </cfRule>
  </conditionalFormatting>
  <conditionalFormatting sqref="I4:I69">
    <cfRule type="cellIs" dxfId="0" priority="51" operator="equal">
      <formula>0</formula>
    </cfRule>
  </conditionalFormatting>
  <conditionalFormatting sqref="I70:I132">
    <cfRule type="cellIs" dxfId="0" priority="50" operator="equal">
      <formula>0</formula>
    </cfRule>
  </conditionalFormatting>
  <conditionalFormatting sqref="K4:K69">
    <cfRule type="cellIs" dxfId="0" priority="47" operator="equal">
      <formula>0</formula>
    </cfRule>
  </conditionalFormatting>
  <conditionalFormatting sqref="K70:K132">
    <cfRule type="cellIs" dxfId="0" priority="46" operator="equal">
      <formula>0</formula>
    </cfRule>
  </conditionalFormatting>
  <conditionalFormatting sqref="O4:O69">
    <cfRule type="cellIs" dxfId="0" priority="43" operator="equal">
      <formula>0</formula>
    </cfRule>
  </conditionalFormatting>
  <conditionalFormatting sqref="O70:O132">
    <cfRule type="cellIs" dxfId="0" priority="42" operator="equal">
      <formula>0</formula>
    </cfRule>
  </conditionalFormatting>
  <conditionalFormatting sqref="Q4:Q69">
    <cfRule type="cellIs" dxfId="0" priority="41" operator="equal">
      <formula>0</formula>
    </cfRule>
  </conditionalFormatting>
  <conditionalFormatting sqref="S4:S69">
    <cfRule type="cellIs" dxfId="0" priority="40" operator="equal">
      <formula>0</formula>
    </cfRule>
  </conditionalFormatting>
  <conditionalFormatting sqref="S70:S132">
    <cfRule type="cellIs" dxfId="0" priority="39" operator="equal">
      <formula>0</formula>
    </cfRule>
  </conditionalFormatting>
  <conditionalFormatting sqref="U4:U69">
    <cfRule type="cellIs" dxfId="0" priority="38" operator="equal">
      <formula>0</formula>
    </cfRule>
  </conditionalFormatting>
  <conditionalFormatting sqref="U70:U132">
    <cfRule type="cellIs" dxfId="0" priority="37" operator="equal">
      <formula>0</formula>
    </cfRule>
  </conditionalFormatting>
  <conditionalFormatting sqref="W4:W69">
    <cfRule type="cellIs" dxfId="0" priority="36" operator="equal">
      <formula>0</formula>
    </cfRule>
  </conditionalFormatting>
  <conditionalFormatting sqref="W70:W132">
    <cfRule type="cellIs" dxfId="0" priority="35" operator="equal">
      <formula>0</formula>
    </cfRule>
  </conditionalFormatting>
  <conditionalFormatting sqref="Y4:Y69">
    <cfRule type="cellIs" dxfId="0" priority="32" operator="equal">
      <formula>0</formula>
    </cfRule>
  </conditionalFormatting>
  <conditionalFormatting sqref="Y70:Y132">
    <cfRule type="cellIs" dxfId="0" priority="31" operator="equal">
      <formula>0</formula>
    </cfRule>
  </conditionalFormatting>
  <conditionalFormatting sqref="AA4:AA69">
    <cfRule type="cellIs" dxfId="0" priority="30" operator="equal">
      <formula>0</formula>
    </cfRule>
  </conditionalFormatting>
  <conditionalFormatting sqref="AA70:AA132">
    <cfRule type="cellIs" dxfId="0" priority="29" operator="equal">
      <formula>0</formula>
    </cfRule>
  </conditionalFormatting>
  <pageMargins left="0.393055555555556" right="0.393055555555556" top="0.393055555555556" bottom="0.393055555555556" header="0.5" footer="0.5"/>
  <pageSetup paperSize="9" scale="46" fitToHeight="0" orientation="landscape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E133"/>
  <sheetViews>
    <sheetView zoomScale="90" zoomScaleNormal="90" workbookViewId="0">
      <selection activeCell="A1" sqref="$A1:$XFD3"/>
    </sheetView>
  </sheetViews>
  <sheetFormatPr defaultColWidth="9" defaultRowHeight="13.5"/>
  <cols>
    <col min="1" max="1" width="9" style="199"/>
    <col min="2" max="2" width="10.1166666666667" style="14" customWidth="1"/>
    <col min="3" max="3" width="11.4833333333333" style="14" customWidth="1"/>
    <col min="4" max="4" width="19.6166666666667" style="14" customWidth="1"/>
    <col min="5" max="5" width="16" style="14" customWidth="1"/>
    <col min="6" max="6" width="11.8916666666667" style="14"/>
    <col min="7" max="7" width="10.3833333333333" style="14"/>
    <col min="8" max="8" width="13.7" style="14" customWidth="1"/>
    <col min="9" max="9" width="11.5" style="14"/>
    <col min="10" max="10" width="10.3333333333333" style="14" customWidth="1"/>
    <col min="11" max="11" width="9" style="200" customWidth="1"/>
    <col min="12" max="12" width="12.3333333333333" style="14" hidden="1" customWidth="1"/>
    <col min="13" max="27" width="9" style="14" hidden="1" customWidth="1"/>
    <col min="28" max="29" width="9" style="14" customWidth="1"/>
    <col min="30" max="30" width="10.775" style="14" customWidth="1"/>
    <col min="31" max="16384" width="9" style="14"/>
  </cols>
  <sheetData>
    <row r="1" s="14" customFormat="1" ht="35" customHeight="1" spans="1:30">
      <c r="A1" s="62" t="s">
        <v>344</v>
      </c>
      <c r="B1" s="44"/>
      <c r="C1" s="44"/>
      <c r="D1" s="44"/>
      <c r="E1" s="44"/>
      <c r="F1" s="44"/>
      <c r="G1" s="44"/>
      <c r="H1" s="44"/>
      <c r="I1" s="44"/>
      <c r="J1" s="44"/>
      <c r="K1" s="203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="14" customFormat="1" ht="35" customHeight="1" spans="1:30">
      <c r="A2" s="63" t="s">
        <v>1</v>
      </c>
      <c r="B2" s="46"/>
      <c r="C2" s="46"/>
      <c r="D2" s="46"/>
      <c r="E2" s="47"/>
      <c r="F2" s="47"/>
      <c r="G2" s="15"/>
      <c r="H2" s="15"/>
      <c r="I2" s="15"/>
      <c r="J2" s="15"/>
      <c r="K2" s="20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79" t="s">
        <v>2</v>
      </c>
      <c r="Z2" s="179"/>
      <c r="AA2" s="179"/>
      <c r="AB2" s="179"/>
      <c r="AC2" s="179"/>
      <c r="AD2" s="179"/>
    </row>
    <row r="3" s="15" customFormat="1" ht="48" customHeight="1" spans="1:30">
      <c r="A3" s="64" t="s">
        <v>6</v>
      </c>
      <c r="B3" s="50" t="s">
        <v>7</v>
      </c>
      <c r="C3" s="50" t="s">
        <v>8</v>
      </c>
      <c r="D3" s="49" t="s">
        <v>9</v>
      </c>
      <c r="E3" s="201" t="s">
        <v>345</v>
      </c>
      <c r="F3" s="50" t="s">
        <v>11</v>
      </c>
      <c r="G3" s="50" t="s">
        <v>13</v>
      </c>
      <c r="H3" s="202" t="s">
        <v>346</v>
      </c>
      <c r="I3" s="50" t="s">
        <v>15</v>
      </c>
      <c r="J3" s="50" t="s">
        <v>16</v>
      </c>
      <c r="K3" s="50" t="s">
        <v>17</v>
      </c>
      <c r="L3" s="50" t="s">
        <v>18</v>
      </c>
      <c r="M3" s="50" t="s">
        <v>19</v>
      </c>
      <c r="N3" s="50" t="s">
        <v>20</v>
      </c>
      <c r="O3" s="50" t="s">
        <v>21</v>
      </c>
      <c r="P3" s="50" t="s">
        <v>22</v>
      </c>
      <c r="Q3" s="50" t="s">
        <v>23</v>
      </c>
      <c r="R3" s="50" t="s">
        <v>24</v>
      </c>
      <c r="S3" s="50" t="s">
        <v>25</v>
      </c>
      <c r="T3" s="50" t="s">
        <v>26</v>
      </c>
      <c r="U3" s="50" t="s">
        <v>27</v>
      </c>
      <c r="V3" s="50" t="s">
        <v>28</v>
      </c>
      <c r="W3" s="50" t="s">
        <v>29</v>
      </c>
      <c r="X3" s="50" t="s">
        <v>30</v>
      </c>
      <c r="Y3" s="50" t="s">
        <v>31</v>
      </c>
      <c r="Z3" s="50" t="s">
        <v>347</v>
      </c>
      <c r="AA3" s="50" t="s">
        <v>33</v>
      </c>
      <c r="AB3" s="50" t="s">
        <v>32</v>
      </c>
      <c r="AC3" s="50" t="s">
        <v>314</v>
      </c>
      <c r="AD3" s="206" t="s">
        <v>36</v>
      </c>
    </row>
    <row r="4" s="14" customFormat="1" ht="35" customHeight="1" spans="1:30">
      <c r="A4" s="64">
        <v>1</v>
      </c>
      <c r="B4" s="50" t="s">
        <v>37</v>
      </c>
      <c r="C4" s="65" t="s">
        <v>38</v>
      </c>
      <c r="D4" s="50">
        <v>189.550839</v>
      </c>
      <c r="E4" s="69">
        <v>137.57</v>
      </c>
      <c r="F4" s="50">
        <v>137.57</v>
      </c>
      <c r="G4" s="112">
        <v>0</v>
      </c>
      <c r="H4" s="50">
        <v>134.74</v>
      </c>
      <c r="I4" s="112">
        <v>0</v>
      </c>
      <c r="J4" s="81">
        <v>49.93</v>
      </c>
      <c r="K4" s="205"/>
      <c r="L4" s="81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>
        <f>E4+H4+J4+L4+N4+P4+R4+T4+V4+X4+Z4</f>
        <v>322.24</v>
      </c>
      <c r="AC4" s="112">
        <f>F4+G4+I4+K4+M4+O4+Q4+S4+U4+W4+Y4+AA4</f>
        <v>137.57</v>
      </c>
      <c r="AD4" s="112">
        <f>D4+AC4-AB4</f>
        <v>4.88083899999998</v>
      </c>
    </row>
    <row r="5" s="14" customFormat="1" ht="35" customHeight="1" spans="1:30">
      <c r="A5" s="64">
        <v>2</v>
      </c>
      <c r="B5" s="50" t="s">
        <v>39</v>
      </c>
      <c r="C5" s="65" t="s">
        <v>40</v>
      </c>
      <c r="D5" s="50">
        <v>226.134904</v>
      </c>
      <c r="E5" s="69">
        <v>139.81</v>
      </c>
      <c r="F5" s="50">
        <v>139.81</v>
      </c>
      <c r="G5" s="112">
        <v>0</v>
      </c>
      <c r="H5" s="50">
        <v>433.55</v>
      </c>
      <c r="I5" s="112">
        <v>500</v>
      </c>
      <c r="J5" s="81">
        <v>127.19</v>
      </c>
      <c r="K5" s="205"/>
      <c r="L5" s="81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>
        <f t="shared" ref="AB5:AB36" si="0">E5+H5+J5+L5+N5+P5+R5+T5+V5+X5+Z5</f>
        <v>700.55</v>
      </c>
      <c r="AC5" s="112">
        <f t="shared" ref="AC5:AC36" si="1">F5+G5+I5+K5+M5+O5+Q5+S5+U5+W5+Y5+AA5</f>
        <v>639.81</v>
      </c>
      <c r="AD5" s="112">
        <f t="shared" ref="AD5:AD36" si="2">D5+AC5-AB5</f>
        <v>165.394904</v>
      </c>
    </row>
    <row r="6" s="14" customFormat="1" ht="35" customHeight="1" spans="1:30">
      <c r="A6" s="64">
        <v>3</v>
      </c>
      <c r="B6" s="50" t="s">
        <v>41</v>
      </c>
      <c r="C6" s="65" t="s">
        <v>42</v>
      </c>
      <c r="D6" s="50">
        <v>367.60247</v>
      </c>
      <c r="E6" s="69">
        <v>11.6</v>
      </c>
      <c r="F6" s="50">
        <v>0</v>
      </c>
      <c r="G6" s="112">
        <v>0</v>
      </c>
      <c r="H6" s="50">
        <v>20.81</v>
      </c>
      <c r="I6" s="112">
        <v>0</v>
      </c>
      <c r="J6" s="81">
        <v>10.21</v>
      </c>
      <c r="K6" s="205"/>
      <c r="L6" s="81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>
        <f t="shared" si="0"/>
        <v>42.62</v>
      </c>
      <c r="AC6" s="112">
        <f t="shared" si="1"/>
        <v>0</v>
      </c>
      <c r="AD6" s="112">
        <f t="shared" si="2"/>
        <v>324.98247</v>
      </c>
    </row>
    <row r="7" s="14" customFormat="1" ht="35" customHeight="1" spans="1:30">
      <c r="A7" s="64">
        <v>4</v>
      </c>
      <c r="B7" s="50" t="s">
        <v>43</v>
      </c>
      <c r="C7" s="65" t="s">
        <v>44</v>
      </c>
      <c r="D7" s="50">
        <v>153.538070000001</v>
      </c>
      <c r="E7" s="69">
        <v>324.01</v>
      </c>
      <c r="F7" s="50">
        <v>264.01</v>
      </c>
      <c r="G7" s="112">
        <v>0</v>
      </c>
      <c r="H7" s="50">
        <v>585.47</v>
      </c>
      <c r="I7" s="112">
        <v>585.47</v>
      </c>
      <c r="J7" s="81">
        <v>183.23</v>
      </c>
      <c r="K7" s="205"/>
      <c r="L7" s="81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>
        <f t="shared" si="0"/>
        <v>1092.71</v>
      </c>
      <c r="AC7" s="112">
        <f t="shared" si="1"/>
        <v>849.48</v>
      </c>
      <c r="AD7" s="112">
        <f t="shared" si="2"/>
        <v>-89.6919299999995</v>
      </c>
    </row>
    <row r="8" s="14" customFormat="1" ht="35" customHeight="1" spans="1:30">
      <c r="A8" s="64">
        <v>5</v>
      </c>
      <c r="B8" s="50" t="s">
        <v>45</v>
      </c>
      <c r="C8" s="65" t="s">
        <v>46</v>
      </c>
      <c r="D8" s="50">
        <v>252.21717</v>
      </c>
      <c r="E8" s="69">
        <v>131.97</v>
      </c>
      <c r="F8" s="50">
        <v>131.97</v>
      </c>
      <c r="G8" s="112">
        <v>0</v>
      </c>
      <c r="H8" s="50">
        <v>357.03</v>
      </c>
      <c r="I8" s="112">
        <v>500</v>
      </c>
      <c r="J8" s="81">
        <v>130.45</v>
      </c>
      <c r="K8" s="205"/>
      <c r="L8" s="81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>
        <f t="shared" si="0"/>
        <v>619.45</v>
      </c>
      <c r="AC8" s="112">
        <f t="shared" si="1"/>
        <v>631.97</v>
      </c>
      <c r="AD8" s="112">
        <f t="shared" si="2"/>
        <v>264.73717</v>
      </c>
    </row>
    <row r="9" s="14" customFormat="1" ht="35" customHeight="1" spans="1:30">
      <c r="A9" s="64">
        <v>6</v>
      </c>
      <c r="B9" s="50" t="s">
        <v>47</v>
      </c>
      <c r="C9" s="65" t="s">
        <v>48</v>
      </c>
      <c r="D9" s="50">
        <v>356.68497</v>
      </c>
      <c r="E9" s="69">
        <v>34</v>
      </c>
      <c r="F9" s="50">
        <v>34</v>
      </c>
      <c r="G9" s="112">
        <v>0</v>
      </c>
      <c r="H9" s="50">
        <v>57.67</v>
      </c>
      <c r="I9" s="112">
        <v>70</v>
      </c>
      <c r="J9" s="81">
        <v>14.02</v>
      </c>
      <c r="K9" s="205">
        <v>15</v>
      </c>
      <c r="L9" s="81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>
        <f t="shared" si="0"/>
        <v>105.69</v>
      </c>
      <c r="AC9" s="112">
        <f t="shared" si="1"/>
        <v>119</v>
      </c>
      <c r="AD9" s="112">
        <f t="shared" si="2"/>
        <v>369.99497</v>
      </c>
    </row>
    <row r="10" s="14" customFormat="1" ht="35" customHeight="1" spans="1:30">
      <c r="A10" s="64">
        <v>7</v>
      </c>
      <c r="B10" s="50" t="s">
        <v>49</v>
      </c>
      <c r="C10" s="65" t="s">
        <v>50</v>
      </c>
      <c r="D10" s="50">
        <v>234.580924</v>
      </c>
      <c r="E10" s="69">
        <v>133.09</v>
      </c>
      <c r="F10" s="50">
        <v>131.12</v>
      </c>
      <c r="G10" s="112">
        <v>0</v>
      </c>
      <c r="H10" s="50">
        <v>314.03</v>
      </c>
      <c r="I10" s="112">
        <v>0</v>
      </c>
      <c r="J10" s="81">
        <v>129.37</v>
      </c>
      <c r="K10" s="205">
        <v>500</v>
      </c>
      <c r="L10" s="81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>
        <f t="shared" si="0"/>
        <v>576.49</v>
      </c>
      <c r="AC10" s="112">
        <f t="shared" si="1"/>
        <v>631.12</v>
      </c>
      <c r="AD10" s="112">
        <f t="shared" si="2"/>
        <v>289.210924</v>
      </c>
    </row>
    <row r="11" s="14" customFormat="1" ht="35" customHeight="1" spans="1:30">
      <c r="A11" s="64">
        <v>8</v>
      </c>
      <c r="B11" s="50" t="s">
        <v>51</v>
      </c>
      <c r="C11" s="65" t="s">
        <v>52</v>
      </c>
      <c r="D11" s="50">
        <v>466.280270000001</v>
      </c>
      <c r="E11" s="69">
        <v>331.85</v>
      </c>
      <c r="F11" s="50">
        <v>540</v>
      </c>
      <c r="G11" s="112">
        <v>500</v>
      </c>
      <c r="H11" s="50">
        <v>677.07</v>
      </c>
      <c r="I11" s="112">
        <v>186</v>
      </c>
      <c r="J11" s="81">
        <v>307.29</v>
      </c>
      <c r="K11" s="205">
        <v>300</v>
      </c>
      <c r="L11" s="81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>
        <f t="shared" si="0"/>
        <v>1316.21</v>
      </c>
      <c r="AC11" s="112">
        <f t="shared" si="1"/>
        <v>1526</v>
      </c>
      <c r="AD11" s="112">
        <f t="shared" si="2"/>
        <v>676.070270000001</v>
      </c>
    </row>
    <row r="12" s="14" customFormat="1" ht="35" customHeight="1" spans="1:30">
      <c r="A12" s="64">
        <v>9</v>
      </c>
      <c r="B12" s="50" t="s">
        <v>53</v>
      </c>
      <c r="C12" s="65" t="s">
        <v>54</v>
      </c>
      <c r="D12" s="50">
        <v>3.83721399999831</v>
      </c>
      <c r="E12" s="69">
        <v>136.45</v>
      </c>
      <c r="F12" s="50">
        <v>0</v>
      </c>
      <c r="G12" s="112">
        <v>0</v>
      </c>
      <c r="H12" s="50">
        <v>451.98</v>
      </c>
      <c r="I12" s="112">
        <v>0</v>
      </c>
      <c r="J12" s="81">
        <v>114.13</v>
      </c>
      <c r="K12" s="205"/>
      <c r="L12" s="81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>
        <f t="shared" si="0"/>
        <v>702.56</v>
      </c>
      <c r="AC12" s="112">
        <f t="shared" si="1"/>
        <v>0</v>
      </c>
      <c r="AD12" s="112">
        <f t="shared" si="2"/>
        <v>-698.722786000002</v>
      </c>
    </row>
    <row r="13" s="14" customFormat="1" ht="35" customHeight="1" spans="1:30">
      <c r="A13" s="64">
        <v>10</v>
      </c>
      <c r="B13" s="50" t="s">
        <v>55</v>
      </c>
      <c r="C13" s="65" t="s">
        <v>56</v>
      </c>
      <c r="D13" s="50">
        <v>736.98017</v>
      </c>
      <c r="E13" s="69">
        <v>36.23</v>
      </c>
      <c r="F13" s="50">
        <v>0</v>
      </c>
      <c r="G13" s="112">
        <v>300</v>
      </c>
      <c r="H13" s="50">
        <v>71.07</v>
      </c>
      <c r="I13" s="112">
        <v>0</v>
      </c>
      <c r="J13" s="81">
        <v>10.21</v>
      </c>
      <c r="K13" s="205"/>
      <c r="L13" s="81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>
        <f t="shared" si="0"/>
        <v>117.51</v>
      </c>
      <c r="AC13" s="112">
        <f t="shared" si="1"/>
        <v>300</v>
      </c>
      <c r="AD13" s="112">
        <f t="shared" si="2"/>
        <v>919.47017</v>
      </c>
    </row>
    <row r="14" s="14" customFormat="1" ht="35" customHeight="1" spans="1:30">
      <c r="A14" s="64">
        <v>11</v>
      </c>
      <c r="B14" s="50" t="s">
        <v>57</v>
      </c>
      <c r="C14" s="65" t="s">
        <v>58</v>
      </c>
      <c r="D14" s="50">
        <v>-561.410000000001</v>
      </c>
      <c r="E14" s="69">
        <v>309.46</v>
      </c>
      <c r="F14" s="50">
        <v>940</v>
      </c>
      <c r="G14" s="112">
        <v>0</v>
      </c>
      <c r="H14" s="50">
        <v>826.75</v>
      </c>
      <c r="I14" s="112">
        <v>0</v>
      </c>
      <c r="J14" s="81">
        <v>173.44</v>
      </c>
      <c r="K14" s="205"/>
      <c r="L14" s="81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>
        <f t="shared" si="0"/>
        <v>1309.65</v>
      </c>
      <c r="AC14" s="112">
        <f t="shared" si="1"/>
        <v>940</v>
      </c>
      <c r="AD14" s="112">
        <f t="shared" si="2"/>
        <v>-931.060000000001</v>
      </c>
    </row>
    <row r="15" s="14" customFormat="1" ht="35" customHeight="1" spans="1:30">
      <c r="A15" s="64">
        <v>12</v>
      </c>
      <c r="B15" s="50" t="s">
        <v>59</v>
      </c>
      <c r="C15" s="65" t="s">
        <v>60</v>
      </c>
      <c r="D15" s="50">
        <v>389.954839000003</v>
      </c>
      <c r="E15" s="69">
        <v>373.28</v>
      </c>
      <c r="F15" s="50">
        <v>340</v>
      </c>
      <c r="G15" s="112">
        <v>430</v>
      </c>
      <c r="H15" s="50">
        <v>644.11</v>
      </c>
      <c r="I15" s="112">
        <v>0</v>
      </c>
      <c r="J15" s="81">
        <v>267.57</v>
      </c>
      <c r="K15" s="205"/>
      <c r="L15" s="81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>
        <f t="shared" si="0"/>
        <v>1284.96</v>
      </c>
      <c r="AC15" s="112">
        <f t="shared" si="1"/>
        <v>770</v>
      </c>
      <c r="AD15" s="112">
        <f t="shared" si="2"/>
        <v>-125.005160999997</v>
      </c>
    </row>
    <row r="16" s="14" customFormat="1" ht="35" customHeight="1" spans="1:30">
      <c r="A16" s="64">
        <v>13</v>
      </c>
      <c r="B16" s="50" t="s">
        <v>61</v>
      </c>
      <c r="C16" s="65" t="s">
        <v>62</v>
      </c>
      <c r="D16" s="50">
        <v>176.612869999999</v>
      </c>
      <c r="E16" s="69">
        <v>232.19</v>
      </c>
      <c r="F16" s="50">
        <v>232.19</v>
      </c>
      <c r="G16" s="112">
        <v>0</v>
      </c>
      <c r="H16" s="50">
        <v>443.61</v>
      </c>
      <c r="I16" s="112">
        <v>0</v>
      </c>
      <c r="J16" s="81">
        <v>210.98</v>
      </c>
      <c r="K16" s="205">
        <v>2000</v>
      </c>
      <c r="L16" s="81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>
        <f t="shared" si="0"/>
        <v>886.78</v>
      </c>
      <c r="AC16" s="112">
        <f t="shared" si="1"/>
        <v>2232.19</v>
      </c>
      <c r="AD16" s="112">
        <f t="shared" si="2"/>
        <v>1522.02287</v>
      </c>
    </row>
    <row r="17" s="14" customFormat="1" ht="35" customHeight="1" spans="1:30">
      <c r="A17" s="64">
        <v>14</v>
      </c>
      <c r="B17" s="50" t="s">
        <v>63</v>
      </c>
      <c r="C17" s="65" t="s">
        <v>64</v>
      </c>
      <c r="D17" s="50">
        <v>300</v>
      </c>
      <c r="E17" s="69"/>
      <c r="F17" s="50">
        <v>0</v>
      </c>
      <c r="G17" s="112">
        <v>0</v>
      </c>
      <c r="H17" s="50">
        <v>0</v>
      </c>
      <c r="I17" s="112">
        <v>0</v>
      </c>
      <c r="J17" s="81">
        <v>0</v>
      </c>
      <c r="K17" s="205"/>
      <c r="L17" s="81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>
        <f t="shared" si="0"/>
        <v>0</v>
      </c>
      <c r="AC17" s="112">
        <f t="shared" si="1"/>
        <v>0</v>
      </c>
      <c r="AD17" s="112">
        <f t="shared" si="2"/>
        <v>300</v>
      </c>
    </row>
    <row r="18" s="14" customFormat="1" ht="35" customHeight="1" spans="1:30">
      <c r="A18" s="64">
        <v>15</v>
      </c>
      <c r="B18" s="50" t="s">
        <v>65</v>
      </c>
      <c r="C18" s="65" t="s">
        <v>66</v>
      </c>
      <c r="D18" s="50">
        <v>300</v>
      </c>
      <c r="E18" s="69"/>
      <c r="F18" s="50">
        <v>0</v>
      </c>
      <c r="G18" s="112">
        <v>0</v>
      </c>
      <c r="H18" s="50">
        <v>0</v>
      </c>
      <c r="I18" s="112">
        <v>0</v>
      </c>
      <c r="J18" s="81">
        <v>0</v>
      </c>
      <c r="K18" s="205"/>
      <c r="L18" s="81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>
        <f t="shared" si="0"/>
        <v>0</v>
      </c>
      <c r="AC18" s="112">
        <f t="shared" si="1"/>
        <v>0</v>
      </c>
      <c r="AD18" s="112">
        <f t="shared" si="2"/>
        <v>300</v>
      </c>
    </row>
    <row r="19" s="14" customFormat="1" ht="35" customHeight="1" spans="1:30">
      <c r="A19" s="64">
        <v>16</v>
      </c>
      <c r="B19" s="50" t="s">
        <v>67</v>
      </c>
      <c r="C19" s="65" t="s">
        <v>68</v>
      </c>
      <c r="D19" s="50">
        <v>231.536369999999</v>
      </c>
      <c r="E19" s="69">
        <v>247.31</v>
      </c>
      <c r="F19" s="50">
        <v>247.31</v>
      </c>
      <c r="G19" s="112">
        <v>0</v>
      </c>
      <c r="H19" s="50">
        <v>594.41</v>
      </c>
      <c r="I19" s="112">
        <v>700</v>
      </c>
      <c r="J19" s="81">
        <v>166.36</v>
      </c>
      <c r="K19" s="205"/>
      <c r="L19" s="81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>
        <f t="shared" si="0"/>
        <v>1008.08</v>
      </c>
      <c r="AC19" s="112">
        <f t="shared" si="1"/>
        <v>947.31</v>
      </c>
      <c r="AD19" s="112">
        <f t="shared" si="2"/>
        <v>170.766369999999</v>
      </c>
    </row>
    <row r="20" s="14" customFormat="1" ht="35" customHeight="1" spans="1:30">
      <c r="A20" s="64">
        <v>17</v>
      </c>
      <c r="B20" s="50" t="s">
        <v>69</v>
      </c>
      <c r="C20" s="65" t="s">
        <v>70</v>
      </c>
      <c r="D20" s="50">
        <v>-1782.563326</v>
      </c>
      <c r="E20" s="69">
        <v>699.13</v>
      </c>
      <c r="F20" s="50">
        <v>2240</v>
      </c>
      <c r="G20" s="112">
        <v>0</v>
      </c>
      <c r="H20" s="50">
        <v>1252.9</v>
      </c>
      <c r="I20" s="112">
        <v>0</v>
      </c>
      <c r="J20" s="81">
        <v>398.69</v>
      </c>
      <c r="K20" s="205"/>
      <c r="L20" s="81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>
        <f t="shared" si="0"/>
        <v>2350.72</v>
      </c>
      <c r="AC20" s="112">
        <f t="shared" si="1"/>
        <v>2240</v>
      </c>
      <c r="AD20" s="112">
        <f t="shared" si="2"/>
        <v>-1893.283326</v>
      </c>
    </row>
    <row r="21" s="14" customFormat="1" ht="35" customHeight="1" spans="1:30">
      <c r="A21" s="64">
        <v>18</v>
      </c>
      <c r="B21" s="50" t="s">
        <v>71</v>
      </c>
      <c r="C21" s="65" t="s">
        <v>72</v>
      </c>
      <c r="D21" s="50">
        <v>401.522589</v>
      </c>
      <c r="E21" s="69">
        <v>74.87</v>
      </c>
      <c r="F21" s="50">
        <v>74.87</v>
      </c>
      <c r="G21" s="112">
        <v>0</v>
      </c>
      <c r="H21" s="50">
        <v>284.43</v>
      </c>
      <c r="I21" s="112">
        <v>300</v>
      </c>
      <c r="J21" s="81">
        <v>59.18</v>
      </c>
      <c r="K21" s="205"/>
      <c r="L21" s="81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>
        <f t="shared" si="0"/>
        <v>418.48</v>
      </c>
      <c r="AC21" s="112">
        <f t="shared" si="1"/>
        <v>374.87</v>
      </c>
      <c r="AD21" s="112">
        <f t="shared" si="2"/>
        <v>357.912589</v>
      </c>
    </row>
    <row r="22" s="14" customFormat="1" ht="35" customHeight="1" spans="1:30">
      <c r="A22" s="64">
        <v>19</v>
      </c>
      <c r="B22" s="50" t="s">
        <v>73</v>
      </c>
      <c r="C22" s="65" t="s">
        <v>74</v>
      </c>
      <c r="D22" s="50">
        <v>-65.6044300000003</v>
      </c>
      <c r="E22" s="69">
        <v>307.78</v>
      </c>
      <c r="F22" s="50">
        <v>940</v>
      </c>
      <c r="G22" s="112">
        <v>0</v>
      </c>
      <c r="H22" s="50">
        <v>558.1</v>
      </c>
      <c r="I22" s="112">
        <v>0</v>
      </c>
      <c r="J22" s="81">
        <v>245.26</v>
      </c>
      <c r="K22" s="205"/>
      <c r="L22" s="81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>
        <f t="shared" si="0"/>
        <v>1111.14</v>
      </c>
      <c r="AC22" s="112">
        <f t="shared" si="1"/>
        <v>940</v>
      </c>
      <c r="AD22" s="112">
        <f t="shared" si="2"/>
        <v>-236.74443</v>
      </c>
    </row>
    <row r="23" s="14" customFormat="1" ht="35" customHeight="1" spans="1:30">
      <c r="A23" s="64">
        <v>20</v>
      </c>
      <c r="B23" s="50" t="s">
        <v>75</v>
      </c>
      <c r="C23" s="65" t="s">
        <v>76</v>
      </c>
      <c r="D23" s="50">
        <v>167.306969999999</v>
      </c>
      <c r="E23" s="69">
        <v>119.1</v>
      </c>
      <c r="F23" s="50">
        <v>71.51</v>
      </c>
      <c r="G23" s="112">
        <v>0</v>
      </c>
      <c r="H23" s="50">
        <v>232.48</v>
      </c>
      <c r="I23" s="112">
        <v>0</v>
      </c>
      <c r="J23" s="81">
        <v>128.28</v>
      </c>
      <c r="K23" s="205">
        <v>128.28</v>
      </c>
      <c r="L23" s="81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>
        <f t="shared" si="0"/>
        <v>479.86</v>
      </c>
      <c r="AC23" s="112">
        <f t="shared" si="1"/>
        <v>199.79</v>
      </c>
      <c r="AD23" s="112">
        <f t="shared" si="2"/>
        <v>-112.763030000001</v>
      </c>
    </row>
    <row r="24" s="14" customFormat="1" ht="35" customHeight="1" spans="1:30">
      <c r="A24" s="64">
        <v>21</v>
      </c>
      <c r="B24" s="50" t="s">
        <v>77</v>
      </c>
      <c r="C24" s="65" t="s">
        <v>78</v>
      </c>
      <c r="D24" s="50">
        <v>320.47067</v>
      </c>
      <c r="E24" s="69">
        <v>11.6</v>
      </c>
      <c r="F24" s="50">
        <v>0</v>
      </c>
      <c r="G24" s="112">
        <v>0</v>
      </c>
      <c r="H24" s="50">
        <v>20.81</v>
      </c>
      <c r="I24" s="112">
        <v>320</v>
      </c>
      <c r="J24" s="81">
        <v>10.21</v>
      </c>
      <c r="K24" s="205"/>
      <c r="L24" s="81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>
        <f t="shared" si="0"/>
        <v>42.62</v>
      </c>
      <c r="AC24" s="112">
        <f t="shared" si="1"/>
        <v>320</v>
      </c>
      <c r="AD24" s="112">
        <f t="shared" si="2"/>
        <v>597.85067</v>
      </c>
    </row>
    <row r="25" s="14" customFormat="1" ht="35" customHeight="1" spans="1:30">
      <c r="A25" s="64">
        <v>22</v>
      </c>
      <c r="B25" s="50" t="s">
        <v>79</v>
      </c>
      <c r="C25" s="65" t="s">
        <v>80</v>
      </c>
      <c r="D25" s="50">
        <v>1476.640774</v>
      </c>
      <c r="E25" s="69">
        <v>73.19</v>
      </c>
      <c r="F25" s="50">
        <v>0</v>
      </c>
      <c r="G25" s="112">
        <v>0</v>
      </c>
      <c r="H25" s="50">
        <v>252.03</v>
      </c>
      <c r="I25" s="112">
        <v>0</v>
      </c>
      <c r="J25" s="81">
        <v>57.54</v>
      </c>
      <c r="K25" s="205"/>
      <c r="L25" s="81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>
        <f t="shared" si="0"/>
        <v>382.76</v>
      </c>
      <c r="AC25" s="112">
        <f t="shared" si="1"/>
        <v>0</v>
      </c>
      <c r="AD25" s="112">
        <f t="shared" si="2"/>
        <v>1093.880774</v>
      </c>
    </row>
    <row r="26" s="14" customFormat="1" ht="35" customHeight="1" spans="1:30">
      <c r="A26" s="64">
        <v>23</v>
      </c>
      <c r="B26" s="50" t="s">
        <v>81</v>
      </c>
      <c r="C26" s="65" t="s">
        <v>82</v>
      </c>
      <c r="D26" s="50">
        <v>-44.1820560000001</v>
      </c>
      <c r="E26" s="69">
        <v>139.25</v>
      </c>
      <c r="F26" s="50">
        <v>139.25</v>
      </c>
      <c r="G26" s="112">
        <v>0</v>
      </c>
      <c r="H26" s="50">
        <v>289.45</v>
      </c>
      <c r="I26" s="112">
        <v>400</v>
      </c>
      <c r="J26" s="81">
        <v>115.76</v>
      </c>
      <c r="K26" s="205"/>
      <c r="L26" s="81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>
        <f t="shared" si="0"/>
        <v>544.46</v>
      </c>
      <c r="AC26" s="112">
        <f t="shared" si="1"/>
        <v>539.25</v>
      </c>
      <c r="AD26" s="112">
        <f t="shared" si="2"/>
        <v>-49.3920560000001</v>
      </c>
    </row>
    <row r="27" s="14" customFormat="1" ht="35" customHeight="1" spans="1:30">
      <c r="A27" s="64">
        <v>24</v>
      </c>
      <c r="B27" s="50" t="s">
        <v>83</v>
      </c>
      <c r="C27" s="65" t="s">
        <v>84</v>
      </c>
      <c r="D27" s="50">
        <v>3652.525059</v>
      </c>
      <c r="E27" s="69">
        <v>134.21</v>
      </c>
      <c r="F27" s="50">
        <v>0</v>
      </c>
      <c r="G27" s="112">
        <v>0</v>
      </c>
      <c r="H27" s="50">
        <v>356.48</v>
      </c>
      <c r="I27" s="112">
        <v>0</v>
      </c>
      <c r="J27" s="81">
        <v>131.54</v>
      </c>
      <c r="K27" s="205"/>
      <c r="L27" s="81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>
        <f t="shared" si="0"/>
        <v>622.23</v>
      </c>
      <c r="AC27" s="112">
        <f t="shared" si="1"/>
        <v>0</v>
      </c>
      <c r="AD27" s="112">
        <f t="shared" si="2"/>
        <v>3030.295059</v>
      </c>
    </row>
    <row r="28" s="14" customFormat="1" ht="35" customHeight="1" spans="1:30">
      <c r="A28" s="64">
        <v>25</v>
      </c>
      <c r="B28" s="50" t="s">
        <v>85</v>
      </c>
      <c r="C28" s="65" t="s">
        <v>86</v>
      </c>
      <c r="D28" s="50">
        <v>-798.617871</v>
      </c>
      <c r="E28" s="69">
        <v>109.02</v>
      </c>
      <c r="F28" s="50">
        <v>109.02</v>
      </c>
      <c r="G28" s="112">
        <v>500</v>
      </c>
      <c r="H28" s="50">
        <v>163.79</v>
      </c>
      <c r="I28" s="112">
        <v>0</v>
      </c>
      <c r="J28" s="81">
        <v>103.25</v>
      </c>
      <c r="K28" s="205"/>
      <c r="L28" s="81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>
        <f t="shared" si="0"/>
        <v>376.06</v>
      </c>
      <c r="AC28" s="112">
        <f t="shared" si="1"/>
        <v>609.02</v>
      </c>
      <c r="AD28" s="112">
        <f t="shared" si="2"/>
        <v>-565.657871</v>
      </c>
    </row>
    <row r="29" s="14" customFormat="1" ht="35" customHeight="1" spans="1:30">
      <c r="A29" s="64">
        <v>26</v>
      </c>
      <c r="B29" s="50" t="s">
        <v>87</v>
      </c>
      <c r="C29" s="193" t="s">
        <v>88</v>
      </c>
      <c r="D29" s="50">
        <v>306.647134</v>
      </c>
      <c r="E29" s="69">
        <v>184.6</v>
      </c>
      <c r="F29" s="50">
        <v>183.5</v>
      </c>
      <c r="G29" s="112">
        <v>0</v>
      </c>
      <c r="H29" s="50">
        <v>294.48</v>
      </c>
      <c r="I29" s="112">
        <v>400</v>
      </c>
      <c r="J29" s="81">
        <v>16.74</v>
      </c>
      <c r="K29" s="205"/>
      <c r="L29" s="81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>
        <f t="shared" si="0"/>
        <v>495.82</v>
      </c>
      <c r="AC29" s="112">
        <f t="shared" si="1"/>
        <v>583.5</v>
      </c>
      <c r="AD29" s="112">
        <f t="shared" si="2"/>
        <v>394.327134</v>
      </c>
    </row>
    <row r="30" s="14" customFormat="1" ht="35" customHeight="1" spans="1:30">
      <c r="A30" s="64">
        <v>27</v>
      </c>
      <c r="B30" s="50" t="s">
        <v>89</v>
      </c>
      <c r="C30" s="193" t="s">
        <v>90</v>
      </c>
      <c r="D30" s="50">
        <v>331.841570000001</v>
      </c>
      <c r="E30" s="69">
        <v>215.96</v>
      </c>
      <c r="F30" s="50">
        <v>215.96</v>
      </c>
      <c r="G30" s="112">
        <v>0</v>
      </c>
      <c r="H30" s="50">
        <v>397.81</v>
      </c>
      <c r="I30" s="112">
        <v>600</v>
      </c>
      <c r="J30" s="81">
        <v>148.95</v>
      </c>
      <c r="K30" s="205"/>
      <c r="L30" s="81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>
        <f t="shared" si="0"/>
        <v>762.72</v>
      </c>
      <c r="AC30" s="112">
        <f t="shared" si="1"/>
        <v>815.96</v>
      </c>
      <c r="AD30" s="112">
        <f t="shared" si="2"/>
        <v>385.081570000001</v>
      </c>
    </row>
    <row r="31" s="14" customFormat="1" ht="35" customHeight="1" spans="1:30">
      <c r="A31" s="64">
        <v>28</v>
      </c>
      <c r="B31" s="50" t="s">
        <v>91</v>
      </c>
      <c r="C31" s="65" t="s">
        <v>92</v>
      </c>
      <c r="D31" s="50">
        <v>2327.734609</v>
      </c>
      <c r="E31" s="69">
        <v>239.47</v>
      </c>
      <c r="F31" s="50">
        <v>0</v>
      </c>
      <c r="G31" s="112">
        <v>0</v>
      </c>
      <c r="H31" s="50">
        <v>457.57</v>
      </c>
      <c r="I31" s="112">
        <v>0</v>
      </c>
      <c r="J31" s="81">
        <v>210.44</v>
      </c>
      <c r="K31" s="205"/>
      <c r="L31" s="81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>
        <f t="shared" si="0"/>
        <v>907.48</v>
      </c>
      <c r="AC31" s="112">
        <f t="shared" si="1"/>
        <v>0</v>
      </c>
      <c r="AD31" s="112">
        <f t="shared" si="2"/>
        <v>1420.254609</v>
      </c>
    </row>
    <row r="32" s="14" customFormat="1" ht="35" customHeight="1" spans="1:30">
      <c r="A32" s="64">
        <v>29</v>
      </c>
      <c r="B32" s="50" t="s">
        <v>93</v>
      </c>
      <c r="C32" s="193" t="s">
        <v>94</v>
      </c>
      <c r="D32" s="50">
        <v>-81.2411299999999</v>
      </c>
      <c r="E32" s="69">
        <v>58.63</v>
      </c>
      <c r="F32" s="50">
        <v>0</v>
      </c>
      <c r="G32" s="112">
        <v>0</v>
      </c>
      <c r="H32" s="50">
        <v>123.02</v>
      </c>
      <c r="I32" s="112">
        <v>0</v>
      </c>
      <c r="J32" s="81">
        <v>67.88</v>
      </c>
      <c r="K32" s="205"/>
      <c r="L32" s="81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>
        <f t="shared" si="0"/>
        <v>249.53</v>
      </c>
      <c r="AC32" s="112">
        <f t="shared" si="1"/>
        <v>0</v>
      </c>
      <c r="AD32" s="112">
        <f t="shared" si="2"/>
        <v>-330.77113</v>
      </c>
    </row>
    <row r="33" s="14" customFormat="1" ht="35" customHeight="1" spans="1:30">
      <c r="A33" s="64">
        <v>30</v>
      </c>
      <c r="B33" s="50" t="s">
        <v>95</v>
      </c>
      <c r="C33" s="65" t="s">
        <v>96</v>
      </c>
      <c r="D33" s="50">
        <v>651.192609</v>
      </c>
      <c r="E33" s="69">
        <v>110.7</v>
      </c>
      <c r="F33" s="50">
        <v>0</v>
      </c>
      <c r="G33" s="112">
        <v>0</v>
      </c>
      <c r="H33" s="50">
        <v>212.38</v>
      </c>
      <c r="I33" s="112">
        <v>0</v>
      </c>
      <c r="J33" s="81">
        <v>90.73</v>
      </c>
      <c r="K33" s="205"/>
      <c r="L33" s="81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>
        <f t="shared" si="0"/>
        <v>413.81</v>
      </c>
      <c r="AC33" s="112">
        <f t="shared" si="1"/>
        <v>0</v>
      </c>
      <c r="AD33" s="112">
        <f t="shared" si="2"/>
        <v>237.382609</v>
      </c>
    </row>
    <row r="34" s="14" customFormat="1" ht="35" customHeight="1" spans="1:30">
      <c r="A34" s="64">
        <v>31</v>
      </c>
      <c r="B34" s="50" t="s">
        <v>97</v>
      </c>
      <c r="C34" s="65" t="s">
        <v>98</v>
      </c>
      <c r="D34" s="50">
        <v>1791.050409</v>
      </c>
      <c r="E34" s="69">
        <v>184.04</v>
      </c>
      <c r="F34" s="50">
        <v>0</v>
      </c>
      <c r="G34" s="112">
        <v>0</v>
      </c>
      <c r="H34" s="50">
        <v>327.43</v>
      </c>
      <c r="I34" s="112">
        <v>0</v>
      </c>
      <c r="J34" s="81">
        <v>120.66</v>
      </c>
      <c r="K34" s="205"/>
      <c r="L34" s="81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>
        <f t="shared" si="0"/>
        <v>632.13</v>
      </c>
      <c r="AC34" s="112">
        <f t="shared" si="1"/>
        <v>0</v>
      </c>
      <c r="AD34" s="112">
        <f t="shared" si="2"/>
        <v>1158.920409</v>
      </c>
    </row>
    <row r="35" s="14" customFormat="1" ht="35" customHeight="1" spans="1:30">
      <c r="A35" s="64">
        <v>32</v>
      </c>
      <c r="B35" s="50" t="s">
        <v>99</v>
      </c>
      <c r="C35" s="65" t="s">
        <v>100</v>
      </c>
      <c r="D35" s="50">
        <v>-49.2767810000005</v>
      </c>
      <c r="E35" s="69">
        <v>156.05</v>
      </c>
      <c r="F35" s="50">
        <v>310.94</v>
      </c>
      <c r="G35" s="112">
        <v>0</v>
      </c>
      <c r="H35" s="50">
        <v>343.63</v>
      </c>
      <c r="I35" s="112">
        <v>0</v>
      </c>
      <c r="J35" s="81">
        <v>141.88</v>
      </c>
      <c r="K35" s="205"/>
      <c r="L35" s="81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>
        <f t="shared" si="0"/>
        <v>641.56</v>
      </c>
      <c r="AC35" s="112">
        <f t="shared" si="1"/>
        <v>310.94</v>
      </c>
      <c r="AD35" s="112">
        <f t="shared" si="2"/>
        <v>-379.896781</v>
      </c>
    </row>
    <row r="36" s="14" customFormat="1" ht="35" customHeight="1" spans="1:30">
      <c r="A36" s="64">
        <v>33</v>
      </c>
      <c r="B36" s="50" t="s">
        <v>101</v>
      </c>
      <c r="C36" s="65" t="s">
        <v>102</v>
      </c>
      <c r="D36" s="50">
        <v>300</v>
      </c>
      <c r="E36" s="69"/>
      <c r="F36" s="50">
        <v>0</v>
      </c>
      <c r="G36" s="112">
        <v>0</v>
      </c>
      <c r="H36" s="50">
        <v>0</v>
      </c>
      <c r="I36" s="112">
        <v>0</v>
      </c>
      <c r="J36" s="81">
        <v>0</v>
      </c>
      <c r="K36" s="205"/>
      <c r="L36" s="81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>
        <f t="shared" si="0"/>
        <v>0</v>
      </c>
      <c r="AC36" s="112">
        <f t="shared" si="1"/>
        <v>0</v>
      </c>
      <c r="AD36" s="112">
        <f t="shared" si="2"/>
        <v>300</v>
      </c>
    </row>
    <row r="37" s="14" customFormat="1" ht="35" customHeight="1" spans="1:30">
      <c r="A37" s="64">
        <v>34</v>
      </c>
      <c r="B37" s="50" t="s">
        <v>103</v>
      </c>
      <c r="C37" s="65" t="s">
        <v>104</v>
      </c>
      <c r="D37" s="50">
        <v>173.194858999999</v>
      </c>
      <c r="E37" s="69">
        <v>195.8</v>
      </c>
      <c r="F37" s="50">
        <v>195.8</v>
      </c>
      <c r="G37" s="112">
        <v>0</v>
      </c>
      <c r="H37" s="50">
        <v>405.63</v>
      </c>
      <c r="I37" s="112">
        <v>600</v>
      </c>
      <c r="J37" s="81">
        <v>160.92</v>
      </c>
      <c r="K37" s="205"/>
      <c r="L37" s="81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>
        <f t="shared" ref="AB37:AB68" si="3">E37+H37+J37+L37+N37+P37+R37+T37+V37+X37+Z37</f>
        <v>762.35</v>
      </c>
      <c r="AC37" s="112">
        <f t="shared" ref="AC37:AC68" si="4">F37+G37+I37+K37+M37+O37+Q37+S37+U37+W37+Y37+AA37</f>
        <v>795.8</v>
      </c>
      <c r="AD37" s="112">
        <f t="shared" ref="AD37:AD68" si="5">D37+AC37-AB37</f>
        <v>206.644858999999</v>
      </c>
    </row>
    <row r="38" s="14" customFormat="1" ht="35" customHeight="1" spans="1:30">
      <c r="A38" s="64">
        <v>35</v>
      </c>
      <c r="B38" s="50" t="s">
        <v>105</v>
      </c>
      <c r="C38" s="193" t="s">
        <v>106</v>
      </c>
      <c r="D38" s="50">
        <v>88.2783190000009</v>
      </c>
      <c r="E38" s="69">
        <v>311.14</v>
      </c>
      <c r="F38" s="50">
        <v>311.14</v>
      </c>
      <c r="G38" s="112">
        <v>0</v>
      </c>
      <c r="H38" s="50">
        <v>637.41</v>
      </c>
      <c r="I38" s="112">
        <v>800</v>
      </c>
      <c r="J38" s="81">
        <v>248.52</v>
      </c>
      <c r="K38" s="205"/>
      <c r="L38" s="81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>
        <f t="shared" si="3"/>
        <v>1197.07</v>
      </c>
      <c r="AC38" s="112">
        <f t="shared" si="4"/>
        <v>1111.14</v>
      </c>
      <c r="AD38" s="112">
        <f t="shared" si="5"/>
        <v>2.34831900000108</v>
      </c>
    </row>
    <row r="39" s="14" customFormat="1" ht="35" customHeight="1" spans="1:30">
      <c r="A39" s="64">
        <v>36</v>
      </c>
      <c r="B39" s="50" t="s">
        <v>107</v>
      </c>
      <c r="C39" s="65" t="s">
        <v>108</v>
      </c>
      <c r="D39" s="50">
        <v>853.246214</v>
      </c>
      <c r="E39" s="69">
        <v>18.32</v>
      </c>
      <c r="F39" s="50">
        <v>0</v>
      </c>
      <c r="G39" s="112">
        <v>0</v>
      </c>
      <c r="H39" s="50">
        <v>58.23</v>
      </c>
      <c r="I39" s="112">
        <v>0</v>
      </c>
      <c r="J39" s="81">
        <v>39.04</v>
      </c>
      <c r="K39" s="205"/>
      <c r="L39" s="81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>
        <f t="shared" si="3"/>
        <v>115.59</v>
      </c>
      <c r="AC39" s="112">
        <f t="shared" si="4"/>
        <v>0</v>
      </c>
      <c r="AD39" s="112">
        <f t="shared" si="5"/>
        <v>737.656214</v>
      </c>
    </row>
    <row r="40" s="14" customFormat="1" ht="35" customHeight="1" spans="1:30">
      <c r="A40" s="64">
        <v>37</v>
      </c>
      <c r="B40" s="50" t="s">
        <v>109</v>
      </c>
      <c r="C40" s="65" t="s">
        <v>110</v>
      </c>
      <c r="D40" s="50">
        <v>166.932919</v>
      </c>
      <c r="E40" s="69">
        <v>166.13</v>
      </c>
      <c r="F40" s="50">
        <v>190</v>
      </c>
      <c r="G40" s="112">
        <v>0</v>
      </c>
      <c r="H40" s="50">
        <v>293.92</v>
      </c>
      <c r="I40" s="112">
        <v>300</v>
      </c>
      <c r="J40" s="81">
        <v>108.15</v>
      </c>
      <c r="K40" s="205">
        <v>300</v>
      </c>
      <c r="L40" s="81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>
        <f t="shared" si="3"/>
        <v>568.2</v>
      </c>
      <c r="AC40" s="112">
        <f t="shared" si="4"/>
        <v>790</v>
      </c>
      <c r="AD40" s="112">
        <f t="shared" si="5"/>
        <v>388.732919</v>
      </c>
    </row>
    <row r="41" s="178" customFormat="1" ht="35" customHeight="1" spans="1:31">
      <c r="A41" s="64">
        <v>38</v>
      </c>
      <c r="B41" s="50" t="s">
        <v>111</v>
      </c>
      <c r="C41" s="65" t="s">
        <v>112</v>
      </c>
      <c r="D41" s="50">
        <v>-79.2238300000001</v>
      </c>
      <c r="E41" s="69">
        <v>188.52</v>
      </c>
      <c r="F41" s="50">
        <v>0</v>
      </c>
      <c r="G41" s="112">
        <v>0</v>
      </c>
      <c r="H41" s="50">
        <v>439.14</v>
      </c>
      <c r="I41" s="112">
        <v>0</v>
      </c>
      <c r="J41" s="81">
        <v>153.31</v>
      </c>
      <c r="K41" s="205">
        <v>940</v>
      </c>
      <c r="L41" s="81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>
        <f t="shared" si="3"/>
        <v>780.97</v>
      </c>
      <c r="AC41" s="112">
        <f t="shared" si="4"/>
        <v>940</v>
      </c>
      <c r="AD41" s="112">
        <f t="shared" si="5"/>
        <v>79.8061699999998</v>
      </c>
      <c r="AE41" s="14"/>
    </row>
    <row r="42" s="14" customFormat="1" ht="35" customHeight="1" spans="1:30">
      <c r="A42" s="64">
        <v>39</v>
      </c>
      <c r="B42" s="50" t="s">
        <v>113</v>
      </c>
      <c r="C42" s="65" t="s">
        <v>114</v>
      </c>
      <c r="D42" s="50">
        <v>-312.495329999999</v>
      </c>
      <c r="E42" s="69">
        <v>410.23</v>
      </c>
      <c r="F42" s="50">
        <v>440</v>
      </c>
      <c r="G42" s="112">
        <v>0</v>
      </c>
      <c r="H42" s="50">
        <v>683.77</v>
      </c>
      <c r="I42" s="112">
        <v>0</v>
      </c>
      <c r="J42" s="81">
        <v>304.57</v>
      </c>
      <c r="K42" s="205">
        <v>500</v>
      </c>
      <c r="L42" s="81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>
        <f t="shared" si="3"/>
        <v>1398.57</v>
      </c>
      <c r="AC42" s="112">
        <f t="shared" si="4"/>
        <v>940</v>
      </c>
      <c r="AD42" s="112">
        <f t="shared" si="5"/>
        <v>-771.065329999999</v>
      </c>
    </row>
    <row r="43" s="14" customFormat="1" ht="35" customHeight="1" spans="1:30">
      <c r="A43" s="64">
        <v>40</v>
      </c>
      <c r="B43" s="50" t="s">
        <v>115</v>
      </c>
      <c r="C43" s="65" t="s">
        <v>116</v>
      </c>
      <c r="D43" s="50">
        <v>464.625809000001</v>
      </c>
      <c r="E43" s="69">
        <v>316.17</v>
      </c>
      <c r="F43" s="50">
        <v>0</v>
      </c>
      <c r="G43" s="112">
        <v>1000</v>
      </c>
      <c r="H43" s="50">
        <v>547.49</v>
      </c>
      <c r="I43" s="112">
        <v>0</v>
      </c>
      <c r="J43" s="81">
        <v>177.79</v>
      </c>
      <c r="K43" s="205"/>
      <c r="L43" s="81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>
        <f t="shared" si="3"/>
        <v>1041.45</v>
      </c>
      <c r="AC43" s="112">
        <f t="shared" si="4"/>
        <v>1000</v>
      </c>
      <c r="AD43" s="112">
        <f t="shared" si="5"/>
        <v>423.175809000001</v>
      </c>
    </row>
    <row r="44" s="14" customFormat="1" ht="35" customHeight="1" spans="1:30">
      <c r="A44" s="64">
        <v>41</v>
      </c>
      <c r="B44" s="50" t="s">
        <v>117</v>
      </c>
      <c r="C44" s="65" t="s">
        <v>118</v>
      </c>
      <c r="D44" s="50">
        <v>405.345889</v>
      </c>
      <c r="E44" s="69">
        <v>30.64</v>
      </c>
      <c r="F44" s="50">
        <v>0</v>
      </c>
      <c r="G44" s="112">
        <v>0</v>
      </c>
      <c r="H44" s="50">
        <v>62.14</v>
      </c>
      <c r="I44" s="112">
        <v>120</v>
      </c>
      <c r="J44" s="81">
        <v>29.79</v>
      </c>
      <c r="K44" s="205"/>
      <c r="L44" s="81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>
        <f t="shared" si="3"/>
        <v>122.57</v>
      </c>
      <c r="AC44" s="112">
        <f t="shared" si="4"/>
        <v>120</v>
      </c>
      <c r="AD44" s="112">
        <f t="shared" si="5"/>
        <v>402.775889</v>
      </c>
    </row>
    <row r="45" s="14" customFormat="1" ht="35" customHeight="1" spans="1:30">
      <c r="A45" s="64">
        <v>42</v>
      </c>
      <c r="B45" s="50" t="s">
        <v>119</v>
      </c>
      <c r="C45" s="65" t="s">
        <v>120</v>
      </c>
      <c r="D45" s="50">
        <v>-449.303629999999</v>
      </c>
      <c r="E45" s="69">
        <v>323.45</v>
      </c>
      <c r="F45" s="50">
        <v>340</v>
      </c>
      <c r="G45" s="112">
        <v>0</v>
      </c>
      <c r="H45" s="50">
        <v>553.63</v>
      </c>
      <c r="I45" s="112">
        <v>0</v>
      </c>
      <c r="J45" s="81">
        <v>225.67</v>
      </c>
      <c r="K45" s="205"/>
      <c r="L45" s="81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>
        <f t="shared" si="3"/>
        <v>1102.75</v>
      </c>
      <c r="AC45" s="112">
        <f t="shared" si="4"/>
        <v>340</v>
      </c>
      <c r="AD45" s="112">
        <f t="shared" si="5"/>
        <v>-1212.05363</v>
      </c>
    </row>
    <row r="46" s="14" customFormat="1" ht="35" customHeight="1" spans="1:30">
      <c r="A46" s="64">
        <v>43</v>
      </c>
      <c r="B46" s="50" t="s">
        <v>121</v>
      </c>
      <c r="C46" s="65" t="s">
        <v>122</v>
      </c>
      <c r="D46" s="50">
        <v>1068.856464</v>
      </c>
      <c r="E46" s="69">
        <v>216.52</v>
      </c>
      <c r="F46" s="50">
        <v>0</v>
      </c>
      <c r="G46" s="112">
        <v>1000</v>
      </c>
      <c r="H46" s="50">
        <v>510.07</v>
      </c>
      <c r="I46" s="112">
        <v>0</v>
      </c>
      <c r="J46" s="81">
        <v>186.5</v>
      </c>
      <c r="K46" s="205"/>
      <c r="L46" s="81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>
        <f t="shared" si="3"/>
        <v>913.09</v>
      </c>
      <c r="AC46" s="112">
        <f t="shared" si="4"/>
        <v>1000</v>
      </c>
      <c r="AD46" s="112">
        <f t="shared" si="5"/>
        <v>1155.766464</v>
      </c>
    </row>
    <row r="47" s="14" customFormat="1" ht="35" customHeight="1" spans="1:30">
      <c r="A47" s="64">
        <v>44</v>
      </c>
      <c r="B47" s="50" t="s">
        <v>123</v>
      </c>
      <c r="C47" s="65" t="s">
        <v>124</v>
      </c>
      <c r="D47" s="50">
        <v>-1.36881099999937</v>
      </c>
      <c r="E47" s="69">
        <v>305.54</v>
      </c>
      <c r="F47" s="50">
        <v>0</v>
      </c>
      <c r="G47" s="112">
        <v>0</v>
      </c>
      <c r="H47" s="50">
        <v>490.52</v>
      </c>
      <c r="I47" s="112">
        <v>0</v>
      </c>
      <c r="J47" s="81">
        <v>287.7</v>
      </c>
      <c r="K47" s="205"/>
      <c r="L47" s="81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>
        <f t="shared" si="3"/>
        <v>1083.76</v>
      </c>
      <c r="AC47" s="112">
        <f t="shared" si="4"/>
        <v>0</v>
      </c>
      <c r="AD47" s="112">
        <f t="shared" si="5"/>
        <v>-1085.128811</v>
      </c>
    </row>
    <row r="48" s="14" customFormat="1" ht="35" customHeight="1" spans="1:30">
      <c r="A48" s="64">
        <v>45</v>
      </c>
      <c r="B48" s="50" t="s">
        <v>125</v>
      </c>
      <c r="C48" s="65" t="s">
        <v>126</v>
      </c>
      <c r="D48" s="50">
        <v>162.528004000001</v>
      </c>
      <c r="E48" s="69">
        <v>224.91</v>
      </c>
      <c r="F48" s="50">
        <v>164.91</v>
      </c>
      <c r="G48" s="112">
        <v>0</v>
      </c>
      <c r="H48" s="50">
        <v>465.95</v>
      </c>
      <c r="I48" s="112">
        <v>465.95</v>
      </c>
      <c r="J48" s="81">
        <v>204.45</v>
      </c>
      <c r="K48" s="205">
        <v>204.45</v>
      </c>
      <c r="L48" s="81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>
        <f t="shared" si="3"/>
        <v>895.31</v>
      </c>
      <c r="AC48" s="112">
        <f t="shared" si="4"/>
        <v>835.31</v>
      </c>
      <c r="AD48" s="112">
        <f t="shared" si="5"/>
        <v>102.528004000001</v>
      </c>
    </row>
    <row r="49" s="14" customFormat="1" ht="35" customHeight="1" spans="1:30">
      <c r="A49" s="64">
        <v>46</v>
      </c>
      <c r="B49" s="50" t="s">
        <v>127</v>
      </c>
      <c r="C49" s="65" t="s">
        <v>128</v>
      </c>
      <c r="D49" s="50">
        <v>65.333474</v>
      </c>
      <c r="E49" s="69">
        <v>243.95</v>
      </c>
      <c r="F49" s="50">
        <v>440</v>
      </c>
      <c r="G49" s="112">
        <v>0</v>
      </c>
      <c r="H49" s="50">
        <v>391.1</v>
      </c>
      <c r="I49" s="112">
        <v>0</v>
      </c>
      <c r="J49" s="81">
        <v>210.98</v>
      </c>
      <c r="K49" s="205"/>
      <c r="L49" s="81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>
        <f t="shared" si="3"/>
        <v>846.03</v>
      </c>
      <c r="AC49" s="112">
        <f t="shared" si="4"/>
        <v>440</v>
      </c>
      <c r="AD49" s="112">
        <f t="shared" si="5"/>
        <v>-340.696526</v>
      </c>
    </row>
    <row r="50" s="14" customFormat="1" ht="35" customHeight="1" spans="1:30">
      <c r="A50" s="64">
        <v>47</v>
      </c>
      <c r="B50" s="50" t="s">
        <v>129</v>
      </c>
      <c r="C50" s="65" t="s">
        <v>130</v>
      </c>
      <c r="D50" s="50">
        <v>689.611389</v>
      </c>
      <c r="E50" s="69">
        <v>40.71</v>
      </c>
      <c r="F50" s="50">
        <v>0</v>
      </c>
      <c r="G50" s="112">
        <v>0</v>
      </c>
      <c r="H50" s="50">
        <v>66.05</v>
      </c>
      <c r="I50" s="112">
        <v>0</v>
      </c>
      <c r="J50" s="81">
        <v>38.5</v>
      </c>
      <c r="K50" s="205"/>
      <c r="L50" s="81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>
        <f t="shared" si="3"/>
        <v>145.26</v>
      </c>
      <c r="AC50" s="112">
        <f t="shared" si="4"/>
        <v>0</v>
      </c>
      <c r="AD50" s="112">
        <f t="shared" si="5"/>
        <v>544.351389</v>
      </c>
    </row>
    <row r="51" s="197" customFormat="1" ht="35" customHeight="1" spans="1:31">
      <c r="A51" s="64">
        <v>48</v>
      </c>
      <c r="B51" s="50" t="s">
        <v>131</v>
      </c>
      <c r="C51" s="65" t="s">
        <v>132</v>
      </c>
      <c r="D51" s="50">
        <v>-22.1530459999994</v>
      </c>
      <c r="E51" s="69">
        <v>208.12</v>
      </c>
      <c r="F51" s="50">
        <v>150</v>
      </c>
      <c r="G51" s="112">
        <v>0</v>
      </c>
      <c r="H51" s="50">
        <v>577.09</v>
      </c>
      <c r="I51" s="112">
        <v>0</v>
      </c>
      <c r="J51" s="81">
        <v>168.54</v>
      </c>
      <c r="K51" s="205"/>
      <c r="L51" s="81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>
        <f t="shared" si="3"/>
        <v>953.75</v>
      </c>
      <c r="AC51" s="112">
        <f t="shared" si="4"/>
        <v>150</v>
      </c>
      <c r="AD51" s="112">
        <f t="shared" si="5"/>
        <v>-825.903045999999</v>
      </c>
      <c r="AE51" s="14"/>
    </row>
    <row r="52" s="14" customFormat="1" ht="35" customHeight="1" spans="1:30">
      <c r="A52" s="64">
        <v>49</v>
      </c>
      <c r="B52" s="50" t="s">
        <v>133</v>
      </c>
      <c r="C52" s="65" t="s">
        <v>134</v>
      </c>
      <c r="D52" s="50">
        <v>725.950418999999</v>
      </c>
      <c r="E52" s="69">
        <v>202.52</v>
      </c>
      <c r="F52" s="50">
        <v>0</v>
      </c>
      <c r="G52" s="112">
        <v>2000</v>
      </c>
      <c r="H52" s="50">
        <v>463.15</v>
      </c>
      <c r="I52" s="112">
        <v>0</v>
      </c>
      <c r="J52" s="81">
        <v>182.14</v>
      </c>
      <c r="K52" s="205"/>
      <c r="L52" s="81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>
        <f t="shared" si="3"/>
        <v>847.81</v>
      </c>
      <c r="AC52" s="112">
        <f t="shared" si="4"/>
        <v>2000</v>
      </c>
      <c r="AD52" s="112">
        <f t="shared" si="5"/>
        <v>1878.140419</v>
      </c>
    </row>
    <row r="53" s="14" customFormat="1" ht="35" customHeight="1" spans="1:30">
      <c r="A53" s="64">
        <v>50</v>
      </c>
      <c r="B53" s="50" t="s">
        <v>135</v>
      </c>
      <c r="C53" s="65" t="s">
        <v>136</v>
      </c>
      <c r="D53" s="50">
        <v>50.5552490000009</v>
      </c>
      <c r="E53" s="69">
        <v>222.11</v>
      </c>
      <c r="F53" s="50">
        <v>222.11</v>
      </c>
      <c r="G53" s="112">
        <v>0</v>
      </c>
      <c r="H53" s="50">
        <v>627.36</v>
      </c>
      <c r="I53" s="112">
        <v>800</v>
      </c>
      <c r="J53" s="81">
        <v>284.98</v>
      </c>
      <c r="K53" s="205"/>
      <c r="L53" s="81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>
        <f t="shared" si="3"/>
        <v>1134.45</v>
      </c>
      <c r="AC53" s="112">
        <f t="shared" si="4"/>
        <v>1022.11</v>
      </c>
      <c r="AD53" s="112">
        <f t="shared" si="5"/>
        <v>-61.784750999999</v>
      </c>
    </row>
    <row r="54" s="197" customFormat="1" ht="35" customHeight="1" spans="1:31">
      <c r="A54" s="64">
        <v>51</v>
      </c>
      <c r="B54" s="50" t="s">
        <v>137</v>
      </c>
      <c r="C54" s="65" t="s">
        <v>138</v>
      </c>
      <c r="D54" s="50">
        <v>520.90857</v>
      </c>
      <c r="E54" s="69">
        <v>133.65</v>
      </c>
      <c r="F54" s="50">
        <v>0</v>
      </c>
      <c r="G54" s="112">
        <v>0</v>
      </c>
      <c r="H54" s="50">
        <v>310.68</v>
      </c>
      <c r="I54" s="112">
        <v>250</v>
      </c>
      <c r="J54" s="81">
        <v>124.47</v>
      </c>
      <c r="K54" s="205"/>
      <c r="L54" s="81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>
        <f t="shared" si="3"/>
        <v>568.8</v>
      </c>
      <c r="AC54" s="112">
        <f t="shared" si="4"/>
        <v>250</v>
      </c>
      <c r="AD54" s="112">
        <f t="shared" si="5"/>
        <v>202.10857</v>
      </c>
      <c r="AE54" s="14"/>
    </row>
    <row r="55" s="14" customFormat="1" ht="35" customHeight="1" spans="1:30">
      <c r="A55" s="64">
        <v>52</v>
      </c>
      <c r="B55" s="50" t="s">
        <v>139</v>
      </c>
      <c r="C55" s="65" t="s">
        <v>140</v>
      </c>
      <c r="D55" s="50">
        <v>430.682014</v>
      </c>
      <c r="E55" s="69">
        <v>116.3</v>
      </c>
      <c r="F55" s="50">
        <v>140</v>
      </c>
      <c r="G55" s="112">
        <v>0</v>
      </c>
      <c r="H55" s="50">
        <v>281.08</v>
      </c>
      <c r="I55" s="112">
        <v>300</v>
      </c>
      <c r="J55" s="81">
        <v>103.79</v>
      </c>
      <c r="K55" s="205">
        <v>200</v>
      </c>
      <c r="L55" s="81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>
        <f t="shared" si="3"/>
        <v>501.17</v>
      </c>
      <c r="AC55" s="112">
        <f t="shared" si="4"/>
        <v>640</v>
      </c>
      <c r="AD55" s="112">
        <f t="shared" si="5"/>
        <v>569.512014</v>
      </c>
    </row>
    <row r="56" s="14" customFormat="1" ht="35" customHeight="1" spans="1:30">
      <c r="A56" s="64">
        <v>53</v>
      </c>
      <c r="B56" s="50" t="s">
        <v>141</v>
      </c>
      <c r="C56" s="65" t="s">
        <v>142</v>
      </c>
      <c r="D56" s="50">
        <v>178.959876</v>
      </c>
      <c r="E56" s="69">
        <v>148.77</v>
      </c>
      <c r="F56" s="50">
        <v>148.77</v>
      </c>
      <c r="G56" s="112">
        <v>0</v>
      </c>
      <c r="H56" s="50">
        <v>452.54</v>
      </c>
      <c r="I56" s="112">
        <v>600</v>
      </c>
      <c r="J56" s="81">
        <v>166.91</v>
      </c>
      <c r="K56" s="205"/>
      <c r="L56" s="81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>
        <f t="shared" si="3"/>
        <v>768.22</v>
      </c>
      <c r="AC56" s="112">
        <f t="shared" si="4"/>
        <v>748.77</v>
      </c>
      <c r="AD56" s="112">
        <f t="shared" si="5"/>
        <v>159.509876</v>
      </c>
    </row>
    <row r="57" s="14" customFormat="1" ht="35" customHeight="1" spans="1:30">
      <c r="A57" s="64">
        <v>54</v>
      </c>
      <c r="B57" s="50" t="s">
        <v>143</v>
      </c>
      <c r="C57" s="65" t="s">
        <v>144</v>
      </c>
      <c r="D57" s="50">
        <v>-723.899259000001</v>
      </c>
      <c r="E57" s="69">
        <v>240.03</v>
      </c>
      <c r="F57" s="50">
        <v>240</v>
      </c>
      <c r="G57" s="112">
        <v>300</v>
      </c>
      <c r="H57" s="50">
        <v>440.25</v>
      </c>
      <c r="I57" s="112">
        <v>200</v>
      </c>
      <c r="J57" s="81">
        <v>248.52</v>
      </c>
      <c r="K57" s="205">
        <v>300</v>
      </c>
      <c r="L57" s="81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>
        <f t="shared" si="3"/>
        <v>928.8</v>
      </c>
      <c r="AC57" s="112">
        <f t="shared" si="4"/>
        <v>1040</v>
      </c>
      <c r="AD57" s="112">
        <f t="shared" si="5"/>
        <v>-612.699259000001</v>
      </c>
    </row>
    <row r="58" s="14" customFormat="1" ht="35" customHeight="1" spans="1:30">
      <c r="A58" s="64">
        <v>55</v>
      </c>
      <c r="B58" s="50" t="s">
        <v>145</v>
      </c>
      <c r="C58" s="65" t="s">
        <v>146</v>
      </c>
      <c r="D58" s="50">
        <v>105.131396</v>
      </c>
      <c r="E58" s="69">
        <v>418.63</v>
      </c>
      <c r="F58" s="50">
        <v>418.63</v>
      </c>
      <c r="G58" s="112">
        <v>0</v>
      </c>
      <c r="H58" s="50">
        <v>757.49</v>
      </c>
      <c r="I58" s="112">
        <v>1000</v>
      </c>
      <c r="J58" s="81">
        <v>187.04</v>
      </c>
      <c r="K58" s="205"/>
      <c r="L58" s="81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>
        <f t="shared" si="3"/>
        <v>1363.16</v>
      </c>
      <c r="AC58" s="112">
        <f t="shared" si="4"/>
        <v>1418.63</v>
      </c>
      <c r="AD58" s="112">
        <f t="shared" si="5"/>
        <v>160.601396</v>
      </c>
    </row>
    <row r="59" s="14" customFormat="1" ht="35" customHeight="1" spans="1:30">
      <c r="A59" s="64">
        <v>56</v>
      </c>
      <c r="B59" s="50" t="s">
        <v>147</v>
      </c>
      <c r="C59" s="65" t="s">
        <v>148</v>
      </c>
      <c r="D59" s="50">
        <v>349.31817</v>
      </c>
      <c r="E59" s="69">
        <v>463.42</v>
      </c>
      <c r="F59" s="50">
        <v>463.42</v>
      </c>
      <c r="G59" s="112">
        <v>0</v>
      </c>
      <c r="H59" s="50">
        <v>895.45</v>
      </c>
      <c r="I59" s="112">
        <v>800</v>
      </c>
      <c r="J59" s="81">
        <v>362.78</v>
      </c>
      <c r="K59" s="205"/>
      <c r="L59" s="81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>
        <f t="shared" si="3"/>
        <v>1721.65</v>
      </c>
      <c r="AC59" s="112">
        <f t="shared" si="4"/>
        <v>1263.42</v>
      </c>
      <c r="AD59" s="112">
        <f t="shared" si="5"/>
        <v>-108.91183</v>
      </c>
    </row>
    <row r="60" s="14" customFormat="1" ht="35" customHeight="1" spans="1:30">
      <c r="A60" s="64">
        <v>57</v>
      </c>
      <c r="B60" s="50" t="s">
        <v>149</v>
      </c>
      <c r="C60" s="65" t="s">
        <v>150</v>
      </c>
      <c r="D60" s="50">
        <v>364.660411</v>
      </c>
      <c r="E60" s="69">
        <v>405.2</v>
      </c>
      <c r="F60" s="50">
        <v>0</v>
      </c>
      <c r="G60" s="112">
        <v>1000</v>
      </c>
      <c r="H60" s="50">
        <v>936.22</v>
      </c>
      <c r="I60" s="112">
        <v>0</v>
      </c>
      <c r="J60" s="81">
        <v>318.71</v>
      </c>
      <c r="K60" s="205">
        <v>440</v>
      </c>
      <c r="L60" s="81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>
        <f t="shared" si="3"/>
        <v>1660.13</v>
      </c>
      <c r="AC60" s="112">
        <f t="shared" si="4"/>
        <v>1440</v>
      </c>
      <c r="AD60" s="112">
        <f t="shared" si="5"/>
        <v>144.530411</v>
      </c>
    </row>
    <row r="61" s="14" customFormat="1" ht="35" customHeight="1" spans="1:30">
      <c r="A61" s="64">
        <v>58</v>
      </c>
      <c r="B61" s="50" t="s">
        <v>151</v>
      </c>
      <c r="C61" s="65" t="s">
        <v>152</v>
      </c>
      <c r="D61" s="50">
        <v>593.061156</v>
      </c>
      <c r="E61" s="69">
        <v>273.06</v>
      </c>
      <c r="F61" s="50">
        <v>273.06</v>
      </c>
      <c r="G61" s="112">
        <v>0</v>
      </c>
      <c r="H61" s="50">
        <v>473.77</v>
      </c>
      <c r="I61" s="112">
        <v>500</v>
      </c>
      <c r="J61" s="81">
        <v>249.07</v>
      </c>
      <c r="K61" s="205"/>
      <c r="L61" s="81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>
        <f t="shared" si="3"/>
        <v>995.9</v>
      </c>
      <c r="AC61" s="112">
        <f t="shared" si="4"/>
        <v>773.06</v>
      </c>
      <c r="AD61" s="112">
        <f t="shared" si="5"/>
        <v>370.221156</v>
      </c>
    </row>
    <row r="62" s="14" customFormat="1" ht="35" customHeight="1" spans="1:30">
      <c r="A62" s="64">
        <v>59</v>
      </c>
      <c r="B62" s="50" t="s">
        <v>153</v>
      </c>
      <c r="C62" s="65" t="s">
        <v>154</v>
      </c>
      <c r="D62" s="50">
        <v>1288.721056</v>
      </c>
      <c r="E62" s="69">
        <v>212.6</v>
      </c>
      <c r="F62" s="50">
        <v>212.6</v>
      </c>
      <c r="G62" s="112">
        <v>0</v>
      </c>
      <c r="H62" s="50">
        <v>440.81</v>
      </c>
      <c r="I62" s="112">
        <v>650</v>
      </c>
      <c r="J62" s="81">
        <v>153.31</v>
      </c>
      <c r="K62" s="205"/>
      <c r="L62" s="81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>
        <f t="shared" si="3"/>
        <v>806.72</v>
      </c>
      <c r="AC62" s="112">
        <f t="shared" si="4"/>
        <v>862.6</v>
      </c>
      <c r="AD62" s="112">
        <f t="shared" si="5"/>
        <v>1344.601056</v>
      </c>
    </row>
    <row r="63" s="14" customFormat="1" ht="35" customHeight="1" spans="1:30">
      <c r="A63" s="64">
        <v>60</v>
      </c>
      <c r="B63" s="50" t="s">
        <v>155</v>
      </c>
      <c r="C63" s="193" t="s">
        <v>156</v>
      </c>
      <c r="D63" s="50">
        <v>-290.028429999999</v>
      </c>
      <c r="E63" s="69">
        <v>188.52</v>
      </c>
      <c r="F63" s="50">
        <v>188.52</v>
      </c>
      <c r="G63" s="112">
        <v>0</v>
      </c>
      <c r="H63" s="50">
        <v>583.78</v>
      </c>
      <c r="I63" s="112">
        <v>700</v>
      </c>
      <c r="J63" s="81">
        <v>187.04</v>
      </c>
      <c r="K63" s="205"/>
      <c r="L63" s="81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>
        <f t="shared" si="3"/>
        <v>959.34</v>
      </c>
      <c r="AC63" s="112">
        <f t="shared" si="4"/>
        <v>888.52</v>
      </c>
      <c r="AD63" s="112">
        <f t="shared" si="5"/>
        <v>-360.848429999999</v>
      </c>
    </row>
    <row r="64" s="14" customFormat="1" ht="35" customHeight="1" spans="1:30">
      <c r="A64" s="64">
        <v>61</v>
      </c>
      <c r="B64" s="50" t="s">
        <v>157</v>
      </c>
      <c r="C64" s="193" t="s">
        <v>158</v>
      </c>
      <c r="D64" s="50">
        <v>177.928996</v>
      </c>
      <c r="E64" s="69">
        <v>148.21</v>
      </c>
      <c r="F64" s="50">
        <v>240</v>
      </c>
      <c r="G64" s="112">
        <v>0</v>
      </c>
      <c r="H64" s="50">
        <v>306.77</v>
      </c>
      <c r="I64" s="112">
        <v>310</v>
      </c>
      <c r="J64" s="81">
        <v>128.28</v>
      </c>
      <c r="K64" s="205"/>
      <c r="L64" s="81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>
        <f t="shared" si="3"/>
        <v>583.26</v>
      </c>
      <c r="AC64" s="112">
        <f t="shared" si="4"/>
        <v>550</v>
      </c>
      <c r="AD64" s="112">
        <f t="shared" si="5"/>
        <v>144.668996</v>
      </c>
    </row>
    <row r="65" s="14" customFormat="1" ht="35" customHeight="1" spans="1:30">
      <c r="A65" s="64">
        <v>62</v>
      </c>
      <c r="B65" s="50" t="s">
        <v>159</v>
      </c>
      <c r="C65" s="65" t="s">
        <v>160</v>
      </c>
      <c r="D65" s="50">
        <v>501.479391000001</v>
      </c>
      <c r="E65" s="69">
        <v>93.9</v>
      </c>
      <c r="F65" s="50">
        <v>0</v>
      </c>
      <c r="G65" s="112">
        <v>0</v>
      </c>
      <c r="H65" s="50">
        <v>382.17</v>
      </c>
      <c r="I65" s="112">
        <v>383</v>
      </c>
      <c r="J65" s="81">
        <v>96.18</v>
      </c>
      <c r="K65" s="205">
        <v>37</v>
      </c>
      <c r="L65" s="81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>
        <f t="shared" si="3"/>
        <v>572.25</v>
      </c>
      <c r="AC65" s="112">
        <f t="shared" si="4"/>
        <v>420</v>
      </c>
      <c r="AD65" s="112">
        <f t="shared" si="5"/>
        <v>349.229391000001</v>
      </c>
    </row>
    <row r="66" s="14" customFormat="1" ht="35" customHeight="1" spans="1:30">
      <c r="A66" s="64">
        <v>63</v>
      </c>
      <c r="B66" s="50" t="s">
        <v>161</v>
      </c>
      <c r="C66" s="65" t="s">
        <v>162</v>
      </c>
      <c r="D66" s="50">
        <v>1070.722181</v>
      </c>
      <c r="E66" s="69">
        <v>279.78</v>
      </c>
      <c r="F66" s="50">
        <v>279.78</v>
      </c>
      <c r="G66" s="112">
        <v>0</v>
      </c>
      <c r="H66" s="50">
        <v>568.71</v>
      </c>
      <c r="I66" s="112">
        <v>800</v>
      </c>
      <c r="J66" s="81">
        <v>219.69</v>
      </c>
      <c r="K66" s="205"/>
      <c r="L66" s="81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>
        <f t="shared" si="3"/>
        <v>1068.18</v>
      </c>
      <c r="AC66" s="112">
        <f t="shared" si="4"/>
        <v>1079.78</v>
      </c>
      <c r="AD66" s="112">
        <f t="shared" si="5"/>
        <v>1082.322181</v>
      </c>
    </row>
    <row r="67" s="14" customFormat="1" ht="35" customHeight="1" spans="1:30">
      <c r="A67" s="64">
        <v>64</v>
      </c>
      <c r="B67" s="50" t="s">
        <v>163</v>
      </c>
      <c r="C67" s="65" t="s">
        <v>164</v>
      </c>
      <c r="D67" s="50">
        <v>-318.979944</v>
      </c>
      <c r="E67" s="69">
        <v>251.79</v>
      </c>
      <c r="F67" s="50">
        <v>251.79</v>
      </c>
      <c r="G67" s="112">
        <v>0</v>
      </c>
      <c r="H67" s="50">
        <v>579.33</v>
      </c>
      <c r="I67" s="112">
        <v>700</v>
      </c>
      <c r="J67" s="81">
        <v>294.77</v>
      </c>
      <c r="K67" s="205"/>
      <c r="L67" s="81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>
        <f t="shared" si="3"/>
        <v>1125.89</v>
      </c>
      <c r="AC67" s="112">
        <f t="shared" si="4"/>
        <v>951.79</v>
      </c>
      <c r="AD67" s="112">
        <f t="shared" si="5"/>
        <v>-493.079944</v>
      </c>
    </row>
    <row r="68" s="14" customFormat="1" ht="35" customHeight="1" spans="1:30">
      <c r="A68" s="64">
        <v>65</v>
      </c>
      <c r="B68" s="112"/>
      <c r="C68" s="112" t="s">
        <v>165</v>
      </c>
      <c r="D68" s="50">
        <v>387.2163</v>
      </c>
      <c r="E68" s="69">
        <v>55.99</v>
      </c>
      <c r="F68" s="50"/>
      <c r="G68" s="112">
        <v>0</v>
      </c>
      <c r="H68" s="50">
        <v>81.54</v>
      </c>
      <c r="I68" s="112">
        <v>400</v>
      </c>
      <c r="J68" s="81">
        <v>31.56</v>
      </c>
      <c r="K68" s="205"/>
      <c r="L68" s="81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>
        <f t="shared" si="3"/>
        <v>169.09</v>
      </c>
      <c r="AC68" s="112">
        <f t="shared" si="4"/>
        <v>400</v>
      </c>
      <c r="AD68" s="112">
        <f t="shared" si="5"/>
        <v>618.1263</v>
      </c>
    </row>
    <row r="69" s="14" customFormat="1" ht="35" customHeight="1" spans="1:30">
      <c r="A69" s="64">
        <v>66</v>
      </c>
      <c r="B69" s="112"/>
      <c r="C69" s="69" t="s">
        <v>166</v>
      </c>
      <c r="D69" s="50">
        <v>-241.61</v>
      </c>
      <c r="E69" s="69"/>
      <c r="F69" s="50"/>
      <c r="G69" s="112"/>
      <c r="H69" s="50"/>
      <c r="I69" s="112"/>
      <c r="J69" s="81"/>
      <c r="K69" s="205"/>
      <c r="L69" s="81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>
        <f t="shared" ref="AB69:AB100" si="6">E69+H69+J69+L69+N69+P69+R69+T69+V69+X69+Z69</f>
        <v>0</v>
      </c>
      <c r="AC69" s="112">
        <f t="shared" ref="AC69:AC100" si="7">F69+G69+I69+K69+M69+O69+Q69+S69+U69+W69+Y69+AA69</f>
        <v>0</v>
      </c>
      <c r="AD69" s="112">
        <f t="shared" ref="AD69:AD100" si="8">D69+AC69-AB69</f>
        <v>-241.61</v>
      </c>
    </row>
    <row r="70" s="14" customFormat="1" ht="35" customHeight="1" spans="1:30">
      <c r="A70" s="64">
        <v>67</v>
      </c>
      <c r="B70" s="50" t="s">
        <v>167</v>
      </c>
      <c r="C70" s="65" t="s">
        <v>168</v>
      </c>
      <c r="D70" s="50">
        <v>150.260772000001</v>
      </c>
      <c r="E70" s="69">
        <v>280.36</v>
      </c>
      <c r="F70" s="50">
        <v>280.36</v>
      </c>
      <c r="G70" s="112">
        <v>0</v>
      </c>
      <c r="H70" s="69">
        <v>520.21</v>
      </c>
      <c r="I70" s="112">
        <v>600</v>
      </c>
      <c r="J70" s="81">
        <v>215.54</v>
      </c>
      <c r="K70" s="81"/>
      <c r="L70" s="81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>
        <f t="shared" si="6"/>
        <v>1016.11</v>
      </c>
      <c r="AC70" s="112">
        <f t="shared" si="7"/>
        <v>880.36</v>
      </c>
      <c r="AD70" s="112">
        <f t="shared" si="8"/>
        <v>14.5107720000007</v>
      </c>
    </row>
    <row r="71" s="14" customFormat="1" ht="35" customHeight="1" spans="1:30">
      <c r="A71" s="64">
        <v>68</v>
      </c>
      <c r="B71" s="50" t="s">
        <v>169</v>
      </c>
      <c r="C71" s="65" t="s">
        <v>170</v>
      </c>
      <c r="D71" s="50">
        <v>461.312253</v>
      </c>
      <c r="E71" s="69">
        <v>10.5</v>
      </c>
      <c r="F71" s="50">
        <v>0</v>
      </c>
      <c r="G71" s="112">
        <v>0</v>
      </c>
      <c r="H71" s="69">
        <v>19.78</v>
      </c>
      <c r="I71" s="112">
        <v>0</v>
      </c>
      <c r="J71" s="81">
        <v>10.41</v>
      </c>
      <c r="K71" s="81"/>
      <c r="L71" s="81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>
        <f t="shared" si="6"/>
        <v>40.69</v>
      </c>
      <c r="AC71" s="112">
        <f t="shared" si="7"/>
        <v>0</v>
      </c>
      <c r="AD71" s="112">
        <f t="shared" si="8"/>
        <v>420.622253</v>
      </c>
    </row>
    <row r="72" s="14" customFormat="1" ht="35" customHeight="1" spans="1:30">
      <c r="A72" s="64">
        <v>69</v>
      </c>
      <c r="B72" s="50" t="s">
        <v>171</v>
      </c>
      <c r="C72" s="65" t="s">
        <v>172</v>
      </c>
      <c r="D72" s="50">
        <v>230.487418</v>
      </c>
      <c r="E72" s="69">
        <v>273.64</v>
      </c>
      <c r="F72" s="50">
        <f>2273.64-60</f>
        <v>2213.64</v>
      </c>
      <c r="G72" s="112">
        <v>0</v>
      </c>
      <c r="H72" s="69">
        <v>801.71</v>
      </c>
      <c r="I72" s="112">
        <v>0</v>
      </c>
      <c r="J72" s="81">
        <v>176.36</v>
      </c>
      <c r="K72" s="81"/>
      <c r="L72" s="81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>
        <f t="shared" si="6"/>
        <v>1251.71</v>
      </c>
      <c r="AC72" s="112">
        <f t="shared" si="7"/>
        <v>2213.64</v>
      </c>
      <c r="AD72" s="112">
        <f t="shared" si="8"/>
        <v>1192.417418</v>
      </c>
    </row>
    <row r="73" s="14" customFormat="1" ht="35" customHeight="1" spans="1:30">
      <c r="A73" s="64">
        <v>70</v>
      </c>
      <c r="B73" s="50" t="s">
        <v>173</v>
      </c>
      <c r="C73" s="65" t="s">
        <v>174</v>
      </c>
      <c r="D73" s="50">
        <v>-18.3111280000003</v>
      </c>
      <c r="E73" s="69">
        <v>163.34</v>
      </c>
      <c r="F73" s="50">
        <v>440</v>
      </c>
      <c r="G73" s="112">
        <v>0</v>
      </c>
      <c r="H73" s="69">
        <v>514.63</v>
      </c>
      <c r="I73" s="112">
        <v>0</v>
      </c>
      <c r="J73" s="81">
        <v>210.1</v>
      </c>
      <c r="K73" s="81"/>
      <c r="L73" s="81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>
        <f t="shared" si="6"/>
        <v>888.07</v>
      </c>
      <c r="AC73" s="112">
        <f t="shared" si="7"/>
        <v>440</v>
      </c>
      <c r="AD73" s="112">
        <f t="shared" si="8"/>
        <v>-466.381128</v>
      </c>
    </row>
    <row r="74" s="14" customFormat="1" ht="35" customHeight="1" spans="1:30">
      <c r="A74" s="64">
        <v>71</v>
      </c>
      <c r="B74" s="50" t="s">
        <v>175</v>
      </c>
      <c r="C74" s="65" t="s">
        <v>176</v>
      </c>
      <c r="D74" s="50">
        <v>721.694872</v>
      </c>
      <c r="E74" s="69">
        <v>189.1</v>
      </c>
      <c r="F74" s="50">
        <v>189.1</v>
      </c>
      <c r="G74" s="112">
        <v>0</v>
      </c>
      <c r="H74" s="69">
        <v>258.83</v>
      </c>
      <c r="I74" s="112">
        <v>400</v>
      </c>
      <c r="J74" s="81">
        <v>272.67</v>
      </c>
      <c r="K74" s="81"/>
      <c r="L74" s="81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>
        <f t="shared" si="6"/>
        <v>720.6</v>
      </c>
      <c r="AC74" s="112">
        <f t="shared" si="7"/>
        <v>589.1</v>
      </c>
      <c r="AD74" s="112">
        <f t="shared" si="8"/>
        <v>590.194872</v>
      </c>
    </row>
    <row r="75" s="14" customFormat="1" ht="35" customHeight="1" spans="1:30">
      <c r="A75" s="64">
        <v>72</v>
      </c>
      <c r="B75" s="50" t="s">
        <v>177</v>
      </c>
      <c r="C75" s="65" t="s">
        <v>178</v>
      </c>
      <c r="D75" s="50">
        <v>230.045973</v>
      </c>
      <c r="E75" s="69">
        <v>137.03</v>
      </c>
      <c r="F75" s="50">
        <v>0</v>
      </c>
      <c r="G75" s="112">
        <v>0</v>
      </c>
      <c r="H75" s="69">
        <v>448.17</v>
      </c>
      <c r="I75" s="112">
        <v>0</v>
      </c>
      <c r="J75" s="81">
        <v>174.73</v>
      </c>
      <c r="K75" s="81"/>
      <c r="L75" s="81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>
        <f t="shared" si="6"/>
        <v>759.93</v>
      </c>
      <c r="AC75" s="112">
        <f t="shared" si="7"/>
        <v>0</v>
      </c>
      <c r="AD75" s="112">
        <f t="shared" si="8"/>
        <v>-529.884027</v>
      </c>
    </row>
    <row r="76" s="14" customFormat="1" ht="35" customHeight="1" spans="1:30">
      <c r="A76" s="64">
        <v>73</v>
      </c>
      <c r="B76" s="50" t="s">
        <v>179</v>
      </c>
      <c r="C76" s="65" t="s">
        <v>180</v>
      </c>
      <c r="D76" s="50">
        <v>-208.819047</v>
      </c>
      <c r="E76" s="69">
        <v>222.13</v>
      </c>
      <c r="F76" s="50">
        <v>40</v>
      </c>
      <c r="G76" s="112">
        <v>0</v>
      </c>
      <c r="H76" s="69">
        <v>447.05</v>
      </c>
      <c r="I76" s="112">
        <v>200</v>
      </c>
      <c r="J76" s="81">
        <v>204.66</v>
      </c>
      <c r="K76" s="81"/>
      <c r="L76" s="81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>
        <f t="shared" si="6"/>
        <v>873.84</v>
      </c>
      <c r="AC76" s="112">
        <f t="shared" si="7"/>
        <v>240</v>
      </c>
      <c r="AD76" s="112">
        <f t="shared" si="8"/>
        <v>-842.659047</v>
      </c>
    </row>
    <row r="77" s="14" customFormat="1" ht="35" customHeight="1" spans="1:30">
      <c r="A77" s="64">
        <v>74</v>
      </c>
      <c r="B77" s="50" t="s">
        <v>181</v>
      </c>
      <c r="C77" s="65" t="s">
        <v>182</v>
      </c>
      <c r="D77" s="50">
        <v>298.88</v>
      </c>
      <c r="E77" s="69"/>
      <c r="F77" s="50">
        <v>0</v>
      </c>
      <c r="G77" s="112">
        <v>0</v>
      </c>
      <c r="H77" s="69">
        <v>0</v>
      </c>
      <c r="I77" s="112">
        <v>0</v>
      </c>
      <c r="J77" s="81">
        <v>0</v>
      </c>
      <c r="K77" s="81"/>
      <c r="L77" s="81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>
        <f t="shared" si="6"/>
        <v>0</v>
      </c>
      <c r="AC77" s="112">
        <f t="shared" si="7"/>
        <v>0</v>
      </c>
      <c r="AD77" s="112">
        <f t="shared" si="8"/>
        <v>298.88</v>
      </c>
    </row>
    <row r="78" s="14" customFormat="1" ht="35" customHeight="1" spans="1:30">
      <c r="A78" s="64">
        <v>75</v>
      </c>
      <c r="B78" s="50" t="s">
        <v>183</v>
      </c>
      <c r="C78" s="65" t="s">
        <v>184</v>
      </c>
      <c r="D78" s="50">
        <v>-76.1331279999986</v>
      </c>
      <c r="E78" s="69">
        <v>345.86</v>
      </c>
      <c r="F78" s="50">
        <v>0</v>
      </c>
      <c r="G78" s="112">
        <v>0</v>
      </c>
      <c r="H78" s="69">
        <v>557.08</v>
      </c>
      <c r="I78" s="112">
        <v>0</v>
      </c>
      <c r="J78" s="81">
        <v>273.21</v>
      </c>
      <c r="K78" s="81"/>
      <c r="L78" s="81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>
        <f t="shared" si="6"/>
        <v>1176.15</v>
      </c>
      <c r="AC78" s="112">
        <f t="shared" si="7"/>
        <v>0</v>
      </c>
      <c r="AD78" s="112">
        <f t="shared" si="8"/>
        <v>-1252.283128</v>
      </c>
    </row>
    <row r="79" s="14" customFormat="1" ht="35" customHeight="1" spans="1:30">
      <c r="A79" s="64">
        <v>76</v>
      </c>
      <c r="B79" s="50" t="s">
        <v>185</v>
      </c>
      <c r="C79" s="65" t="s">
        <v>186</v>
      </c>
      <c r="D79" s="50">
        <v>203.823708</v>
      </c>
      <c r="E79" s="69">
        <v>65.92</v>
      </c>
      <c r="F79" s="50">
        <v>0</v>
      </c>
      <c r="G79" s="112">
        <v>0</v>
      </c>
      <c r="H79" s="69">
        <v>173.93</v>
      </c>
      <c r="I79" s="112">
        <v>0</v>
      </c>
      <c r="J79" s="81">
        <v>53.94</v>
      </c>
      <c r="K79" s="81"/>
      <c r="L79" s="81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>
        <f t="shared" si="6"/>
        <v>293.79</v>
      </c>
      <c r="AC79" s="112">
        <f t="shared" si="7"/>
        <v>0</v>
      </c>
      <c r="AD79" s="112">
        <f t="shared" si="8"/>
        <v>-89.966292</v>
      </c>
    </row>
    <row r="80" s="14" customFormat="1" ht="35" customHeight="1" spans="1:30">
      <c r="A80" s="64">
        <v>77</v>
      </c>
      <c r="B80" s="50" t="s">
        <v>187</v>
      </c>
      <c r="C80" s="196" t="s">
        <v>188</v>
      </c>
      <c r="D80" s="50">
        <v>95.6301720000006</v>
      </c>
      <c r="E80" s="69">
        <v>259.64</v>
      </c>
      <c r="F80" s="50">
        <v>138.43</v>
      </c>
      <c r="G80" s="112">
        <v>0</v>
      </c>
      <c r="H80" s="69">
        <v>683.3</v>
      </c>
      <c r="I80" s="112">
        <v>1500</v>
      </c>
      <c r="J80" s="81">
        <v>164.94</v>
      </c>
      <c r="K80" s="81"/>
      <c r="L80" s="81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>
        <f t="shared" si="6"/>
        <v>1107.88</v>
      </c>
      <c r="AC80" s="112">
        <f t="shared" si="7"/>
        <v>1638.43</v>
      </c>
      <c r="AD80" s="112">
        <f t="shared" si="8"/>
        <v>626.180172000001</v>
      </c>
    </row>
    <row r="81" s="14" customFormat="1" ht="35" customHeight="1" spans="1:30">
      <c r="A81" s="64">
        <v>78</v>
      </c>
      <c r="B81" s="50" t="s">
        <v>189</v>
      </c>
      <c r="C81" s="65" t="s">
        <v>190</v>
      </c>
      <c r="D81" s="50">
        <v>-958.833141999999</v>
      </c>
      <c r="E81" s="69">
        <v>433.76</v>
      </c>
      <c r="F81" s="50">
        <v>1382.25</v>
      </c>
      <c r="G81" s="112">
        <v>0</v>
      </c>
      <c r="H81" s="69">
        <v>924.02</v>
      </c>
      <c r="I81" s="112">
        <v>924.02</v>
      </c>
      <c r="J81" s="81">
        <v>431</v>
      </c>
      <c r="K81" s="81">
        <v>500</v>
      </c>
      <c r="L81" s="81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>
        <f t="shared" si="6"/>
        <v>1788.78</v>
      </c>
      <c r="AC81" s="112">
        <f t="shared" si="7"/>
        <v>2806.27</v>
      </c>
      <c r="AD81" s="112">
        <f t="shared" si="8"/>
        <v>58.656858000001</v>
      </c>
    </row>
    <row r="82" s="14" customFormat="1" ht="35" customHeight="1" spans="1:30">
      <c r="A82" s="64">
        <v>79</v>
      </c>
      <c r="B82" s="50" t="s">
        <v>191</v>
      </c>
      <c r="C82" s="65" t="s">
        <v>192</v>
      </c>
      <c r="D82" s="50">
        <v>367.338872000001</v>
      </c>
      <c r="E82" s="69">
        <v>250.12</v>
      </c>
      <c r="F82" s="50">
        <v>250.12</v>
      </c>
      <c r="G82" s="112">
        <v>0</v>
      </c>
      <c r="H82" s="69">
        <v>711.23</v>
      </c>
      <c r="I82" s="112">
        <v>800</v>
      </c>
      <c r="J82" s="81">
        <v>198.13</v>
      </c>
      <c r="K82" s="81"/>
      <c r="L82" s="81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>
        <f t="shared" si="6"/>
        <v>1159.48</v>
      </c>
      <c r="AC82" s="112">
        <f t="shared" si="7"/>
        <v>1050.12</v>
      </c>
      <c r="AD82" s="112">
        <f t="shared" si="8"/>
        <v>257.978872000001</v>
      </c>
    </row>
    <row r="83" s="14" customFormat="1" ht="35" customHeight="1" spans="1:30">
      <c r="A83" s="64">
        <v>80</v>
      </c>
      <c r="B83" s="50" t="s">
        <v>193</v>
      </c>
      <c r="C83" s="65" t="s">
        <v>194</v>
      </c>
      <c r="D83" s="50">
        <v>290.75</v>
      </c>
      <c r="E83" s="69"/>
      <c r="F83" s="50">
        <v>0</v>
      </c>
      <c r="G83" s="112">
        <v>0</v>
      </c>
      <c r="H83" s="69">
        <v>0</v>
      </c>
      <c r="I83" s="112">
        <v>0</v>
      </c>
      <c r="J83" s="81">
        <v>0</v>
      </c>
      <c r="K83" s="81"/>
      <c r="L83" s="81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>
        <f t="shared" si="6"/>
        <v>0</v>
      </c>
      <c r="AC83" s="112">
        <f t="shared" si="7"/>
        <v>0</v>
      </c>
      <c r="AD83" s="112">
        <f t="shared" si="8"/>
        <v>290.75</v>
      </c>
    </row>
    <row r="84" s="14" customFormat="1" ht="35" customHeight="1" spans="1:30">
      <c r="A84" s="64">
        <v>81</v>
      </c>
      <c r="B84" s="50" t="s">
        <v>195</v>
      </c>
      <c r="C84" s="65" t="s">
        <v>196</v>
      </c>
      <c r="D84" s="50">
        <v>5301.678463</v>
      </c>
      <c r="E84" s="69">
        <v>282.04</v>
      </c>
      <c r="F84" s="50">
        <v>0</v>
      </c>
      <c r="G84" s="112">
        <v>0</v>
      </c>
      <c r="H84" s="69">
        <v>566.57</v>
      </c>
      <c r="I84" s="112">
        <v>0</v>
      </c>
      <c r="J84" s="81">
        <v>237.85</v>
      </c>
      <c r="K84" s="81"/>
      <c r="L84" s="81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>
        <f t="shared" si="6"/>
        <v>1086.46</v>
      </c>
      <c r="AC84" s="112">
        <f t="shared" si="7"/>
        <v>0</v>
      </c>
      <c r="AD84" s="112">
        <f t="shared" si="8"/>
        <v>4215.218463</v>
      </c>
    </row>
    <row r="85" s="14" customFormat="1" ht="35" customHeight="1" spans="1:30">
      <c r="A85" s="64">
        <v>82</v>
      </c>
      <c r="B85" s="50" t="s">
        <v>197</v>
      </c>
      <c r="C85" s="65" t="s">
        <v>198</v>
      </c>
      <c r="D85" s="50">
        <v>81.5140379999993</v>
      </c>
      <c r="E85" s="69">
        <v>376.1</v>
      </c>
      <c r="F85" s="50">
        <v>0</v>
      </c>
      <c r="G85" s="112">
        <v>500</v>
      </c>
      <c r="H85" s="69">
        <v>777.13</v>
      </c>
      <c r="I85" s="112">
        <v>0</v>
      </c>
      <c r="J85" s="81">
        <v>281.92</v>
      </c>
      <c r="K85" s="81"/>
      <c r="L85" s="81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>
        <f t="shared" si="6"/>
        <v>1435.15</v>
      </c>
      <c r="AC85" s="112">
        <f t="shared" si="7"/>
        <v>500</v>
      </c>
      <c r="AD85" s="112">
        <f t="shared" si="8"/>
        <v>-853.635962000001</v>
      </c>
    </row>
    <row r="86" s="14" customFormat="1" ht="35" customHeight="1" spans="1:30">
      <c r="A86" s="64">
        <v>83</v>
      </c>
      <c r="B86" s="50" t="s">
        <v>199</v>
      </c>
      <c r="C86" s="65" t="s">
        <v>200</v>
      </c>
      <c r="D86" s="50">
        <v>447.407593000001</v>
      </c>
      <c r="E86" s="69">
        <v>172.86</v>
      </c>
      <c r="F86" s="50">
        <v>173</v>
      </c>
      <c r="G86" s="112">
        <v>0</v>
      </c>
      <c r="H86" s="69">
        <v>272.23</v>
      </c>
      <c r="I86" s="112">
        <v>280</v>
      </c>
      <c r="J86" s="81">
        <v>187.25</v>
      </c>
      <c r="K86" s="81"/>
      <c r="L86" s="81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>
        <f t="shared" si="6"/>
        <v>632.34</v>
      </c>
      <c r="AC86" s="112">
        <f t="shared" si="7"/>
        <v>453</v>
      </c>
      <c r="AD86" s="112">
        <f t="shared" si="8"/>
        <v>268.067593000001</v>
      </c>
    </row>
    <row r="87" s="14" customFormat="1" ht="35" customHeight="1" spans="1:30">
      <c r="A87" s="64">
        <v>84</v>
      </c>
      <c r="B87" s="50" t="s">
        <v>201</v>
      </c>
      <c r="C87" s="65" t="s">
        <v>202</v>
      </c>
      <c r="D87" s="50">
        <v>319.379772</v>
      </c>
      <c r="E87" s="69">
        <v>269.16</v>
      </c>
      <c r="F87" s="50">
        <v>0</v>
      </c>
      <c r="G87" s="112">
        <v>0</v>
      </c>
      <c r="H87" s="69">
        <v>695.59</v>
      </c>
      <c r="I87" s="112">
        <v>1000</v>
      </c>
      <c r="J87" s="81">
        <v>294.98</v>
      </c>
      <c r="K87" s="81"/>
      <c r="L87" s="81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>
        <f t="shared" si="6"/>
        <v>1259.73</v>
      </c>
      <c r="AC87" s="112">
        <f t="shared" si="7"/>
        <v>1000</v>
      </c>
      <c r="AD87" s="112">
        <f t="shared" si="8"/>
        <v>59.6497720000002</v>
      </c>
    </row>
    <row r="88" s="14" customFormat="1" ht="35" customHeight="1" spans="1:30">
      <c r="A88" s="64">
        <v>85</v>
      </c>
      <c r="B88" s="50" t="s">
        <v>203</v>
      </c>
      <c r="C88" s="65" t="s">
        <v>204</v>
      </c>
      <c r="D88" s="50">
        <v>273.239867999999</v>
      </c>
      <c r="E88" s="69">
        <v>110.15</v>
      </c>
      <c r="F88" s="50">
        <v>110.15</v>
      </c>
      <c r="G88" s="112">
        <v>0</v>
      </c>
      <c r="H88" s="69">
        <v>219.17</v>
      </c>
      <c r="I88" s="112">
        <v>300</v>
      </c>
      <c r="J88" s="81">
        <v>105.09</v>
      </c>
      <c r="K88" s="81"/>
      <c r="L88" s="81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>
        <f t="shared" si="6"/>
        <v>434.41</v>
      </c>
      <c r="AC88" s="112">
        <f t="shared" si="7"/>
        <v>410.15</v>
      </c>
      <c r="AD88" s="112">
        <f t="shared" si="8"/>
        <v>248.979867999999</v>
      </c>
    </row>
    <row r="89" s="14" customFormat="1" ht="35" customHeight="1" spans="1:30">
      <c r="A89" s="64">
        <v>86</v>
      </c>
      <c r="B89" s="50" t="s">
        <v>205</v>
      </c>
      <c r="C89" s="65" t="s">
        <v>206</v>
      </c>
      <c r="D89" s="50">
        <v>480.344107999999</v>
      </c>
      <c r="E89" s="69">
        <v>336.91</v>
      </c>
      <c r="F89" s="50">
        <v>0</v>
      </c>
      <c r="G89" s="112">
        <v>0</v>
      </c>
      <c r="H89" s="69">
        <v>597.29</v>
      </c>
      <c r="I89" s="112">
        <v>0</v>
      </c>
      <c r="J89" s="81">
        <v>318.37</v>
      </c>
      <c r="K89" s="81"/>
      <c r="L89" s="81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>
        <f t="shared" si="6"/>
        <v>1252.57</v>
      </c>
      <c r="AC89" s="112">
        <f t="shared" si="7"/>
        <v>0</v>
      </c>
      <c r="AD89" s="112">
        <f t="shared" si="8"/>
        <v>-772.225892000001</v>
      </c>
    </row>
    <row r="90" s="14" customFormat="1" ht="35" customHeight="1" spans="1:30">
      <c r="A90" s="64">
        <v>87</v>
      </c>
      <c r="B90" s="50" t="s">
        <v>207</v>
      </c>
      <c r="C90" s="65" t="s">
        <v>208</v>
      </c>
      <c r="D90" s="50">
        <v>288.207272</v>
      </c>
      <c r="E90" s="69">
        <v>138.15</v>
      </c>
      <c r="F90" s="50">
        <v>138.15</v>
      </c>
      <c r="G90" s="112">
        <v>0</v>
      </c>
      <c r="H90" s="69">
        <v>271.67</v>
      </c>
      <c r="I90" s="112">
        <v>400</v>
      </c>
      <c r="J90" s="81">
        <v>124.13</v>
      </c>
      <c r="K90" s="81"/>
      <c r="L90" s="81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>
        <f t="shared" si="6"/>
        <v>533.95</v>
      </c>
      <c r="AC90" s="112">
        <f t="shared" si="7"/>
        <v>538.15</v>
      </c>
      <c r="AD90" s="112">
        <f t="shared" si="8"/>
        <v>292.407272</v>
      </c>
    </row>
    <row r="91" s="14" customFormat="1" ht="35" customHeight="1" spans="1:30">
      <c r="A91" s="64">
        <v>88</v>
      </c>
      <c r="B91" s="50" t="s">
        <v>209</v>
      </c>
      <c r="C91" s="65" t="s">
        <v>210</v>
      </c>
      <c r="D91" s="50">
        <v>271.909783000001</v>
      </c>
      <c r="E91" s="69">
        <v>278.12</v>
      </c>
      <c r="F91" s="50">
        <v>218.12</v>
      </c>
      <c r="G91" s="112">
        <v>0</v>
      </c>
      <c r="H91" s="69">
        <v>519.66</v>
      </c>
      <c r="I91" s="112">
        <v>0</v>
      </c>
      <c r="J91" s="81">
        <v>252.54</v>
      </c>
      <c r="K91" s="81">
        <v>253</v>
      </c>
      <c r="L91" s="81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>
        <f t="shared" si="6"/>
        <v>1050.32</v>
      </c>
      <c r="AC91" s="112">
        <f t="shared" si="7"/>
        <v>471.12</v>
      </c>
      <c r="AD91" s="112">
        <f t="shared" si="8"/>
        <v>-307.290216999999</v>
      </c>
    </row>
    <row r="92" s="14" customFormat="1" ht="35" customHeight="1" spans="1:30">
      <c r="A92" s="64">
        <v>89</v>
      </c>
      <c r="B92" s="50" t="s">
        <v>211</v>
      </c>
      <c r="C92" s="65" t="s">
        <v>212</v>
      </c>
      <c r="D92" s="50">
        <v>92.4318280000002</v>
      </c>
      <c r="E92" s="69">
        <v>281.48</v>
      </c>
      <c r="F92" s="50">
        <f>1221.48</f>
        <v>1221.48</v>
      </c>
      <c r="G92" s="112">
        <v>0</v>
      </c>
      <c r="H92" s="69">
        <v>585</v>
      </c>
      <c r="I92" s="112">
        <v>0</v>
      </c>
      <c r="J92" s="81">
        <v>249.82</v>
      </c>
      <c r="K92" s="81"/>
      <c r="L92" s="81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>
        <f t="shared" si="6"/>
        <v>1116.3</v>
      </c>
      <c r="AC92" s="112">
        <f t="shared" si="7"/>
        <v>1221.48</v>
      </c>
      <c r="AD92" s="112">
        <f t="shared" si="8"/>
        <v>197.611828</v>
      </c>
    </row>
    <row r="93" s="14" customFormat="1" ht="35" customHeight="1" spans="1:30">
      <c r="A93" s="64">
        <v>90</v>
      </c>
      <c r="B93" s="50" t="s">
        <v>213</v>
      </c>
      <c r="C93" s="65" t="s">
        <v>214</v>
      </c>
      <c r="D93" s="50">
        <v>932.019672000001</v>
      </c>
      <c r="E93" s="69">
        <v>179.58</v>
      </c>
      <c r="F93" s="50">
        <v>0</v>
      </c>
      <c r="G93" s="112">
        <v>0</v>
      </c>
      <c r="H93" s="69">
        <v>335.9</v>
      </c>
      <c r="I93" s="112">
        <v>0</v>
      </c>
      <c r="J93" s="81">
        <v>136.65</v>
      </c>
      <c r="K93" s="81">
        <v>1940</v>
      </c>
      <c r="L93" s="81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>
        <f t="shared" si="6"/>
        <v>652.13</v>
      </c>
      <c r="AC93" s="112">
        <f t="shared" si="7"/>
        <v>1940</v>
      </c>
      <c r="AD93" s="112">
        <f t="shared" si="8"/>
        <v>2219.889672</v>
      </c>
    </row>
    <row r="94" s="14" customFormat="1" ht="35" customHeight="1" spans="1:30">
      <c r="A94" s="64">
        <v>91</v>
      </c>
      <c r="B94" s="50" t="s">
        <v>215</v>
      </c>
      <c r="C94" s="65" t="s">
        <v>216</v>
      </c>
      <c r="D94" s="50">
        <v>225.324648</v>
      </c>
      <c r="E94" s="69">
        <v>36.25</v>
      </c>
      <c r="F94" s="50">
        <v>0</v>
      </c>
      <c r="G94" s="112">
        <v>0</v>
      </c>
      <c r="H94" s="69">
        <v>25.93</v>
      </c>
      <c r="I94" s="112">
        <v>0</v>
      </c>
      <c r="J94" s="81">
        <v>215</v>
      </c>
      <c r="K94" s="81">
        <v>200</v>
      </c>
      <c r="L94" s="81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>
        <f t="shared" si="6"/>
        <v>277.18</v>
      </c>
      <c r="AC94" s="112">
        <f t="shared" si="7"/>
        <v>200</v>
      </c>
      <c r="AD94" s="112">
        <f t="shared" si="8"/>
        <v>148.144648</v>
      </c>
    </row>
    <row r="95" s="14" customFormat="1" ht="35" customHeight="1" spans="1:30">
      <c r="A95" s="64">
        <v>92</v>
      </c>
      <c r="B95" s="50" t="s">
        <v>217</v>
      </c>
      <c r="C95" s="65" t="s">
        <v>218</v>
      </c>
      <c r="D95" s="50">
        <v>323.909871999999</v>
      </c>
      <c r="E95" s="69">
        <v>101.2</v>
      </c>
      <c r="F95" s="50">
        <v>101.2</v>
      </c>
      <c r="G95" s="112">
        <v>0</v>
      </c>
      <c r="H95" s="69">
        <v>251.57</v>
      </c>
      <c r="I95" s="112">
        <v>400</v>
      </c>
      <c r="J95" s="81">
        <v>90.94</v>
      </c>
      <c r="K95" s="81"/>
      <c r="L95" s="81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>
        <f t="shared" si="6"/>
        <v>443.71</v>
      </c>
      <c r="AC95" s="112">
        <f t="shared" si="7"/>
        <v>501.2</v>
      </c>
      <c r="AD95" s="112">
        <f t="shared" si="8"/>
        <v>381.399872</v>
      </c>
    </row>
    <row r="96" s="14" customFormat="1" ht="35" customHeight="1" spans="1:30">
      <c r="A96" s="64">
        <v>93</v>
      </c>
      <c r="B96" s="50" t="s">
        <v>219</v>
      </c>
      <c r="C96" s="65" t="s">
        <v>220</v>
      </c>
      <c r="D96" s="50">
        <v>215.524018</v>
      </c>
      <c r="E96" s="69">
        <v>349.78</v>
      </c>
      <c r="F96" s="50">
        <v>940</v>
      </c>
      <c r="G96" s="112">
        <v>0</v>
      </c>
      <c r="H96" s="69">
        <v>619.07</v>
      </c>
      <c r="I96" s="112">
        <v>0</v>
      </c>
      <c r="J96" s="81">
        <v>209.01</v>
      </c>
      <c r="K96" s="81"/>
      <c r="L96" s="81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>
        <f t="shared" si="6"/>
        <v>1177.86</v>
      </c>
      <c r="AC96" s="112">
        <f t="shared" si="7"/>
        <v>940</v>
      </c>
      <c r="AD96" s="112">
        <f t="shared" si="8"/>
        <v>-22.3359819999998</v>
      </c>
    </row>
    <row r="97" s="14" customFormat="1" ht="35" customHeight="1" spans="1:30">
      <c r="A97" s="64">
        <v>94</v>
      </c>
      <c r="B97" s="50" t="s">
        <v>221</v>
      </c>
      <c r="C97" s="65" t="s">
        <v>222</v>
      </c>
      <c r="D97" s="50">
        <v>-385.297636999999</v>
      </c>
      <c r="E97" s="69">
        <v>205.33</v>
      </c>
      <c r="F97" s="50">
        <v>370</v>
      </c>
      <c r="G97" s="112">
        <v>0</v>
      </c>
      <c r="H97" s="69">
        <v>410.19</v>
      </c>
      <c r="I97" s="112">
        <v>0</v>
      </c>
      <c r="J97" s="81">
        <v>212.82</v>
      </c>
      <c r="K97" s="81">
        <v>420</v>
      </c>
      <c r="L97" s="81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>
        <f t="shared" si="6"/>
        <v>828.34</v>
      </c>
      <c r="AC97" s="112">
        <f t="shared" si="7"/>
        <v>790</v>
      </c>
      <c r="AD97" s="112">
        <f t="shared" si="8"/>
        <v>-423.637636999999</v>
      </c>
    </row>
    <row r="98" s="14" customFormat="1" ht="35" customHeight="1" spans="1:30">
      <c r="A98" s="64">
        <v>95</v>
      </c>
      <c r="B98" s="50" t="s">
        <v>223</v>
      </c>
      <c r="C98" s="65" t="s">
        <v>224</v>
      </c>
      <c r="D98" s="50">
        <v>344.611423</v>
      </c>
      <c r="E98" s="69">
        <v>81.6</v>
      </c>
      <c r="F98" s="50">
        <v>740</v>
      </c>
      <c r="G98" s="112">
        <v>0</v>
      </c>
      <c r="H98" s="69">
        <v>174.49</v>
      </c>
      <c r="I98" s="112">
        <v>0</v>
      </c>
      <c r="J98" s="81">
        <v>71.35</v>
      </c>
      <c r="K98" s="81"/>
      <c r="L98" s="81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>
        <f t="shared" si="6"/>
        <v>327.44</v>
      </c>
      <c r="AC98" s="112">
        <f t="shared" si="7"/>
        <v>740</v>
      </c>
      <c r="AD98" s="112">
        <f t="shared" si="8"/>
        <v>757.171423</v>
      </c>
    </row>
    <row r="99" s="14" customFormat="1" ht="35" customHeight="1" spans="1:30">
      <c r="A99" s="64">
        <v>96</v>
      </c>
      <c r="B99" s="50" t="s">
        <v>225</v>
      </c>
      <c r="C99" s="65" t="s">
        <v>226</v>
      </c>
      <c r="D99" s="50">
        <v>700.544772000002</v>
      </c>
      <c r="E99" s="69">
        <v>220.45</v>
      </c>
      <c r="F99" s="50">
        <v>240</v>
      </c>
      <c r="G99" s="112">
        <v>0</v>
      </c>
      <c r="H99" s="69">
        <v>340.93</v>
      </c>
      <c r="I99" s="112">
        <v>0</v>
      </c>
      <c r="J99" s="81">
        <v>172.01</v>
      </c>
      <c r="K99" s="81"/>
      <c r="L99" s="81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>
        <f t="shared" si="6"/>
        <v>733.39</v>
      </c>
      <c r="AC99" s="112">
        <f t="shared" si="7"/>
        <v>240</v>
      </c>
      <c r="AD99" s="112">
        <f t="shared" si="8"/>
        <v>207.154772000002</v>
      </c>
    </row>
    <row r="100" s="14" customFormat="1" ht="35" customHeight="1" spans="1:30">
      <c r="A100" s="64">
        <v>97</v>
      </c>
      <c r="B100" s="50" t="s">
        <v>227</v>
      </c>
      <c r="C100" s="65" t="s">
        <v>228</v>
      </c>
      <c r="D100" s="50">
        <v>455.340788</v>
      </c>
      <c r="E100" s="69">
        <v>22.25</v>
      </c>
      <c r="F100" s="50">
        <v>0</v>
      </c>
      <c r="G100" s="112">
        <v>0</v>
      </c>
      <c r="H100" s="69">
        <v>152.71</v>
      </c>
      <c r="I100" s="112">
        <v>150</v>
      </c>
      <c r="J100" s="81">
        <v>51.77</v>
      </c>
      <c r="K100" s="81">
        <v>140</v>
      </c>
      <c r="L100" s="81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>
        <f t="shared" si="6"/>
        <v>226.73</v>
      </c>
      <c r="AC100" s="112">
        <f t="shared" si="7"/>
        <v>290</v>
      </c>
      <c r="AD100" s="112">
        <f t="shared" si="8"/>
        <v>518.610788</v>
      </c>
    </row>
    <row r="101" s="14" customFormat="1" ht="35" customHeight="1" spans="1:30">
      <c r="A101" s="64">
        <v>98</v>
      </c>
      <c r="B101" s="50" t="s">
        <v>229</v>
      </c>
      <c r="C101" s="65" t="s">
        <v>230</v>
      </c>
      <c r="D101" s="50">
        <v>159.888672</v>
      </c>
      <c r="E101" s="69">
        <v>134.23</v>
      </c>
      <c r="F101" s="50">
        <v>0</v>
      </c>
      <c r="G101" s="112">
        <v>0</v>
      </c>
      <c r="H101" s="69">
        <v>350.98</v>
      </c>
      <c r="I101" s="112">
        <v>0</v>
      </c>
      <c r="J101" s="81">
        <v>129.03</v>
      </c>
      <c r="K101" s="81">
        <v>69.03</v>
      </c>
      <c r="L101" s="81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>
        <f t="shared" ref="AB101:AB138" si="9">E101+H101+J101+L101+N101+P101+R101+T101+V101+X101+Z101</f>
        <v>614.24</v>
      </c>
      <c r="AC101" s="112">
        <f t="shared" ref="AC101:AC138" si="10">F101+G101+I101+K101+M101+O101+Q101+S101+U101+W101+Y101+AA101</f>
        <v>69.03</v>
      </c>
      <c r="AD101" s="112">
        <f t="shared" ref="AD101:AD138" si="11">D101+AC101-AB101</f>
        <v>-385.321328</v>
      </c>
    </row>
    <row r="102" s="14" customFormat="1" ht="35" customHeight="1" spans="1:30">
      <c r="A102" s="64">
        <v>99</v>
      </c>
      <c r="B102" s="50" t="s">
        <v>231</v>
      </c>
      <c r="C102" s="65" t="s">
        <v>232</v>
      </c>
      <c r="D102" s="50">
        <v>338.810672000001</v>
      </c>
      <c r="E102" s="69">
        <v>168.38</v>
      </c>
      <c r="F102" s="50">
        <v>168.38</v>
      </c>
      <c r="G102" s="112">
        <v>0</v>
      </c>
      <c r="H102" s="69">
        <v>342.61</v>
      </c>
      <c r="I102" s="112">
        <v>500</v>
      </c>
      <c r="J102" s="81">
        <v>192.14</v>
      </c>
      <c r="K102" s="81"/>
      <c r="L102" s="81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>
        <f t="shared" si="9"/>
        <v>703.13</v>
      </c>
      <c r="AC102" s="112">
        <f t="shared" si="10"/>
        <v>668.38</v>
      </c>
      <c r="AD102" s="112">
        <f t="shared" si="11"/>
        <v>304.060672000001</v>
      </c>
    </row>
    <row r="103" s="14" customFormat="1" ht="35" customHeight="1" spans="1:30">
      <c r="A103" s="64">
        <v>100</v>
      </c>
      <c r="B103" s="50" t="s">
        <v>233</v>
      </c>
      <c r="C103" s="193" t="s">
        <v>234</v>
      </c>
      <c r="D103" s="50">
        <v>184.328198</v>
      </c>
      <c r="E103" s="69">
        <v>272.52</v>
      </c>
      <c r="F103" s="50">
        <v>272.52</v>
      </c>
      <c r="G103" s="112">
        <v>0</v>
      </c>
      <c r="H103" s="69">
        <v>405.72</v>
      </c>
      <c r="I103" s="112">
        <v>405.72</v>
      </c>
      <c r="J103" s="81">
        <v>166.57</v>
      </c>
      <c r="K103" s="81">
        <v>166.57</v>
      </c>
      <c r="L103" s="81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>
        <f t="shared" si="9"/>
        <v>844.81</v>
      </c>
      <c r="AC103" s="112">
        <f t="shared" si="10"/>
        <v>844.81</v>
      </c>
      <c r="AD103" s="112">
        <f t="shared" si="11"/>
        <v>184.328198</v>
      </c>
    </row>
    <row r="104" s="197" customFormat="1" ht="35" customHeight="1" spans="1:31">
      <c r="A104" s="64">
        <v>101</v>
      </c>
      <c r="B104" s="50" t="s">
        <v>235</v>
      </c>
      <c r="C104" s="65" t="s">
        <v>236</v>
      </c>
      <c r="D104" s="50">
        <v>-2681.587422</v>
      </c>
      <c r="E104" s="69">
        <v>297.71</v>
      </c>
      <c r="F104" s="50">
        <v>1940</v>
      </c>
      <c r="G104" s="112">
        <v>0</v>
      </c>
      <c r="H104" s="69">
        <v>743.62</v>
      </c>
      <c r="I104" s="112">
        <v>0</v>
      </c>
      <c r="J104" s="81">
        <v>246.55</v>
      </c>
      <c r="K104" s="81"/>
      <c r="L104" s="81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>
        <f t="shared" si="9"/>
        <v>1287.88</v>
      </c>
      <c r="AC104" s="112">
        <f t="shared" si="10"/>
        <v>1940</v>
      </c>
      <c r="AD104" s="112">
        <f t="shared" si="11"/>
        <v>-2029.467422</v>
      </c>
      <c r="AE104" s="14"/>
    </row>
    <row r="105" s="14" customFormat="1" ht="35" customHeight="1" spans="1:30">
      <c r="A105" s="64">
        <v>102</v>
      </c>
      <c r="B105" s="50" t="s">
        <v>237</v>
      </c>
      <c r="C105" s="65" t="s">
        <v>238</v>
      </c>
      <c r="D105" s="50">
        <v>42</v>
      </c>
      <c r="E105" s="69">
        <v>175.1</v>
      </c>
      <c r="F105" s="50">
        <v>175.1</v>
      </c>
      <c r="G105" s="112">
        <v>0</v>
      </c>
      <c r="H105" s="69">
        <v>435.88</v>
      </c>
      <c r="I105" s="112">
        <v>400</v>
      </c>
      <c r="J105" s="81">
        <v>187.79</v>
      </c>
      <c r="K105" s="81"/>
      <c r="L105" s="81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>
        <f t="shared" si="9"/>
        <v>798.77</v>
      </c>
      <c r="AC105" s="112">
        <f t="shared" si="10"/>
        <v>575.1</v>
      </c>
      <c r="AD105" s="112">
        <f t="shared" si="11"/>
        <v>-181.67</v>
      </c>
    </row>
    <row r="106" s="197" customFormat="1" ht="35" customHeight="1" spans="1:31">
      <c r="A106" s="64">
        <v>103</v>
      </c>
      <c r="B106" s="50" t="s">
        <v>239</v>
      </c>
      <c r="C106" s="65" t="s">
        <v>240</v>
      </c>
      <c r="D106" s="50">
        <v>467.157273</v>
      </c>
      <c r="E106" s="69">
        <v>221.01</v>
      </c>
      <c r="F106" s="50">
        <v>221.01</v>
      </c>
      <c r="G106" s="112">
        <v>0</v>
      </c>
      <c r="H106" s="69">
        <v>378.91</v>
      </c>
      <c r="I106" s="112">
        <v>500</v>
      </c>
      <c r="J106" s="81">
        <v>181.81</v>
      </c>
      <c r="K106" s="81"/>
      <c r="L106" s="81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>
        <f t="shared" si="9"/>
        <v>781.73</v>
      </c>
      <c r="AC106" s="112">
        <f t="shared" si="10"/>
        <v>721.01</v>
      </c>
      <c r="AD106" s="112">
        <f t="shared" si="11"/>
        <v>406.437273</v>
      </c>
      <c r="AE106" s="14"/>
    </row>
    <row r="107" s="197" customFormat="1" ht="35" customHeight="1" spans="1:31">
      <c r="A107" s="64">
        <v>104</v>
      </c>
      <c r="B107" s="50" t="s">
        <v>241</v>
      </c>
      <c r="C107" s="65" t="s">
        <v>242</v>
      </c>
      <c r="D107" s="50">
        <v>-585.457928</v>
      </c>
      <c r="E107" s="69">
        <v>327.39</v>
      </c>
      <c r="F107" s="50">
        <v>940</v>
      </c>
      <c r="G107" s="112">
        <v>0</v>
      </c>
      <c r="H107" s="69">
        <v>543.67</v>
      </c>
      <c r="I107" s="112">
        <v>0</v>
      </c>
      <c r="J107" s="81">
        <v>287.36</v>
      </c>
      <c r="K107" s="81"/>
      <c r="L107" s="81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>
        <f t="shared" si="9"/>
        <v>1158.42</v>
      </c>
      <c r="AC107" s="112">
        <f t="shared" si="10"/>
        <v>940</v>
      </c>
      <c r="AD107" s="112">
        <f t="shared" si="11"/>
        <v>-803.877928</v>
      </c>
      <c r="AE107" s="14"/>
    </row>
    <row r="108" s="197" customFormat="1" ht="35" customHeight="1" spans="1:31">
      <c r="A108" s="64">
        <v>105</v>
      </c>
      <c r="B108" s="50" t="s">
        <v>243</v>
      </c>
      <c r="C108" s="65" t="s">
        <v>244</v>
      </c>
      <c r="D108" s="50">
        <v>340.442443</v>
      </c>
      <c r="E108" s="69">
        <v>104.56</v>
      </c>
      <c r="F108" s="50">
        <v>0</v>
      </c>
      <c r="G108" s="112">
        <v>0</v>
      </c>
      <c r="H108" s="69">
        <v>292.34</v>
      </c>
      <c r="I108" s="112">
        <v>0</v>
      </c>
      <c r="J108" s="81">
        <v>118.69</v>
      </c>
      <c r="K108" s="81"/>
      <c r="L108" s="81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>
        <f t="shared" si="9"/>
        <v>515.59</v>
      </c>
      <c r="AC108" s="112">
        <f t="shared" si="10"/>
        <v>0</v>
      </c>
      <c r="AD108" s="112">
        <f t="shared" si="11"/>
        <v>-175.147557</v>
      </c>
      <c r="AE108" s="14"/>
    </row>
    <row r="109" s="197" customFormat="1" ht="35" customHeight="1" spans="1:31">
      <c r="A109" s="64">
        <v>106</v>
      </c>
      <c r="B109" s="50" t="s">
        <v>245</v>
      </c>
      <c r="C109" s="65" t="s">
        <v>246</v>
      </c>
      <c r="D109" s="50">
        <v>177.385471999999</v>
      </c>
      <c r="E109" s="69">
        <v>408.57</v>
      </c>
      <c r="F109" s="50">
        <v>0</v>
      </c>
      <c r="G109" s="112">
        <v>0</v>
      </c>
      <c r="H109" s="69">
        <v>837.45</v>
      </c>
      <c r="I109" s="112">
        <v>0</v>
      </c>
      <c r="J109" s="81">
        <v>365.71</v>
      </c>
      <c r="K109" s="81"/>
      <c r="L109" s="81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>
        <f t="shared" si="9"/>
        <v>1611.73</v>
      </c>
      <c r="AC109" s="112">
        <f t="shared" si="10"/>
        <v>0</v>
      </c>
      <c r="AD109" s="112">
        <f t="shared" si="11"/>
        <v>-1434.344528</v>
      </c>
      <c r="AE109" s="14"/>
    </row>
    <row r="110" s="197" customFormat="1" ht="35" customHeight="1" spans="1:31">
      <c r="A110" s="64">
        <v>107</v>
      </c>
      <c r="B110" s="50" t="s">
        <v>247</v>
      </c>
      <c r="C110" s="65" t="s">
        <v>248</v>
      </c>
      <c r="D110" s="50">
        <v>174.636571999999</v>
      </c>
      <c r="E110" s="69">
        <v>259.64</v>
      </c>
      <c r="F110" s="50">
        <v>259.64</v>
      </c>
      <c r="G110" s="112">
        <v>0</v>
      </c>
      <c r="H110" s="69">
        <v>458.22</v>
      </c>
      <c r="I110" s="112">
        <v>600</v>
      </c>
      <c r="J110" s="81">
        <v>174.19</v>
      </c>
      <c r="K110" s="81"/>
      <c r="L110" s="81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>
        <f t="shared" si="9"/>
        <v>892.05</v>
      </c>
      <c r="AC110" s="112">
        <f t="shared" si="10"/>
        <v>859.64</v>
      </c>
      <c r="AD110" s="112">
        <f t="shared" si="11"/>
        <v>142.226571999999</v>
      </c>
      <c r="AE110" s="14"/>
    </row>
    <row r="111" s="197" customFormat="1" ht="35" customHeight="1" spans="1:31">
      <c r="A111" s="64">
        <v>108</v>
      </c>
      <c r="B111" s="50" t="s">
        <v>249</v>
      </c>
      <c r="C111" s="65" t="s">
        <v>250</v>
      </c>
      <c r="D111" s="50">
        <v>78.6253680000004</v>
      </c>
      <c r="E111" s="69">
        <v>228.85</v>
      </c>
      <c r="F111" s="50">
        <v>0</v>
      </c>
      <c r="G111" s="112">
        <v>0</v>
      </c>
      <c r="H111" s="69">
        <v>512.95</v>
      </c>
      <c r="I111" s="112">
        <v>600</v>
      </c>
      <c r="J111" s="81">
        <v>199.22</v>
      </c>
      <c r="K111" s="81">
        <v>240</v>
      </c>
      <c r="L111" s="81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>
        <f t="shared" si="9"/>
        <v>941.02</v>
      </c>
      <c r="AC111" s="112">
        <f t="shared" si="10"/>
        <v>840</v>
      </c>
      <c r="AD111" s="112">
        <f t="shared" si="11"/>
        <v>-22.3946319999997</v>
      </c>
      <c r="AE111" s="14"/>
    </row>
    <row r="112" s="197" customFormat="1" ht="35" customHeight="1" spans="1:31">
      <c r="A112" s="64">
        <v>109</v>
      </c>
      <c r="B112" s="50" t="s">
        <v>251</v>
      </c>
      <c r="C112" s="65" t="s">
        <v>252</v>
      </c>
      <c r="D112" s="50">
        <v>132.725923</v>
      </c>
      <c r="E112" s="69">
        <v>163.9</v>
      </c>
      <c r="F112" s="50">
        <v>59.11</v>
      </c>
      <c r="G112" s="112">
        <v>0</v>
      </c>
      <c r="H112" s="69">
        <v>324.17</v>
      </c>
      <c r="I112" s="112">
        <v>0</v>
      </c>
      <c r="J112" s="81">
        <v>164.39</v>
      </c>
      <c r="K112" s="81"/>
      <c r="L112" s="81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>
        <f t="shared" si="9"/>
        <v>652.46</v>
      </c>
      <c r="AC112" s="112">
        <f t="shared" si="10"/>
        <v>59.11</v>
      </c>
      <c r="AD112" s="112">
        <f t="shared" si="11"/>
        <v>-460.624077</v>
      </c>
      <c r="AE112" s="14"/>
    </row>
    <row r="113" s="197" customFormat="1" ht="35" customHeight="1" spans="1:31">
      <c r="A113" s="64">
        <v>110</v>
      </c>
      <c r="B113" s="50" t="s">
        <v>253</v>
      </c>
      <c r="C113" s="65" t="s">
        <v>254</v>
      </c>
      <c r="D113" s="50">
        <v>1203.073972</v>
      </c>
      <c r="E113" s="69">
        <v>83.28</v>
      </c>
      <c r="F113" s="50">
        <v>0</v>
      </c>
      <c r="G113" s="112">
        <v>0</v>
      </c>
      <c r="H113" s="69">
        <v>181.19</v>
      </c>
      <c r="I113" s="112">
        <v>0</v>
      </c>
      <c r="J113" s="81">
        <v>108.9</v>
      </c>
      <c r="K113" s="81"/>
      <c r="L113" s="81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>
        <f t="shared" si="9"/>
        <v>373.37</v>
      </c>
      <c r="AC113" s="112">
        <f t="shared" si="10"/>
        <v>0</v>
      </c>
      <c r="AD113" s="112">
        <f t="shared" si="11"/>
        <v>829.703972</v>
      </c>
      <c r="AE113" s="14"/>
    </row>
    <row r="114" s="197" customFormat="1" ht="35" customHeight="1" spans="1:31">
      <c r="A114" s="64">
        <v>111</v>
      </c>
      <c r="B114" s="50" t="s">
        <v>255</v>
      </c>
      <c r="C114" s="65" t="s">
        <v>256</v>
      </c>
      <c r="D114" s="50">
        <v>527.974723000001</v>
      </c>
      <c r="E114" s="69">
        <v>63.68</v>
      </c>
      <c r="F114" s="50">
        <v>0</v>
      </c>
      <c r="G114" s="112">
        <v>0</v>
      </c>
      <c r="H114" s="69">
        <v>134.28</v>
      </c>
      <c r="I114" s="112">
        <v>0</v>
      </c>
      <c r="J114" s="81">
        <v>87.68</v>
      </c>
      <c r="K114" s="81"/>
      <c r="L114" s="81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>
        <f t="shared" si="9"/>
        <v>285.64</v>
      </c>
      <c r="AC114" s="112">
        <f t="shared" si="10"/>
        <v>0</v>
      </c>
      <c r="AD114" s="112">
        <f t="shared" si="11"/>
        <v>242.334723000001</v>
      </c>
      <c r="AE114" s="14"/>
    </row>
    <row r="115" s="197" customFormat="1" ht="35" customHeight="1" spans="1:31">
      <c r="A115" s="64">
        <v>112</v>
      </c>
      <c r="B115" s="50" t="s">
        <v>257</v>
      </c>
      <c r="C115" s="65" t="s">
        <v>258</v>
      </c>
      <c r="D115" s="50">
        <v>4.24317800000108</v>
      </c>
      <c r="E115" s="69">
        <v>193.02</v>
      </c>
      <c r="F115" s="50">
        <v>0</v>
      </c>
      <c r="G115" s="112">
        <v>1000</v>
      </c>
      <c r="H115" s="69">
        <v>545.35</v>
      </c>
      <c r="I115" s="112">
        <v>0</v>
      </c>
      <c r="J115" s="81">
        <v>137.19</v>
      </c>
      <c r="K115" s="81"/>
      <c r="L115" s="81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>
        <f t="shared" si="9"/>
        <v>875.56</v>
      </c>
      <c r="AC115" s="112">
        <f t="shared" si="10"/>
        <v>1000</v>
      </c>
      <c r="AD115" s="112">
        <f t="shared" si="11"/>
        <v>128.683178000001</v>
      </c>
      <c r="AE115" s="14"/>
    </row>
    <row r="116" s="197" customFormat="1" ht="35" customHeight="1" spans="1:31">
      <c r="A116" s="64">
        <v>113</v>
      </c>
      <c r="B116" s="50" t="s">
        <v>259</v>
      </c>
      <c r="C116" s="65" t="s">
        <v>260</v>
      </c>
      <c r="D116" s="50">
        <v>-1014.737547</v>
      </c>
      <c r="E116" s="69">
        <v>243.41</v>
      </c>
      <c r="F116" s="50">
        <v>0</v>
      </c>
      <c r="G116" s="112">
        <v>0</v>
      </c>
      <c r="H116" s="69">
        <v>456.54</v>
      </c>
      <c r="I116" s="112">
        <v>0</v>
      </c>
      <c r="J116" s="81">
        <v>188.88</v>
      </c>
      <c r="K116" s="81"/>
      <c r="L116" s="81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>
        <f t="shared" si="9"/>
        <v>888.83</v>
      </c>
      <c r="AC116" s="112">
        <f t="shared" si="10"/>
        <v>0</v>
      </c>
      <c r="AD116" s="112">
        <f t="shared" si="11"/>
        <v>-1903.567547</v>
      </c>
      <c r="AE116" s="14"/>
    </row>
    <row r="117" s="197" customFormat="1" ht="35" customHeight="1" spans="1:31">
      <c r="A117" s="64">
        <v>114</v>
      </c>
      <c r="B117" s="50" t="s">
        <v>261</v>
      </c>
      <c r="C117" s="65" t="s">
        <v>262</v>
      </c>
      <c r="D117" s="50">
        <v>-1439.692728</v>
      </c>
      <c r="E117" s="69">
        <v>380.58</v>
      </c>
      <c r="F117" s="50">
        <v>0</v>
      </c>
      <c r="G117" s="112">
        <v>0</v>
      </c>
      <c r="H117" s="69">
        <v>668.22</v>
      </c>
      <c r="I117" s="112">
        <v>1500</v>
      </c>
      <c r="J117" s="81">
        <v>278.11</v>
      </c>
      <c r="K117" s="81"/>
      <c r="L117" s="81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>
        <f t="shared" si="9"/>
        <v>1326.91</v>
      </c>
      <c r="AC117" s="112">
        <f t="shared" si="10"/>
        <v>1500</v>
      </c>
      <c r="AD117" s="112">
        <f t="shared" si="11"/>
        <v>-1266.602728</v>
      </c>
      <c r="AE117" s="14"/>
    </row>
    <row r="118" s="197" customFormat="1" ht="35" customHeight="1" spans="1:31">
      <c r="A118" s="64">
        <v>115</v>
      </c>
      <c r="B118" s="50" t="s">
        <v>263</v>
      </c>
      <c r="C118" s="65" t="s">
        <v>264</v>
      </c>
      <c r="D118" s="50">
        <v>-124.964192</v>
      </c>
      <c r="E118" s="69">
        <v>269.72</v>
      </c>
      <c r="F118" s="50">
        <v>0</v>
      </c>
      <c r="G118" s="112">
        <v>0</v>
      </c>
      <c r="H118" s="69">
        <v>214.15</v>
      </c>
      <c r="I118" s="112">
        <v>0</v>
      </c>
      <c r="J118" s="81">
        <v>10.41</v>
      </c>
      <c r="K118" s="81"/>
      <c r="L118" s="81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>
        <f t="shared" si="9"/>
        <v>494.28</v>
      </c>
      <c r="AC118" s="112">
        <f t="shared" si="10"/>
        <v>0</v>
      </c>
      <c r="AD118" s="112">
        <f t="shared" si="11"/>
        <v>-619.244192</v>
      </c>
      <c r="AE118" s="14"/>
    </row>
    <row r="119" s="197" customFormat="1" ht="35" customHeight="1" spans="1:31">
      <c r="A119" s="64">
        <v>116</v>
      </c>
      <c r="B119" s="50" t="s">
        <v>265</v>
      </c>
      <c r="C119" s="65" t="s">
        <v>266</v>
      </c>
      <c r="D119" s="50">
        <v>951.39</v>
      </c>
      <c r="E119" s="69">
        <v>57.53</v>
      </c>
      <c r="F119" s="50">
        <v>0</v>
      </c>
      <c r="G119" s="112">
        <v>0</v>
      </c>
      <c r="H119" s="69">
        <v>128.69</v>
      </c>
      <c r="I119" s="112">
        <v>0</v>
      </c>
      <c r="J119" s="81">
        <v>31.09</v>
      </c>
      <c r="K119" s="81"/>
      <c r="L119" s="81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>
        <f t="shared" si="9"/>
        <v>217.31</v>
      </c>
      <c r="AC119" s="112">
        <f t="shared" si="10"/>
        <v>0</v>
      </c>
      <c r="AD119" s="112">
        <f t="shared" si="11"/>
        <v>734.08</v>
      </c>
      <c r="AE119" s="14"/>
    </row>
    <row r="120" s="197" customFormat="1" ht="35" customHeight="1" spans="1:31">
      <c r="A120" s="64">
        <v>117</v>
      </c>
      <c r="B120" s="50" t="s">
        <v>267</v>
      </c>
      <c r="C120" s="65" t="s">
        <v>268</v>
      </c>
      <c r="D120" s="50">
        <v>101.342372</v>
      </c>
      <c r="E120" s="69">
        <v>71.52</v>
      </c>
      <c r="F120" s="50">
        <v>71.52</v>
      </c>
      <c r="G120" s="112">
        <v>0</v>
      </c>
      <c r="H120" s="69">
        <v>116.41</v>
      </c>
      <c r="I120" s="112">
        <v>116.41</v>
      </c>
      <c r="J120" s="81">
        <v>64.28</v>
      </c>
      <c r="K120" s="81">
        <v>64.28</v>
      </c>
      <c r="L120" s="81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>
        <f t="shared" si="9"/>
        <v>252.21</v>
      </c>
      <c r="AC120" s="112">
        <f t="shared" si="10"/>
        <v>252.21</v>
      </c>
      <c r="AD120" s="112">
        <f t="shared" si="11"/>
        <v>101.342372</v>
      </c>
      <c r="AE120" s="14"/>
    </row>
    <row r="121" s="197" customFormat="1" ht="35" customHeight="1" spans="1:31">
      <c r="A121" s="64">
        <v>118</v>
      </c>
      <c r="B121" s="50" t="s">
        <v>269</v>
      </c>
      <c r="C121" s="65" t="s">
        <v>270</v>
      </c>
      <c r="D121" s="50">
        <v>-541.803728</v>
      </c>
      <c r="E121" s="69">
        <v>257.96</v>
      </c>
      <c r="F121" s="50">
        <v>0</v>
      </c>
      <c r="G121" s="112">
        <v>0</v>
      </c>
      <c r="H121" s="69">
        <v>669.9</v>
      </c>
      <c r="I121" s="112">
        <v>0</v>
      </c>
      <c r="J121" s="81">
        <v>278.11</v>
      </c>
      <c r="K121" s="81"/>
      <c r="L121" s="81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>
        <f t="shared" si="9"/>
        <v>1205.97</v>
      </c>
      <c r="AC121" s="112">
        <f t="shared" si="10"/>
        <v>0</v>
      </c>
      <c r="AD121" s="112">
        <f t="shared" si="11"/>
        <v>-1747.773728</v>
      </c>
      <c r="AE121" s="14"/>
    </row>
    <row r="122" s="197" customFormat="1" ht="35" customHeight="1" spans="1:31">
      <c r="A122" s="64">
        <v>119</v>
      </c>
      <c r="B122" s="50" t="s">
        <v>271</v>
      </c>
      <c r="C122" s="65" t="s">
        <v>272</v>
      </c>
      <c r="D122" s="50">
        <v>998.426485</v>
      </c>
      <c r="E122" s="69">
        <v>25.61</v>
      </c>
      <c r="F122" s="50">
        <v>0</v>
      </c>
      <c r="G122" s="112">
        <v>0</v>
      </c>
      <c r="H122" s="69">
        <v>839.13</v>
      </c>
      <c r="I122" s="112">
        <v>0</v>
      </c>
      <c r="J122" s="81">
        <v>14.77</v>
      </c>
      <c r="K122" s="81"/>
      <c r="L122" s="81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>
        <f t="shared" si="9"/>
        <v>879.51</v>
      </c>
      <c r="AC122" s="112">
        <f t="shared" si="10"/>
        <v>0</v>
      </c>
      <c r="AD122" s="112">
        <f t="shared" si="11"/>
        <v>118.916485</v>
      </c>
      <c r="AE122" s="14"/>
    </row>
    <row r="123" s="198" customFormat="1" ht="35" customHeight="1" spans="1:31">
      <c r="A123" s="64">
        <v>120</v>
      </c>
      <c r="B123" s="50" t="s">
        <v>273</v>
      </c>
      <c r="C123" s="65" t="s">
        <v>274</v>
      </c>
      <c r="D123" s="50">
        <v>-67.4833800000001</v>
      </c>
      <c r="E123" s="69">
        <v>234.45</v>
      </c>
      <c r="F123" s="50">
        <v>0</v>
      </c>
      <c r="G123" s="112">
        <v>0</v>
      </c>
      <c r="H123" s="69">
        <v>494.52</v>
      </c>
      <c r="I123" s="112">
        <v>500</v>
      </c>
      <c r="J123" s="81">
        <v>142.09</v>
      </c>
      <c r="K123" s="81"/>
      <c r="L123" s="81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>
        <f t="shared" si="9"/>
        <v>871.06</v>
      </c>
      <c r="AC123" s="112">
        <f t="shared" si="10"/>
        <v>500</v>
      </c>
      <c r="AD123" s="112">
        <f t="shared" si="11"/>
        <v>-438.54338</v>
      </c>
      <c r="AE123" s="14"/>
    </row>
    <row r="124" s="197" customFormat="1" ht="35" customHeight="1" spans="1:31">
      <c r="A124" s="64">
        <v>121</v>
      </c>
      <c r="B124" s="50" t="s">
        <v>275</v>
      </c>
      <c r="C124" s="193" t="s">
        <v>276</v>
      </c>
      <c r="D124" s="50">
        <v>364.303472000001</v>
      </c>
      <c r="E124" s="69">
        <v>185.74</v>
      </c>
      <c r="F124" s="50">
        <v>0</v>
      </c>
      <c r="G124" s="112">
        <v>0</v>
      </c>
      <c r="H124" s="69">
        <v>420.24</v>
      </c>
      <c r="I124" s="112">
        <v>0</v>
      </c>
      <c r="J124" s="81">
        <v>160.59</v>
      </c>
      <c r="K124" s="81"/>
      <c r="L124" s="81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>
        <f t="shared" si="9"/>
        <v>766.57</v>
      </c>
      <c r="AC124" s="112">
        <f t="shared" si="10"/>
        <v>0</v>
      </c>
      <c r="AD124" s="112">
        <f t="shared" si="11"/>
        <v>-402.266527999999</v>
      </c>
      <c r="AE124" s="14"/>
    </row>
    <row r="125" s="197" customFormat="1" ht="35" customHeight="1" spans="1:31">
      <c r="A125" s="64">
        <v>122</v>
      </c>
      <c r="B125" s="50" t="s">
        <v>277</v>
      </c>
      <c r="C125" s="65" t="s">
        <v>278</v>
      </c>
      <c r="D125" s="50">
        <v>-57.2464750000004</v>
      </c>
      <c r="E125" s="69">
        <v>157.18</v>
      </c>
      <c r="F125" s="50">
        <v>290</v>
      </c>
      <c r="G125" s="112">
        <v>0</v>
      </c>
      <c r="H125" s="69">
        <v>446.49</v>
      </c>
      <c r="I125" s="112">
        <v>0</v>
      </c>
      <c r="J125" s="81">
        <v>222.07</v>
      </c>
      <c r="K125" s="81"/>
      <c r="L125" s="81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>
        <f t="shared" si="9"/>
        <v>825.74</v>
      </c>
      <c r="AC125" s="112">
        <f t="shared" si="10"/>
        <v>290</v>
      </c>
      <c r="AD125" s="112">
        <f t="shared" si="11"/>
        <v>-592.986475</v>
      </c>
      <c r="AE125" s="14"/>
    </row>
    <row r="126" s="197" customFormat="1" ht="35" customHeight="1" spans="1:31">
      <c r="A126" s="64">
        <v>123</v>
      </c>
      <c r="B126" s="50" t="s">
        <v>279</v>
      </c>
      <c r="C126" s="65" t="s">
        <v>280</v>
      </c>
      <c r="D126" s="50">
        <v>1996.431115</v>
      </c>
      <c r="E126" s="69">
        <v>224.93</v>
      </c>
      <c r="F126" s="50">
        <v>224.93</v>
      </c>
      <c r="G126" s="112">
        <v>0</v>
      </c>
      <c r="H126" s="69">
        <v>497.87</v>
      </c>
      <c r="I126" s="112">
        <v>600</v>
      </c>
      <c r="J126" s="81">
        <v>193.23</v>
      </c>
      <c r="K126" s="81"/>
      <c r="L126" s="81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>
        <f t="shared" si="9"/>
        <v>916.03</v>
      </c>
      <c r="AC126" s="112">
        <f t="shared" si="10"/>
        <v>824.93</v>
      </c>
      <c r="AD126" s="112">
        <f t="shared" si="11"/>
        <v>1905.331115</v>
      </c>
      <c r="AE126" s="14"/>
    </row>
    <row r="127" s="197" customFormat="1" ht="35" customHeight="1" spans="1:31">
      <c r="A127" s="64">
        <v>124</v>
      </c>
      <c r="B127" s="50" t="s">
        <v>281</v>
      </c>
      <c r="C127" s="65" t="s">
        <v>282</v>
      </c>
      <c r="D127" s="50">
        <v>996.39833</v>
      </c>
      <c r="E127" s="69">
        <v>12.18</v>
      </c>
      <c r="F127" s="50">
        <v>12.18</v>
      </c>
      <c r="G127" s="112">
        <v>0</v>
      </c>
      <c r="H127" s="69">
        <v>195.72</v>
      </c>
      <c r="I127" s="112">
        <v>160</v>
      </c>
      <c r="J127" s="81">
        <v>10.96</v>
      </c>
      <c r="K127" s="81"/>
      <c r="L127" s="81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>
        <f t="shared" si="9"/>
        <v>218.86</v>
      </c>
      <c r="AC127" s="112">
        <f t="shared" si="10"/>
        <v>172.18</v>
      </c>
      <c r="AD127" s="112">
        <f t="shared" si="11"/>
        <v>949.71833</v>
      </c>
      <c r="AE127" s="14"/>
    </row>
    <row r="128" s="197" customFormat="1" ht="35" customHeight="1" spans="1:31">
      <c r="A128" s="64">
        <v>125</v>
      </c>
      <c r="B128" s="50" t="s">
        <v>283</v>
      </c>
      <c r="C128" s="65" t="s">
        <v>284</v>
      </c>
      <c r="D128" s="50">
        <v>-96.9297280000005</v>
      </c>
      <c r="E128" s="69">
        <v>233.89</v>
      </c>
      <c r="F128" s="50">
        <v>440</v>
      </c>
      <c r="G128" s="112">
        <v>0</v>
      </c>
      <c r="H128" s="69">
        <v>660.96</v>
      </c>
      <c r="I128" s="112">
        <v>0</v>
      </c>
      <c r="J128" s="81">
        <v>160.04</v>
      </c>
      <c r="K128" s="81">
        <v>1000</v>
      </c>
      <c r="L128" s="81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>
        <f t="shared" si="9"/>
        <v>1054.89</v>
      </c>
      <c r="AC128" s="112">
        <f t="shared" si="10"/>
        <v>1440</v>
      </c>
      <c r="AD128" s="112">
        <f t="shared" si="11"/>
        <v>288.180271999999</v>
      </c>
      <c r="AE128" s="14"/>
    </row>
    <row r="129" s="197" customFormat="1" ht="35" customHeight="1" spans="1:31">
      <c r="A129" s="64">
        <v>126</v>
      </c>
      <c r="B129" s="50" t="s">
        <v>285</v>
      </c>
      <c r="C129" s="65" t="s">
        <v>286</v>
      </c>
      <c r="D129" s="50">
        <v>152.320772</v>
      </c>
      <c r="E129" s="69">
        <v>84.96</v>
      </c>
      <c r="F129" s="50">
        <v>84.96</v>
      </c>
      <c r="G129" s="112">
        <v>0</v>
      </c>
      <c r="H129" s="69">
        <v>197.39</v>
      </c>
      <c r="I129" s="112">
        <v>0</v>
      </c>
      <c r="J129" s="81">
        <v>53.94</v>
      </c>
      <c r="K129" s="81"/>
      <c r="L129" s="81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>
        <f t="shared" si="9"/>
        <v>336.29</v>
      </c>
      <c r="AC129" s="112">
        <f t="shared" si="10"/>
        <v>84.96</v>
      </c>
      <c r="AD129" s="112">
        <f t="shared" si="11"/>
        <v>-99.009228</v>
      </c>
      <c r="AE129" s="14"/>
    </row>
    <row r="130" s="197" customFormat="1" ht="35" customHeight="1" spans="1:31">
      <c r="A130" s="64">
        <v>127</v>
      </c>
      <c r="B130" s="50" t="s">
        <v>287</v>
      </c>
      <c r="C130" s="65" t="s">
        <v>288</v>
      </c>
      <c r="D130" s="50">
        <v>339.166065</v>
      </c>
      <c r="E130" s="69">
        <v>144.31</v>
      </c>
      <c r="F130" s="50">
        <v>144.31</v>
      </c>
      <c r="G130" s="112">
        <v>0</v>
      </c>
      <c r="H130" s="69">
        <v>377.79</v>
      </c>
      <c r="I130" s="112">
        <v>500</v>
      </c>
      <c r="J130" s="81">
        <v>121.95</v>
      </c>
      <c r="K130" s="81"/>
      <c r="L130" s="81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>
        <f t="shared" si="9"/>
        <v>644.05</v>
      </c>
      <c r="AC130" s="112">
        <f t="shared" si="10"/>
        <v>644.31</v>
      </c>
      <c r="AD130" s="112">
        <f t="shared" si="11"/>
        <v>339.426065</v>
      </c>
      <c r="AE130" s="14"/>
    </row>
    <row r="131" s="197" customFormat="1" ht="35" customHeight="1" spans="1:31">
      <c r="A131" s="64">
        <v>128</v>
      </c>
      <c r="B131" s="50" t="s">
        <v>289</v>
      </c>
      <c r="C131" s="65" t="s">
        <v>290</v>
      </c>
      <c r="D131" s="50">
        <v>-1024.67307</v>
      </c>
      <c r="E131" s="69">
        <v>19.45</v>
      </c>
      <c r="F131" s="50">
        <v>0</v>
      </c>
      <c r="G131" s="112">
        <v>0</v>
      </c>
      <c r="H131" s="69">
        <v>139.3</v>
      </c>
      <c r="I131" s="112">
        <v>250</v>
      </c>
      <c r="J131" s="81">
        <v>62.1</v>
      </c>
      <c r="K131" s="81"/>
      <c r="L131" s="81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>
        <f t="shared" si="9"/>
        <v>220.85</v>
      </c>
      <c r="AC131" s="112">
        <f t="shared" si="10"/>
        <v>250</v>
      </c>
      <c r="AD131" s="112">
        <f t="shared" si="11"/>
        <v>-995.52307</v>
      </c>
      <c r="AE131" s="14"/>
    </row>
    <row r="132" s="197" customFormat="1" ht="35" customHeight="1" spans="1:31">
      <c r="A132" s="64">
        <v>129</v>
      </c>
      <c r="B132" s="50" t="s">
        <v>291</v>
      </c>
      <c r="C132" s="65" t="s">
        <v>292</v>
      </c>
      <c r="D132" s="50">
        <v>245.688535000001</v>
      </c>
      <c r="E132" s="69">
        <v>10.5</v>
      </c>
      <c r="F132" s="50">
        <v>0</v>
      </c>
      <c r="G132" s="112">
        <v>0</v>
      </c>
      <c r="H132" s="69">
        <v>19.79</v>
      </c>
      <c r="I132" s="112">
        <v>0</v>
      </c>
      <c r="J132" s="81">
        <v>10.93</v>
      </c>
      <c r="K132" s="81"/>
      <c r="L132" s="81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>
        <f t="shared" si="9"/>
        <v>41.22</v>
      </c>
      <c r="AC132" s="112">
        <f t="shared" si="10"/>
        <v>0</v>
      </c>
      <c r="AD132" s="112">
        <f t="shared" si="11"/>
        <v>204.468535000001</v>
      </c>
      <c r="AE132" s="14"/>
    </row>
    <row r="133" s="14" customFormat="1" ht="35" customHeight="1" spans="1:30">
      <c r="A133" s="64">
        <v>130</v>
      </c>
      <c r="B133" s="112"/>
      <c r="C133" s="112" t="s">
        <v>3</v>
      </c>
      <c r="D133" s="112">
        <f>SUM(D4:D132)</f>
        <v>35672.135414</v>
      </c>
      <c r="E133" s="112">
        <f t="shared" ref="E133:AH133" si="12">SUM(E4:E132)</f>
        <v>24239.62</v>
      </c>
      <c r="F133" s="112">
        <f t="shared" si="12"/>
        <v>27223.22</v>
      </c>
      <c r="G133" s="112">
        <f t="shared" si="12"/>
        <v>8530</v>
      </c>
      <c r="H133" s="112">
        <f t="shared" si="12"/>
        <v>51847.82</v>
      </c>
      <c r="I133" s="112">
        <f t="shared" si="12"/>
        <v>28826.57</v>
      </c>
      <c r="J133" s="112">
        <f t="shared" si="12"/>
        <v>20173</v>
      </c>
      <c r="K133" s="207">
        <f t="shared" si="12"/>
        <v>10857.61</v>
      </c>
      <c r="L133" s="112">
        <f t="shared" si="12"/>
        <v>0</v>
      </c>
      <c r="M133" s="112">
        <f t="shared" si="12"/>
        <v>0</v>
      </c>
      <c r="N133" s="112">
        <f t="shared" si="12"/>
        <v>0</v>
      </c>
      <c r="O133" s="112">
        <f t="shared" si="12"/>
        <v>0</v>
      </c>
      <c r="P133" s="112">
        <f t="shared" si="12"/>
        <v>0</v>
      </c>
      <c r="Q133" s="112">
        <f t="shared" si="12"/>
        <v>0</v>
      </c>
      <c r="R133" s="112">
        <f t="shared" si="12"/>
        <v>0</v>
      </c>
      <c r="S133" s="112">
        <f t="shared" si="12"/>
        <v>0</v>
      </c>
      <c r="T133" s="112">
        <f t="shared" si="12"/>
        <v>0</v>
      </c>
      <c r="U133" s="112">
        <f t="shared" si="12"/>
        <v>0</v>
      </c>
      <c r="V133" s="112">
        <f t="shared" si="12"/>
        <v>0</v>
      </c>
      <c r="W133" s="112">
        <f t="shared" si="12"/>
        <v>0</v>
      </c>
      <c r="X133" s="112">
        <f t="shared" si="12"/>
        <v>0</v>
      </c>
      <c r="Y133" s="112">
        <f t="shared" si="12"/>
        <v>0</v>
      </c>
      <c r="Z133" s="112">
        <f t="shared" si="12"/>
        <v>0</v>
      </c>
      <c r="AA133" s="112">
        <f t="shared" si="12"/>
        <v>0</v>
      </c>
      <c r="AB133" s="112">
        <f t="shared" si="12"/>
        <v>96260.44</v>
      </c>
      <c r="AC133" s="112">
        <f t="shared" si="12"/>
        <v>75437.4</v>
      </c>
      <c r="AD133" s="112">
        <f t="shared" si="12"/>
        <v>14849.095414</v>
      </c>
    </row>
  </sheetData>
  <sheetProtection password="DE10" sheet="1" objects="1"/>
  <mergeCells count="3">
    <mergeCell ref="A1:AD1"/>
    <mergeCell ref="A2:D2"/>
    <mergeCell ref="Y2:AD2"/>
  </mergeCells>
  <conditionalFormatting sqref="C69">
    <cfRule type="cellIs" dxfId="0" priority="12" operator="equal">
      <formula>0</formula>
    </cfRule>
  </conditionalFormatting>
  <conditionalFormatting sqref="C4:C67">
    <cfRule type="cellIs" dxfId="0" priority="21" operator="equal">
      <formula>0</formula>
    </cfRule>
    <cfRule type="duplicateValues" dxfId="1" priority="20"/>
  </conditionalFormatting>
  <conditionalFormatting sqref="C70:C132">
    <cfRule type="cellIs" dxfId="0" priority="19" operator="equal">
      <formula>0</formula>
    </cfRule>
  </conditionalFormatting>
  <conditionalFormatting sqref="E4:E69">
    <cfRule type="cellIs" dxfId="0" priority="16" operator="equal">
      <formula>0</formula>
    </cfRule>
  </conditionalFormatting>
  <conditionalFormatting sqref="E70:E132">
    <cfRule type="cellIs" dxfId="0" priority="15" operator="equal">
      <formula>0</formula>
    </cfRule>
  </conditionalFormatting>
  <conditionalFormatting sqref="H70:H132">
    <cfRule type="cellIs" dxfId="0" priority="17" operator="equal">
      <formula>0</formula>
    </cfRule>
  </conditionalFormatting>
  <conditionalFormatting sqref="J4:J132">
    <cfRule type="cellIs" dxfId="0" priority="4" operator="equal">
      <formula>0</formula>
    </cfRule>
  </conditionalFormatting>
  <conditionalFormatting sqref="K4:K69">
    <cfRule type="cellIs" dxfId="0" priority="3" operator="equal">
      <formula>0</formula>
    </cfRule>
  </conditionalFormatting>
  <conditionalFormatting sqref="K70:K132">
    <cfRule type="cellIs" dxfId="0" priority="2" operator="equal">
      <formula>0</formula>
    </cfRule>
  </conditionalFormatting>
  <conditionalFormatting sqref="L4:L132">
    <cfRule type="cellIs" dxfId="0" priority="1" operator="equal">
      <formula>0</formula>
    </cfRule>
  </conditionalFormatting>
  <pageMargins left="0.393055555555556" right="0.751388888888889" top="0.393055555555556" bottom="0.393055555555556" header="0.5" footer="0.393055555555556"/>
  <pageSetup paperSize="9" scale="80" fitToHeight="0" orientation="landscape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33"/>
  <sheetViews>
    <sheetView topLeftCell="A69" workbookViewId="0">
      <selection activeCell="H142" sqref="H142"/>
    </sheetView>
  </sheetViews>
  <sheetFormatPr defaultColWidth="9" defaultRowHeight="13.5" outlineLevelCol="2"/>
  <sheetData>
    <row r="2" ht="14.25" spans="1:3">
      <c r="A2" s="57" t="s">
        <v>38</v>
      </c>
      <c r="B2" s="65" t="s">
        <v>38</v>
      </c>
      <c r="C2" t="str">
        <f>IF(A2=B2,"F","D")</f>
        <v>F</v>
      </c>
    </row>
    <row r="3" ht="14.25" spans="1:3">
      <c r="A3" s="57" t="s">
        <v>40</v>
      </c>
      <c r="B3" s="65" t="s">
        <v>40</v>
      </c>
      <c r="C3" t="str">
        <f t="shared" ref="C3:C34" si="0">IF(A3=B3,"F","D")</f>
        <v>F</v>
      </c>
    </row>
    <row r="4" ht="14.25" spans="1:3">
      <c r="A4" s="57" t="s">
        <v>42</v>
      </c>
      <c r="B4" s="65" t="s">
        <v>42</v>
      </c>
      <c r="C4" t="str">
        <f t="shared" si="0"/>
        <v>F</v>
      </c>
    </row>
    <row r="5" ht="14.25" spans="1:3">
      <c r="A5" s="57" t="s">
        <v>44</v>
      </c>
      <c r="B5" s="65" t="s">
        <v>44</v>
      </c>
      <c r="C5" t="str">
        <f t="shared" si="0"/>
        <v>F</v>
      </c>
    </row>
    <row r="6" ht="14.25" spans="1:3">
      <c r="A6" s="57" t="s">
        <v>46</v>
      </c>
      <c r="B6" s="65" t="s">
        <v>46</v>
      </c>
      <c r="C6" t="str">
        <f t="shared" si="0"/>
        <v>F</v>
      </c>
    </row>
    <row r="7" ht="14.25" spans="1:3">
      <c r="A7" s="57" t="s">
        <v>48</v>
      </c>
      <c r="B7" s="65" t="s">
        <v>48</v>
      </c>
      <c r="C7" t="str">
        <f t="shared" si="0"/>
        <v>F</v>
      </c>
    </row>
    <row r="8" ht="14.25" spans="1:3">
      <c r="A8" s="57" t="s">
        <v>50</v>
      </c>
      <c r="B8" s="65" t="s">
        <v>50</v>
      </c>
      <c r="C8" t="str">
        <f t="shared" si="0"/>
        <v>F</v>
      </c>
    </row>
    <row r="9" ht="14.25" spans="1:3">
      <c r="A9" s="57" t="s">
        <v>52</v>
      </c>
      <c r="B9" s="65" t="s">
        <v>52</v>
      </c>
      <c r="C9" t="str">
        <f t="shared" si="0"/>
        <v>F</v>
      </c>
    </row>
    <row r="10" ht="14.25" spans="1:3">
      <c r="A10" s="57" t="s">
        <v>54</v>
      </c>
      <c r="B10" s="65" t="s">
        <v>54</v>
      </c>
      <c r="C10" t="str">
        <f t="shared" si="0"/>
        <v>F</v>
      </c>
    </row>
    <row r="11" ht="14.25" spans="1:3">
      <c r="A11" s="57" t="s">
        <v>56</v>
      </c>
      <c r="B11" s="65" t="s">
        <v>56</v>
      </c>
      <c r="C11" t="str">
        <f t="shared" si="0"/>
        <v>F</v>
      </c>
    </row>
    <row r="12" ht="14.25" spans="1:3">
      <c r="A12" s="57" t="s">
        <v>58</v>
      </c>
      <c r="B12" s="65" t="s">
        <v>58</v>
      </c>
      <c r="C12" t="str">
        <f t="shared" si="0"/>
        <v>F</v>
      </c>
    </row>
    <row r="13" ht="14.25" spans="1:3">
      <c r="A13" s="57" t="s">
        <v>60</v>
      </c>
      <c r="B13" s="65" t="s">
        <v>60</v>
      </c>
      <c r="C13" t="str">
        <f t="shared" si="0"/>
        <v>F</v>
      </c>
    </row>
    <row r="14" ht="14.25" spans="1:3">
      <c r="A14" s="57" t="s">
        <v>62</v>
      </c>
      <c r="B14" s="65" t="s">
        <v>62</v>
      </c>
      <c r="C14" t="str">
        <f t="shared" si="0"/>
        <v>F</v>
      </c>
    </row>
    <row r="15" ht="14.25" spans="1:3">
      <c r="A15" s="57" t="s">
        <v>64</v>
      </c>
      <c r="B15" s="65" t="s">
        <v>64</v>
      </c>
      <c r="C15" t="str">
        <f t="shared" si="0"/>
        <v>F</v>
      </c>
    </row>
    <row r="16" ht="14.25" spans="1:3">
      <c r="A16" s="57" t="s">
        <v>66</v>
      </c>
      <c r="B16" s="65" t="s">
        <v>66</v>
      </c>
      <c r="C16" t="str">
        <f t="shared" si="0"/>
        <v>F</v>
      </c>
    </row>
    <row r="17" ht="14.25" spans="1:3">
      <c r="A17" s="57" t="s">
        <v>68</v>
      </c>
      <c r="B17" s="65" t="s">
        <v>68</v>
      </c>
      <c r="C17" t="str">
        <f t="shared" si="0"/>
        <v>F</v>
      </c>
    </row>
    <row r="18" ht="14.25" spans="1:3">
      <c r="A18" s="57" t="s">
        <v>70</v>
      </c>
      <c r="B18" s="65" t="s">
        <v>70</v>
      </c>
      <c r="C18" t="str">
        <f t="shared" si="0"/>
        <v>F</v>
      </c>
    </row>
    <row r="19" ht="14.25" spans="1:3">
      <c r="A19" s="57" t="s">
        <v>72</v>
      </c>
      <c r="B19" s="65" t="s">
        <v>72</v>
      </c>
      <c r="C19" t="str">
        <f t="shared" si="0"/>
        <v>F</v>
      </c>
    </row>
    <row r="20" ht="14.25" spans="1:3">
      <c r="A20" s="57" t="s">
        <v>74</v>
      </c>
      <c r="B20" s="65" t="s">
        <v>74</v>
      </c>
      <c r="C20" t="str">
        <f t="shared" si="0"/>
        <v>F</v>
      </c>
    </row>
    <row r="21" ht="14.25" spans="1:3">
      <c r="A21" s="57" t="s">
        <v>76</v>
      </c>
      <c r="B21" s="65" t="s">
        <v>76</v>
      </c>
      <c r="C21" t="str">
        <f t="shared" si="0"/>
        <v>F</v>
      </c>
    </row>
    <row r="22" ht="14.25" spans="1:3">
      <c r="A22" s="57" t="s">
        <v>78</v>
      </c>
      <c r="B22" s="65" t="s">
        <v>78</v>
      </c>
      <c r="C22" t="str">
        <f t="shared" si="0"/>
        <v>F</v>
      </c>
    </row>
    <row r="23" ht="14.25" spans="1:3">
      <c r="A23" s="57" t="s">
        <v>80</v>
      </c>
      <c r="B23" s="65" t="s">
        <v>80</v>
      </c>
      <c r="C23" t="str">
        <f t="shared" si="0"/>
        <v>F</v>
      </c>
    </row>
    <row r="24" ht="14.25" spans="1:3">
      <c r="A24" s="57" t="s">
        <v>82</v>
      </c>
      <c r="B24" s="65" t="s">
        <v>82</v>
      </c>
      <c r="C24" t="str">
        <f t="shared" si="0"/>
        <v>F</v>
      </c>
    </row>
    <row r="25" ht="14.25" spans="1:3">
      <c r="A25" s="57" t="s">
        <v>84</v>
      </c>
      <c r="B25" s="65" t="s">
        <v>84</v>
      </c>
      <c r="C25" t="str">
        <f t="shared" si="0"/>
        <v>F</v>
      </c>
    </row>
    <row r="26" ht="14.25" spans="1:3">
      <c r="A26" s="57" t="s">
        <v>86</v>
      </c>
      <c r="B26" s="65" t="s">
        <v>86</v>
      </c>
      <c r="C26" t="str">
        <f t="shared" si="0"/>
        <v>F</v>
      </c>
    </row>
    <row r="27" ht="14.25" spans="1:3">
      <c r="A27" s="57" t="s">
        <v>88</v>
      </c>
      <c r="B27" s="193" t="s">
        <v>88</v>
      </c>
      <c r="C27" t="str">
        <f t="shared" si="0"/>
        <v>F</v>
      </c>
    </row>
    <row r="28" ht="14.25" spans="1:3">
      <c r="A28" s="57" t="s">
        <v>90</v>
      </c>
      <c r="B28" s="193" t="s">
        <v>90</v>
      </c>
      <c r="C28" t="str">
        <f t="shared" si="0"/>
        <v>F</v>
      </c>
    </row>
    <row r="29" ht="14.25" spans="1:3">
      <c r="A29" s="57" t="s">
        <v>92</v>
      </c>
      <c r="B29" s="65" t="s">
        <v>92</v>
      </c>
      <c r="C29" t="str">
        <f t="shared" si="0"/>
        <v>F</v>
      </c>
    </row>
    <row r="30" ht="14.25" spans="1:3">
      <c r="A30" s="57" t="s">
        <v>94</v>
      </c>
      <c r="B30" s="193" t="s">
        <v>94</v>
      </c>
      <c r="C30" t="str">
        <f t="shared" si="0"/>
        <v>F</v>
      </c>
    </row>
    <row r="31" ht="14.25" spans="1:3">
      <c r="A31" s="57" t="s">
        <v>96</v>
      </c>
      <c r="B31" s="65" t="s">
        <v>96</v>
      </c>
      <c r="C31" t="str">
        <f t="shared" si="0"/>
        <v>F</v>
      </c>
    </row>
    <row r="32" ht="14.25" spans="1:3">
      <c r="A32" s="57" t="s">
        <v>98</v>
      </c>
      <c r="B32" s="65" t="s">
        <v>98</v>
      </c>
      <c r="C32" t="str">
        <f t="shared" si="0"/>
        <v>F</v>
      </c>
    </row>
    <row r="33" ht="14.25" spans="1:3">
      <c r="A33" s="57" t="s">
        <v>100</v>
      </c>
      <c r="B33" s="65" t="s">
        <v>100</v>
      </c>
      <c r="C33" t="str">
        <f t="shared" si="0"/>
        <v>F</v>
      </c>
    </row>
    <row r="34" ht="14.25" spans="1:3">
      <c r="A34" s="57" t="s">
        <v>102</v>
      </c>
      <c r="B34" s="65" t="s">
        <v>102</v>
      </c>
      <c r="C34" t="str">
        <f t="shared" si="0"/>
        <v>F</v>
      </c>
    </row>
    <row r="35" ht="14.25" spans="1:3">
      <c r="A35" s="57" t="s">
        <v>104</v>
      </c>
      <c r="B35" s="65" t="s">
        <v>104</v>
      </c>
      <c r="C35" t="str">
        <f t="shared" ref="C35:C66" si="1">IF(A35=B35,"F","D")</f>
        <v>F</v>
      </c>
    </row>
    <row r="36" ht="14.25" spans="1:3">
      <c r="A36" s="57" t="s">
        <v>319</v>
      </c>
      <c r="B36" s="193" t="s">
        <v>106</v>
      </c>
      <c r="C36" t="str">
        <f t="shared" si="1"/>
        <v>D</v>
      </c>
    </row>
    <row r="37" ht="14.25" spans="1:3">
      <c r="A37" s="57" t="s">
        <v>108</v>
      </c>
      <c r="B37" s="65" t="s">
        <v>108</v>
      </c>
      <c r="C37" t="str">
        <f t="shared" si="1"/>
        <v>F</v>
      </c>
    </row>
    <row r="38" ht="14.25" spans="1:3">
      <c r="A38" s="57" t="s">
        <v>110</v>
      </c>
      <c r="B38" s="65" t="s">
        <v>110</v>
      </c>
      <c r="C38" t="str">
        <f t="shared" si="1"/>
        <v>F</v>
      </c>
    </row>
    <row r="39" ht="14.25" spans="1:3">
      <c r="A39" s="57" t="s">
        <v>112</v>
      </c>
      <c r="B39" s="65" t="s">
        <v>112</v>
      </c>
      <c r="C39" t="str">
        <f t="shared" si="1"/>
        <v>F</v>
      </c>
    </row>
    <row r="40" ht="14.25" spans="1:3">
      <c r="A40" s="57" t="s">
        <v>114</v>
      </c>
      <c r="B40" s="65" t="s">
        <v>114</v>
      </c>
      <c r="C40" t="str">
        <f t="shared" si="1"/>
        <v>F</v>
      </c>
    </row>
    <row r="41" ht="14.25" spans="1:3">
      <c r="A41" s="57" t="s">
        <v>320</v>
      </c>
      <c r="B41" s="65" t="s">
        <v>116</v>
      </c>
      <c r="C41" t="str">
        <f t="shared" si="1"/>
        <v>D</v>
      </c>
    </row>
    <row r="42" ht="14.25" spans="1:3">
      <c r="A42" s="57" t="s">
        <v>118</v>
      </c>
      <c r="B42" s="65" t="s">
        <v>118</v>
      </c>
      <c r="C42" t="str">
        <f t="shared" si="1"/>
        <v>F</v>
      </c>
    </row>
    <row r="43" ht="14.25" spans="1:3">
      <c r="A43" s="57" t="s">
        <v>120</v>
      </c>
      <c r="B43" s="65" t="s">
        <v>120</v>
      </c>
      <c r="C43" t="str">
        <f t="shared" si="1"/>
        <v>F</v>
      </c>
    </row>
    <row r="44" ht="14.25" spans="1:3">
      <c r="A44" s="57" t="s">
        <v>122</v>
      </c>
      <c r="B44" s="65" t="s">
        <v>122</v>
      </c>
      <c r="C44" t="str">
        <f t="shared" si="1"/>
        <v>F</v>
      </c>
    </row>
    <row r="45" ht="14.25" spans="1:3">
      <c r="A45" s="57" t="s">
        <v>124</v>
      </c>
      <c r="B45" s="65" t="s">
        <v>124</v>
      </c>
      <c r="C45" t="str">
        <f t="shared" si="1"/>
        <v>F</v>
      </c>
    </row>
    <row r="46" ht="14.25" spans="1:3">
      <c r="A46" s="57" t="s">
        <v>126</v>
      </c>
      <c r="B46" s="65" t="s">
        <v>126</v>
      </c>
      <c r="C46" t="str">
        <f t="shared" si="1"/>
        <v>F</v>
      </c>
    </row>
    <row r="47" ht="14.25" spans="1:3">
      <c r="A47" s="57" t="s">
        <v>128</v>
      </c>
      <c r="B47" s="65" t="s">
        <v>128</v>
      </c>
      <c r="C47" t="str">
        <f t="shared" si="1"/>
        <v>F</v>
      </c>
    </row>
    <row r="48" ht="14.25" spans="1:3">
      <c r="A48" s="57" t="s">
        <v>130</v>
      </c>
      <c r="B48" s="65" t="s">
        <v>130</v>
      </c>
      <c r="C48" t="str">
        <f t="shared" si="1"/>
        <v>F</v>
      </c>
    </row>
    <row r="49" ht="14.25" spans="1:3">
      <c r="A49" s="57" t="s">
        <v>132</v>
      </c>
      <c r="B49" s="65" t="s">
        <v>132</v>
      </c>
      <c r="C49" t="str">
        <f t="shared" si="1"/>
        <v>F</v>
      </c>
    </row>
    <row r="50" ht="14.25" spans="1:3">
      <c r="A50" s="57" t="s">
        <v>134</v>
      </c>
      <c r="B50" s="65" t="s">
        <v>134</v>
      </c>
      <c r="C50" t="str">
        <f t="shared" si="1"/>
        <v>F</v>
      </c>
    </row>
    <row r="51" ht="14.25" spans="1:3">
      <c r="A51" s="57" t="s">
        <v>136</v>
      </c>
      <c r="B51" s="65" t="s">
        <v>136</v>
      </c>
      <c r="C51" t="str">
        <f t="shared" si="1"/>
        <v>F</v>
      </c>
    </row>
    <row r="52" ht="14.25" spans="1:3">
      <c r="A52" s="57" t="s">
        <v>138</v>
      </c>
      <c r="B52" s="65" t="s">
        <v>138</v>
      </c>
      <c r="C52" t="str">
        <f t="shared" si="1"/>
        <v>F</v>
      </c>
    </row>
    <row r="53" ht="14.25" spans="1:3">
      <c r="A53" s="57" t="s">
        <v>140</v>
      </c>
      <c r="B53" s="65" t="s">
        <v>140</v>
      </c>
      <c r="C53" t="str">
        <f t="shared" si="1"/>
        <v>F</v>
      </c>
    </row>
    <row r="54" ht="14.25" spans="1:3">
      <c r="A54" s="57" t="s">
        <v>142</v>
      </c>
      <c r="B54" s="65" t="s">
        <v>142</v>
      </c>
      <c r="C54" t="str">
        <f t="shared" si="1"/>
        <v>F</v>
      </c>
    </row>
    <row r="55" ht="14.25" spans="1:3">
      <c r="A55" s="57" t="s">
        <v>144</v>
      </c>
      <c r="B55" s="65" t="s">
        <v>144</v>
      </c>
      <c r="C55" t="str">
        <f t="shared" si="1"/>
        <v>F</v>
      </c>
    </row>
    <row r="56" ht="14.25" spans="1:3">
      <c r="A56" s="57" t="s">
        <v>146</v>
      </c>
      <c r="B56" s="65" t="s">
        <v>146</v>
      </c>
      <c r="C56" t="str">
        <f t="shared" si="1"/>
        <v>F</v>
      </c>
    </row>
    <row r="57" ht="14.25" spans="1:3">
      <c r="A57" s="57" t="s">
        <v>148</v>
      </c>
      <c r="B57" s="65" t="s">
        <v>148</v>
      </c>
      <c r="C57" t="str">
        <f t="shared" si="1"/>
        <v>F</v>
      </c>
    </row>
    <row r="58" ht="14.25" spans="1:3">
      <c r="A58" s="57" t="s">
        <v>321</v>
      </c>
      <c r="B58" s="65" t="s">
        <v>150</v>
      </c>
      <c r="C58" t="str">
        <f t="shared" si="1"/>
        <v>D</v>
      </c>
    </row>
    <row r="59" ht="14.25" spans="1:3">
      <c r="A59" s="57" t="s">
        <v>152</v>
      </c>
      <c r="B59" s="65" t="s">
        <v>152</v>
      </c>
      <c r="C59" t="str">
        <f t="shared" si="1"/>
        <v>F</v>
      </c>
    </row>
    <row r="60" ht="14.25" spans="1:3">
      <c r="A60" s="57" t="s">
        <v>154</v>
      </c>
      <c r="B60" s="65" t="s">
        <v>154</v>
      </c>
      <c r="C60" t="str">
        <f t="shared" si="1"/>
        <v>F</v>
      </c>
    </row>
    <row r="61" ht="14.25" spans="1:3">
      <c r="A61" s="57" t="s">
        <v>322</v>
      </c>
      <c r="B61" s="193" t="s">
        <v>156</v>
      </c>
      <c r="C61" t="str">
        <f t="shared" si="1"/>
        <v>D</v>
      </c>
    </row>
    <row r="62" ht="14.25" spans="1:3">
      <c r="A62" s="57" t="s">
        <v>158</v>
      </c>
      <c r="B62" s="193" t="s">
        <v>158</v>
      </c>
      <c r="C62" t="str">
        <f t="shared" si="1"/>
        <v>F</v>
      </c>
    </row>
    <row r="63" ht="14.25" spans="1:3">
      <c r="A63" s="57" t="s">
        <v>160</v>
      </c>
      <c r="B63" s="65" t="s">
        <v>160</v>
      </c>
      <c r="C63" t="str">
        <f t="shared" si="1"/>
        <v>F</v>
      </c>
    </row>
    <row r="64" ht="14.25" spans="1:3">
      <c r="A64" s="57" t="s">
        <v>162</v>
      </c>
      <c r="B64" s="65" t="s">
        <v>162</v>
      </c>
      <c r="C64" t="str">
        <f t="shared" si="1"/>
        <v>F</v>
      </c>
    </row>
    <row r="65" ht="14.25" spans="1:3">
      <c r="A65" s="57" t="s">
        <v>164</v>
      </c>
      <c r="B65" s="65" t="s">
        <v>164</v>
      </c>
      <c r="C65" t="str">
        <f t="shared" si="1"/>
        <v>F</v>
      </c>
    </row>
    <row r="66" ht="14.25" spans="1:3">
      <c r="A66" s="57" t="s">
        <v>165</v>
      </c>
      <c r="B66" s="112" t="s">
        <v>165</v>
      </c>
      <c r="C66" t="str">
        <f t="shared" si="1"/>
        <v>F</v>
      </c>
    </row>
    <row r="67" ht="28.5" spans="1:3">
      <c r="A67" s="194" t="s">
        <v>323</v>
      </c>
      <c r="B67" s="69" t="s">
        <v>166</v>
      </c>
      <c r="C67" t="str">
        <f t="shared" ref="C67:C98" si="2">IF(A67=B67,"F","D")</f>
        <v>D</v>
      </c>
    </row>
    <row r="68" ht="14.25" spans="1:3">
      <c r="A68" s="57" t="s">
        <v>168</v>
      </c>
      <c r="B68" s="65" t="s">
        <v>168</v>
      </c>
      <c r="C68" t="str">
        <f t="shared" si="2"/>
        <v>F</v>
      </c>
    </row>
    <row r="69" ht="14.25" spans="1:3">
      <c r="A69" s="57" t="s">
        <v>170</v>
      </c>
      <c r="B69" s="65" t="s">
        <v>170</v>
      </c>
      <c r="C69" t="str">
        <f t="shared" si="2"/>
        <v>F</v>
      </c>
    </row>
    <row r="70" ht="14.25" spans="1:3">
      <c r="A70" s="57" t="s">
        <v>172</v>
      </c>
      <c r="B70" s="65" t="s">
        <v>172</v>
      </c>
      <c r="C70" t="str">
        <f t="shared" si="2"/>
        <v>F</v>
      </c>
    </row>
    <row r="71" ht="14.25" spans="1:3">
      <c r="A71" s="57" t="s">
        <v>174</v>
      </c>
      <c r="B71" s="65" t="s">
        <v>174</v>
      </c>
      <c r="C71" t="str">
        <f t="shared" si="2"/>
        <v>F</v>
      </c>
    </row>
    <row r="72" ht="14.25" spans="1:3">
      <c r="A72" s="57" t="s">
        <v>176</v>
      </c>
      <c r="B72" s="65" t="s">
        <v>176</v>
      </c>
      <c r="C72" t="str">
        <f t="shared" si="2"/>
        <v>F</v>
      </c>
    </row>
    <row r="73" ht="14.25" spans="1:3">
      <c r="A73" s="57" t="s">
        <v>178</v>
      </c>
      <c r="B73" s="65" t="s">
        <v>178</v>
      </c>
      <c r="C73" t="str">
        <f t="shared" si="2"/>
        <v>F</v>
      </c>
    </row>
    <row r="74" ht="14.25" spans="1:3">
      <c r="A74" s="57" t="s">
        <v>180</v>
      </c>
      <c r="B74" s="65" t="s">
        <v>180</v>
      </c>
      <c r="C74" t="str">
        <f t="shared" si="2"/>
        <v>F</v>
      </c>
    </row>
    <row r="75" ht="14.25" spans="1:3">
      <c r="A75" s="57" t="s">
        <v>182</v>
      </c>
      <c r="B75" s="65" t="s">
        <v>182</v>
      </c>
      <c r="C75" t="str">
        <f t="shared" si="2"/>
        <v>F</v>
      </c>
    </row>
    <row r="76" ht="14.25" spans="1:3">
      <c r="A76" s="57" t="s">
        <v>184</v>
      </c>
      <c r="B76" s="65" t="s">
        <v>184</v>
      </c>
      <c r="C76" t="str">
        <f t="shared" si="2"/>
        <v>F</v>
      </c>
    </row>
    <row r="77" ht="14.25" spans="1:3">
      <c r="A77" s="57" t="s">
        <v>186</v>
      </c>
      <c r="B77" s="65" t="s">
        <v>186</v>
      </c>
      <c r="C77" t="str">
        <f t="shared" si="2"/>
        <v>F</v>
      </c>
    </row>
    <row r="78" ht="18.75" spans="1:3">
      <c r="A78" s="195" t="s">
        <v>188</v>
      </c>
      <c r="B78" s="196" t="s">
        <v>188</v>
      </c>
      <c r="C78" t="str">
        <f t="shared" si="2"/>
        <v>F</v>
      </c>
    </row>
    <row r="79" ht="14.25" spans="1:3">
      <c r="A79" s="57" t="s">
        <v>190</v>
      </c>
      <c r="B79" s="65" t="s">
        <v>190</v>
      </c>
      <c r="C79" t="str">
        <f t="shared" si="2"/>
        <v>F</v>
      </c>
    </row>
    <row r="80" ht="14.25" spans="1:3">
      <c r="A80" s="57" t="s">
        <v>192</v>
      </c>
      <c r="B80" s="65" t="s">
        <v>192</v>
      </c>
      <c r="C80" t="str">
        <f t="shared" si="2"/>
        <v>F</v>
      </c>
    </row>
    <row r="81" ht="14.25" spans="1:3">
      <c r="A81" s="57" t="s">
        <v>194</v>
      </c>
      <c r="B81" s="65" t="s">
        <v>194</v>
      </c>
      <c r="C81" t="str">
        <f t="shared" si="2"/>
        <v>F</v>
      </c>
    </row>
    <row r="82" ht="14.25" spans="1:3">
      <c r="A82" s="57" t="s">
        <v>196</v>
      </c>
      <c r="B82" s="65" t="s">
        <v>196</v>
      </c>
      <c r="C82" t="str">
        <f t="shared" si="2"/>
        <v>F</v>
      </c>
    </row>
    <row r="83" ht="14.25" spans="1:3">
      <c r="A83" s="57" t="s">
        <v>198</v>
      </c>
      <c r="B83" s="65" t="s">
        <v>198</v>
      </c>
      <c r="C83" t="str">
        <f t="shared" si="2"/>
        <v>F</v>
      </c>
    </row>
    <row r="84" ht="14.25" spans="1:3">
      <c r="A84" s="57" t="s">
        <v>200</v>
      </c>
      <c r="B84" s="65" t="s">
        <v>200</v>
      </c>
      <c r="C84" t="str">
        <f t="shared" si="2"/>
        <v>F</v>
      </c>
    </row>
    <row r="85" ht="14.25" spans="1:3">
      <c r="A85" s="57" t="s">
        <v>202</v>
      </c>
      <c r="B85" s="65" t="s">
        <v>202</v>
      </c>
      <c r="C85" t="str">
        <f t="shared" si="2"/>
        <v>F</v>
      </c>
    </row>
    <row r="86" ht="14.25" spans="1:3">
      <c r="A86" s="57" t="s">
        <v>204</v>
      </c>
      <c r="B86" s="65" t="s">
        <v>204</v>
      </c>
      <c r="C86" t="str">
        <f t="shared" si="2"/>
        <v>F</v>
      </c>
    </row>
    <row r="87" ht="14.25" spans="1:3">
      <c r="A87" s="57" t="s">
        <v>206</v>
      </c>
      <c r="B87" s="65" t="s">
        <v>206</v>
      </c>
      <c r="C87" t="str">
        <f t="shared" si="2"/>
        <v>F</v>
      </c>
    </row>
    <row r="88" ht="14.25" spans="1:3">
      <c r="A88" s="57" t="s">
        <v>208</v>
      </c>
      <c r="B88" s="65" t="s">
        <v>208</v>
      </c>
      <c r="C88" t="str">
        <f t="shared" si="2"/>
        <v>F</v>
      </c>
    </row>
    <row r="89" ht="14.25" spans="1:3">
      <c r="A89" s="57" t="s">
        <v>210</v>
      </c>
      <c r="B89" s="65" t="s">
        <v>210</v>
      </c>
      <c r="C89" t="str">
        <f t="shared" si="2"/>
        <v>F</v>
      </c>
    </row>
    <row r="90" ht="14.25" spans="1:3">
      <c r="A90" s="57" t="s">
        <v>212</v>
      </c>
      <c r="B90" s="65" t="s">
        <v>212</v>
      </c>
      <c r="C90" t="str">
        <f t="shared" si="2"/>
        <v>F</v>
      </c>
    </row>
    <row r="91" ht="14.25" spans="1:3">
      <c r="A91" s="57" t="s">
        <v>214</v>
      </c>
      <c r="B91" s="65" t="s">
        <v>214</v>
      </c>
      <c r="C91" t="str">
        <f t="shared" si="2"/>
        <v>F</v>
      </c>
    </row>
    <row r="92" ht="14.25" spans="1:3">
      <c r="A92" s="57" t="s">
        <v>216</v>
      </c>
      <c r="B92" s="65" t="s">
        <v>216</v>
      </c>
      <c r="C92" t="str">
        <f t="shared" si="2"/>
        <v>F</v>
      </c>
    </row>
    <row r="93" ht="14.25" spans="1:3">
      <c r="A93" s="57" t="s">
        <v>218</v>
      </c>
      <c r="B93" s="65" t="s">
        <v>218</v>
      </c>
      <c r="C93" t="str">
        <f t="shared" si="2"/>
        <v>F</v>
      </c>
    </row>
    <row r="94" ht="14.25" spans="1:3">
      <c r="A94" s="57" t="s">
        <v>220</v>
      </c>
      <c r="B94" s="65" t="s">
        <v>220</v>
      </c>
      <c r="C94" t="str">
        <f t="shared" si="2"/>
        <v>F</v>
      </c>
    </row>
    <row r="95" ht="14.25" spans="1:3">
      <c r="A95" s="57" t="s">
        <v>222</v>
      </c>
      <c r="B95" s="65" t="s">
        <v>222</v>
      </c>
      <c r="C95" t="str">
        <f t="shared" si="2"/>
        <v>F</v>
      </c>
    </row>
    <row r="96" ht="14.25" spans="1:3">
      <c r="A96" s="57" t="s">
        <v>224</v>
      </c>
      <c r="B96" s="65" t="s">
        <v>224</v>
      </c>
      <c r="C96" t="str">
        <f t="shared" si="2"/>
        <v>F</v>
      </c>
    </row>
    <row r="97" ht="14.25" spans="1:3">
      <c r="A97" s="57" t="s">
        <v>226</v>
      </c>
      <c r="B97" s="65" t="s">
        <v>226</v>
      </c>
      <c r="C97" t="str">
        <f t="shared" si="2"/>
        <v>F</v>
      </c>
    </row>
    <row r="98" ht="14.25" spans="1:3">
      <c r="A98" s="57" t="s">
        <v>228</v>
      </c>
      <c r="B98" s="65" t="s">
        <v>228</v>
      </c>
      <c r="C98" t="str">
        <f t="shared" si="2"/>
        <v>F</v>
      </c>
    </row>
    <row r="99" ht="14.25" spans="1:3">
      <c r="A99" s="57" t="s">
        <v>230</v>
      </c>
      <c r="B99" s="65" t="s">
        <v>230</v>
      </c>
      <c r="C99" t="str">
        <f t="shared" ref="C99:C133" si="3">IF(A99=B99,"F","D")</f>
        <v>F</v>
      </c>
    </row>
    <row r="100" ht="14.25" spans="1:3">
      <c r="A100" s="57" t="s">
        <v>232</v>
      </c>
      <c r="B100" s="65" t="s">
        <v>232</v>
      </c>
      <c r="C100" t="str">
        <f t="shared" si="3"/>
        <v>F</v>
      </c>
    </row>
    <row r="101" ht="14.25" spans="1:3">
      <c r="A101" s="57" t="s">
        <v>234</v>
      </c>
      <c r="B101" s="193" t="s">
        <v>234</v>
      </c>
      <c r="C101" t="str">
        <f t="shared" si="3"/>
        <v>F</v>
      </c>
    </row>
    <row r="102" ht="14.25" spans="1:3">
      <c r="A102" s="57" t="s">
        <v>236</v>
      </c>
      <c r="B102" s="65" t="s">
        <v>236</v>
      </c>
      <c r="C102" t="str">
        <f t="shared" si="3"/>
        <v>F</v>
      </c>
    </row>
    <row r="103" ht="14.25" spans="1:3">
      <c r="A103" s="57" t="s">
        <v>238</v>
      </c>
      <c r="B103" s="65" t="s">
        <v>238</v>
      </c>
      <c r="C103" t="str">
        <f t="shared" si="3"/>
        <v>F</v>
      </c>
    </row>
    <row r="104" ht="14.25" spans="1:3">
      <c r="A104" s="57" t="s">
        <v>240</v>
      </c>
      <c r="B104" s="65" t="s">
        <v>240</v>
      </c>
      <c r="C104" t="str">
        <f t="shared" si="3"/>
        <v>F</v>
      </c>
    </row>
    <row r="105" ht="14.25" spans="1:3">
      <c r="A105" s="57" t="s">
        <v>242</v>
      </c>
      <c r="B105" s="65" t="s">
        <v>242</v>
      </c>
      <c r="C105" t="str">
        <f t="shared" si="3"/>
        <v>F</v>
      </c>
    </row>
    <row r="106" ht="14.25" spans="1:3">
      <c r="A106" s="57" t="s">
        <v>244</v>
      </c>
      <c r="B106" s="65" t="s">
        <v>244</v>
      </c>
      <c r="C106" t="str">
        <f t="shared" si="3"/>
        <v>F</v>
      </c>
    </row>
    <row r="107" ht="14.25" spans="1:3">
      <c r="A107" s="57" t="s">
        <v>246</v>
      </c>
      <c r="B107" s="65" t="s">
        <v>246</v>
      </c>
      <c r="C107" t="str">
        <f t="shared" si="3"/>
        <v>F</v>
      </c>
    </row>
    <row r="108" ht="14.25" spans="1:3">
      <c r="A108" s="57" t="s">
        <v>248</v>
      </c>
      <c r="B108" s="65" t="s">
        <v>248</v>
      </c>
      <c r="C108" t="str">
        <f t="shared" si="3"/>
        <v>F</v>
      </c>
    </row>
    <row r="109" ht="14.25" spans="1:3">
      <c r="A109" s="57" t="s">
        <v>250</v>
      </c>
      <c r="B109" s="65" t="s">
        <v>250</v>
      </c>
      <c r="C109" t="str">
        <f t="shared" si="3"/>
        <v>F</v>
      </c>
    </row>
    <row r="110" ht="14.25" spans="1:3">
      <c r="A110" s="57" t="s">
        <v>252</v>
      </c>
      <c r="B110" s="65" t="s">
        <v>252</v>
      </c>
      <c r="C110" t="str">
        <f t="shared" si="3"/>
        <v>F</v>
      </c>
    </row>
    <row r="111" ht="14.25" spans="1:3">
      <c r="A111" s="57" t="s">
        <v>254</v>
      </c>
      <c r="B111" s="65" t="s">
        <v>254</v>
      </c>
      <c r="C111" t="str">
        <f t="shared" si="3"/>
        <v>F</v>
      </c>
    </row>
    <row r="112" ht="14.25" spans="1:3">
      <c r="A112" s="57" t="s">
        <v>256</v>
      </c>
      <c r="B112" s="65" t="s">
        <v>256</v>
      </c>
      <c r="C112" t="str">
        <f t="shared" si="3"/>
        <v>F</v>
      </c>
    </row>
    <row r="113" ht="14.25" spans="1:3">
      <c r="A113" s="57" t="s">
        <v>258</v>
      </c>
      <c r="B113" s="65" t="s">
        <v>258</v>
      </c>
      <c r="C113" t="str">
        <f t="shared" si="3"/>
        <v>F</v>
      </c>
    </row>
    <row r="114" ht="14.25" spans="1:3">
      <c r="A114" s="57" t="s">
        <v>260</v>
      </c>
      <c r="B114" s="65" t="s">
        <v>260</v>
      </c>
      <c r="C114" t="str">
        <f t="shared" si="3"/>
        <v>F</v>
      </c>
    </row>
    <row r="115" ht="14.25" spans="1:3">
      <c r="A115" s="57" t="s">
        <v>262</v>
      </c>
      <c r="B115" s="65" t="s">
        <v>262</v>
      </c>
      <c r="C115" t="str">
        <f t="shared" si="3"/>
        <v>F</v>
      </c>
    </row>
    <row r="116" ht="14.25" spans="1:3">
      <c r="A116" s="57" t="s">
        <v>264</v>
      </c>
      <c r="B116" s="65" t="s">
        <v>264</v>
      </c>
      <c r="C116" t="str">
        <f t="shared" si="3"/>
        <v>F</v>
      </c>
    </row>
    <row r="117" ht="14.25" spans="1:3">
      <c r="A117" s="57" t="s">
        <v>266</v>
      </c>
      <c r="B117" s="65" t="s">
        <v>266</v>
      </c>
      <c r="C117" t="str">
        <f t="shared" si="3"/>
        <v>F</v>
      </c>
    </row>
    <row r="118" ht="14.25" spans="1:3">
      <c r="A118" s="57" t="s">
        <v>268</v>
      </c>
      <c r="B118" s="65" t="s">
        <v>268</v>
      </c>
      <c r="C118" t="str">
        <f t="shared" si="3"/>
        <v>F</v>
      </c>
    </row>
    <row r="119" ht="14.25" spans="1:3">
      <c r="A119" s="57" t="s">
        <v>270</v>
      </c>
      <c r="B119" s="65" t="s">
        <v>270</v>
      </c>
      <c r="C119" t="str">
        <f t="shared" si="3"/>
        <v>F</v>
      </c>
    </row>
    <row r="120" ht="14.25" spans="1:3">
      <c r="A120" s="57" t="s">
        <v>272</v>
      </c>
      <c r="B120" s="65" t="s">
        <v>272</v>
      </c>
      <c r="C120" t="str">
        <f t="shared" si="3"/>
        <v>F</v>
      </c>
    </row>
    <row r="121" ht="14.25" spans="1:3">
      <c r="A121" s="57" t="s">
        <v>274</v>
      </c>
      <c r="B121" s="65" t="s">
        <v>274</v>
      </c>
      <c r="C121" t="str">
        <f t="shared" si="3"/>
        <v>F</v>
      </c>
    </row>
    <row r="122" ht="14.25" spans="1:3">
      <c r="A122" s="57" t="s">
        <v>276</v>
      </c>
      <c r="B122" s="193" t="s">
        <v>276</v>
      </c>
      <c r="C122" t="str">
        <f t="shared" si="3"/>
        <v>F</v>
      </c>
    </row>
    <row r="123" ht="14.25" spans="1:3">
      <c r="A123" s="57" t="s">
        <v>278</v>
      </c>
      <c r="B123" s="65" t="s">
        <v>278</v>
      </c>
      <c r="C123" t="str">
        <f t="shared" si="3"/>
        <v>F</v>
      </c>
    </row>
    <row r="124" ht="14.25" spans="1:3">
      <c r="A124" s="57" t="s">
        <v>280</v>
      </c>
      <c r="B124" s="65" t="s">
        <v>280</v>
      </c>
      <c r="C124" t="str">
        <f t="shared" si="3"/>
        <v>F</v>
      </c>
    </row>
    <row r="125" ht="14.25" spans="1:3">
      <c r="A125" s="57" t="s">
        <v>282</v>
      </c>
      <c r="B125" s="65" t="s">
        <v>282</v>
      </c>
      <c r="C125" t="str">
        <f t="shared" si="3"/>
        <v>F</v>
      </c>
    </row>
    <row r="126" ht="14.25" spans="1:3">
      <c r="A126" s="57" t="s">
        <v>284</v>
      </c>
      <c r="B126" s="65" t="s">
        <v>284</v>
      </c>
      <c r="C126" t="str">
        <f t="shared" si="3"/>
        <v>F</v>
      </c>
    </row>
    <row r="127" ht="14.25" spans="1:3">
      <c r="A127" s="57" t="s">
        <v>286</v>
      </c>
      <c r="B127" s="65" t="s">
        <v>286</v>
      </c>
      <c r="C127" t="str">
        <f t="shared" si="3"/>
        <v>F</v>
      </c>
    </row>
    <row r="128" ht="14.25" spans="1:3">
      <c r="A128" s="57" t="s">
        <v>288</v>
      </c>
      <c r="B128" s="65" t="s">
        <v>288</v>
      </c>
      <c r="C128" t="str">
        <f t="shared" si="3"/>
        <v>F</v>
      </c>
    </row>
    <row r="129" ht="14.25" spans="1:3">
      <c r="A129" s="57" t="s">
        <v>290</v>
      </c>
      <c r="B129" s="65" t="s">
        <v>290</v>
      </c>
      <c r="C129" t="str">
        <f t="shared" si="3"/>
        <v>F</v>
      </c>
    </row>
    <row r="130" ht="14.25" spans="1:3">
      <c r="A130" s="57" t="s">
        <v>292</v>
      </c>
      <c r="B130" s="65" t="s">
        <v>292</v>
      </c>
      <c r="C130" t="str">
        <f t="shared" si="3"/>
        <v>F</v>
      </c>
    </row>
    <row r="131" ht="14.25" spans="1:3">
      <c r="A131" s="57" t="s">
        <v>348</v>
      </c>
      <c r="B131" s="112" t="s">
        <v>349</v>
      </c>
      <c r="C131" t="str">
        <f t="shared" si="3"/>
        <v>D</v>
      </c>
    </row>
    <row r="132" ht="14.25" spans="1:3">
      <c r="A132" s="57" t="s">
        <v>350</v>
      </c>
      <c r="B132" s="112" t="s">
        <v>348</v>
      </c>
      <c r="C132" t="str">
        <f t="shared" si="3"/>
        <v>D</v>
      </c>
    </row>
    <row r="133" ht="14.25" spans="1:3">
      <c r="A133" s="57" t="s">
        <v>349</v>
      </c>
      <c r="B133" s="112" t="s">
        <v>350</v>
      </c>
      <c r="C133" t="str">
        <f t="shared" si="3"/>
        <v>D</v>
      </c>
    </row>
  </sheetData>
  <autoFilter ref="A2:C133">
    <extLst/>
  </autoFilter>
  <conditionalFormatting sqref="B67">
    <cfRule type="cellIs" dxfId="0" priority="1" operator="equal">
      <formula>0</formula>
    </cfRule>
  </conditionalFormatting>
  <conditionalFormatting sqref="A2:A65">
    <cfRule type="duplicateValues" dxfId="1" priority="18"/>
    <cfRule type="cellIs" dxfId="0" priority="19" operator="equal">
      <formula>0</formula>
    </cfRule>
  </conditionalFormatting>
  <conditionalFormatting sqref="A68:A130">
    <cfRule type="cellIs" dxfId="0" priority="16" operator="equal">
      <formula>0</formula>
    </cfRule>
  </conditionalFormatting>
  <conditionalFormatting sqref="B2:B65">
    <cfRule type="cellIs" dxfId="0" priority="5" operator="equal">
      <formula>0</formula>
    </cfRule>
    <cfRule type="duplicateValues" dxfId="1" priority="4"/>
  </conditionalFormatting>
  <conditionalFormatting sqref="B68:B130">
    <cfRule type="cellIs" dxfId="0" priority="3" operator="equal">
      <formula>0</formula>
    </cfRule>
  </conditionalFormatting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3"/>
  <sheetViews>
    <sheetView tabSelected="1" workbookViewId="0">
      <selection activeCell="O63" sqref="O63"/>
    </sheetView>
  </sheetViews>
  <sheetFormatPr defaultColWidth="8.89166666666667" defaultRowHeight="13.5"/>
  <cols>
    <col min="11" max="11" width="11.3333333333333" customWidth="1"/>
    <col min="17" max="17" width="11.775" customWidth="1"/>
    <col min="19" max="19" width="12.225" customWidth="1"/>
    <col min="21" max="21" width="12.225" customWidth="1"/>
    <col min="31" max="31" width="11.5583333333333" customWidth="1"/>
    <col min="32" max="32" width="11.775" customWidth="1"/>
  </cols>
  <sheetData>
    <row r="1" s="1" customFormat="1" ht="18.75" spans="1:16384">
      <c r="A1" s="16" t="s">
        <v>0</v>
      </c>
      <c r="B1" s="16"/>
      <c r="C1" s="16"/>
      <c r="D1" s="16"/>
      <c r="E1" s="17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7"/>
      <c r="AE1" s="53"/>
      <c r="XEZ1"/>
      <c r="XFA1"/>
      <c r="XFB1"/>
      <c r="XFC1"/>
      <c r="XFD1"/>
    </row>
    <row r="2" s="2" customFormat="1" ht="22.5" spans="1:16384">
      <c r="A2" s="18" t="s">
        <v>1</v>
      </c>
      <c r="B2" s="18"/>
      <c r="C2" s="18"/>
      <c r="D2" s="18"/>
      <c r="E2" s="19"/>
      <c r="F2" s="20"/>
      <c r="G2" s="2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22" t="s">
        <v>2</v>
      </c>
      <c r="AA2" s="122"/>
      <c r="AB2" s="122"/>
      <c r="AC2" s="122"/>
      <c r="AD2" s="123"/>
      <c r="AE2" s="124"/>
      <c r="XEZ2"/>
      <c r="XFA2"/>
      <c r="XFB2"/>
      <c r="XFC2"/>
      <c r="XFD2"/>
    </row>
    <row r="3" s="2" customFormat="1" ht="22.5" spans="1:16384">
      <c r="A3" s="18"/>
      <c r="B3" s="18"/>
      <c r="C3" s="18"/>
      <c r="D3" s="18"/>
      <c r="E3" s="19"/>
      <c r="F3" s="20"/>
      <c r="G3" s="2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22"/>
      <c r="AA3" s="122"/>
      <c r="AB3" s="122"/>
      <c r="AC3" s="122"/>
      <c r="AD3" s="123"/>
      <c r="AE3" s="124"/>
      <c r="XEZ3"/>
      <c r="XFA3"/>
      <c r="XFB3"/>
      <c r="XFC3"/>
      <c r="XFD3"/>
    </row>
    <row r="4" s="3" customFormat="1" ht="93.75" spans="1:16384">
      <c r="A4" s="21" t="s">
        <v>6</v>
      </c>
      <c r="B4" s="21" t="s">
        <v>7</v>
      </c>
      <c r="C4" s="21" t="s">
        <v>8</v>
      </c>
      <c r="D4" s="22" t="s">
        <v>9</v>
      </c>
      <c r="E4" s="23" t="s">
        <v>10</v>
      </c>
      <c r="F4" s="24" t="s">
        <v>11</v>
      </c>
      <c r="G4" s="24" t="s">
        <v>12</v>
      </c>
      <c r="H4" s="24" t="s">
        <v>13</v>
      </c>
      <c r="I4" s="24" t="s">
        <v>14</v>
      </c>
      <c r="J4" s="24" t="s">
        <v>15</v>
      </c>
      <c r="K4" s="24" t="s">
        <v>16</v>
      </c>
      <c r="L4" s="24" t="s">
        <v>17</v>
      </c>
      <c r="M4" s="24" t="s">
        <v>18</v>
      </c>
      <c r="N4" s="24" t="s">
        <v>19</v>
      </c>
      <c r="O4" s="24" t="s">
        <v>20</v>
      </c>
      <c r="P4" s="24" t="s">
        <v>21</v>
      </c>
      <c r="Q4" s="24" t="s">
        <v>22</v>
      </c>
      <c r="R4" s="24" t="s">
        <v>23</v>
      </c>
      <c r="S4" s="24" t="s">
        <v>24</v>
      </c>
      <c r="T4" s="24" t="s">
        <v>25</v>
      </c>
      <c r="U4" s="24" t="s">
        <v>26</v>
      </c>
      <c r="V4" s="24" t="s">
        <v>27</v>
      </c>
      <c r="W4" s="24" t="s">
        <v>28</v>
      </c>
      <c r="X4" s="24" t="s">
        <v>29</v>
      </c>
      <c r="Y4" s="24" t="s">
        <v>30</v>
      </c>
      <c r="Z4" s="24" t="s">
        <v>31</v>
      </c>
      <c r="AA4" s="24" t="s">
        <v>32</v>
      </c>
      <c r="AB4" s="24" t="s">
        <v>33</v>
      </c>
      <c r="AC4" s="24" t="s">
        <v>34</v>
      </c>
      <c r="AD4" s="23" t="s">
        <v>35</v>
      </c>
      <c r="AE4" s="125" t="s">
        <v>36</v>
      </c>
      <c r="XEZ4"/>
      <c r="XFA4"/>
      <c r="XFB4"/>
      <c r="XFC4"/>
      <c r="XFD4"/>
    </row>
    <row r="5" s="1" customFormat="1" ht="24" customHeight="1" spans="1:16384">
      <c r="A5" s="25">
        <v>88</v>
      </c>
      <c r="B5" s="25" t="s">
        <v>209</v>
      </c>
      <c r="C5" s="26" t="s">
        <v>210</v>
      </c>
      <c r="D5" s="27"/>
      <c r="E5" s="28"/>
      <c r="F5" s="27">
        <v>300</v>
      </c>
      <c r="G5" s="27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>
        <v>16.86</v>
      </c>
      <c r="AB5" s="29"/>
      <c r="AC5" s="29">
        <v>16.86</v>
      </c>
      <c r="AD5" s="31">
        <v>300</v>
      </c>
      <c r="AE5" s="126">
        <v>283.14</v>
      </c>
      <c r="AF5" s="1">
        <v>283.14</v>
      </c>
      <c r="XEZ5"/>
      <c r="XFA5"/>
      <c r="XFB5"/>
      <c r="XFC5"/>
      <c r="XFD5"/>
    </row>
    <row r="8" s="1" customFormat="1" ht="18.75" spans="1:16384">
      <c r="A8" s="16" t="s">
        <v>293</v>
      </c>
      <c r="B8" s="16"/>
      <c r="C8" s="16"/>
      <c r="D8" s="16"/>
      <c r="E8" s="16"/>
      <c r="F8" s="17"/>
      <c r="G8" s="16"/>
      <c r="H8" s="17"/>
      <c r="I8" s="16"/>
      <c r="J8" s="17"/>
      <c r="K8" s="16"/>
      <c r="L8" s="17"/>
      <c r="M8" s="16"/>
      <c r="N8" s="17"/>
      <c r="O8" s="16"/>
      <c r="P8" s="17"/>
      <c r="Q8" s="16"/>
      <c r="R8" s="17"/>
      <c r="S8" s="16"/>
      <c r="T8" s="17"/>
      <c r="U8" s="16"/>
      <c r="V8" s="17"/>
      <c r="W8" s="16"/>
      <c r="X8" s="17"/>
      <c r="Y8" s="16"/>
      <c r="Z8" s="17"/>
      <c r="AA8" s="16"/>
      <c r="AB8" s="17"/>
      <c r="AC8" s="127"/>
      <c r="AD8" s="127"/>
      <c r="AE8" s="53"/>
      <c r="XEY8"/>
      <c r="XEZ8"/>
      <c r="XFA8"/>
      <c r="XFB8"/>
      <c r="XFC8"/>
      <c r="XFD8"/>
    </row>
    <row r="9" s="2" customFormat="1" ht="22.5" spans="1:16384">
      <c r="A9" s="18" t="s">
        <v>1</v>
      </c>
      <c r="B9" s="18"/>
      <c r="C9" s="18"/>
      <c r="D9" s="18"/>
      <c r="E9" s="20"/>
      <c r="F9" s="19"/>
      <c r="G9" s="20"/>
      <c r="H9" s="30"/>
      <c r="I9" s="3"/>
      <c r="J9" s="30"/>
      <c r="K9" s="3"/>
      <c r="L9" s="30"/>
      <c r="M9" s="3"/>
      <c r="N9" s="30"/>
      <c r="O9" s="3"/>
      <c r="P9" s="30"/>
      <c r="Q9" s="3"/>
      <c r="R9" s="30"/>
      <c r="S9" s="3"/>
      <c r="T9" s="30"/>
      <c r="U9" s="3"/>
      <c r="V9" s="30"/>
      <c r="W9" s="3"/>
      <c r="X9" s="30"/>
      <c r="Y9" s="3"/>
      <c r="Z9" s="123" t="s">
        <v>2</v>
      </c>
      <c r="AA9" s="122"/>
      <c r="AB9" s="123"/>
      <c r="AC9" s="128"/>
      <c r="AD9" s="128"/>
      <c r="AE9" s="124"/>
      <c r="XEY9"/>
      <c r="XEZ9"/>
      <c r="XFA9"/>
      <c r="XFB9"/>
      <c r="XFC9"/>
      <c r="XFD9"/>
    </row>
    <row r="10" s="2" customFormat="1" ht="22.5" spans="1:16384">
      <c r="A10" s="18"/>
      <c r="B10" s="18"/>
      <c r="C10" s="18"/>
      <c r="D10" s="18"/>
      <c r="E10" s="20"/>
      <c r="F10" s="19"/>
      <c r="G10" s="20"/>
      <c r="H10" s="30"/>
      <c r="I10" s="3"/>
      <c r="J10" s="30"/>
      <c r="K10" s="3"/>
      <c r="L10" s="30"/>
      <c r="M10" s="3"/>
      <c r="N10" s="30"/>
      <c r="O10" s="3"/>
      <c r="P10" s="30"/>
      <c r="Q10" s="3"/>
      <c r="R10" s="30"/>
      <c r="S10" s="3"/>
      <c r="T10" s="30"/>
      <c r="U10" s="3"/>
      <c r="V10" s="30"/>
      <c r="W10" s="3"/>
      <c r="X10" s="30"/>
      <c r="Y10" s="3"/>
      <c r="Z10" s="123"/>
      <c r="AA10" s="122"/>
      <c r="AB10" s="123"/>
      <c r="AC10" s="128"/>
      <c r="AD10" s="128"/>
      <c r="AE10" s="124"/>
      <c r="XEY10"/>
      <c r="XEZ10"/>
      <c r="XFA10"/>
      <c r="XFB10"/>
      <c r="XFC10"/>
      <c r="XFD10"/>
    </row>
    <row r="11" s="3" customFormat="1" ht="93.75" spans="1:16384">
      <c r="A11" s="21" t="s">
        <v>6</v>
      </c>
      <c r="B11" s="21" t="s">
        <v>7</v>
      </c>
      <c r="C11" s="21" t="s">
        <v>8</v>
      </c>
      <c r="D11" s="22" t="s">
        <v>9</v>
      </c>
      <c r="E11" s="24" t="s">
        <v>10</v>
      </c>
      <c r="F11" s="23" t="s">
        <v>11</v>
      </c>
      <c r="G11" s="24" t="s">
        <v>12</v>
      </c>
      <c r="H11" s="23" t="s">
        <v>13</v>
      </c>
      <c r="I11" s="24" t="s">
        <v>14</v>
      </c>
      <c r="J11" s="23" t="s">
        <v>15</v>
      </c>
      <c r="K11" s="24" t="s">
        <v>16</v>
      </c>
      <c r="L11" s="23" t="s">
        <v>17</v>
      </c>
      <c r="M11" s="24" t="s">
        <v>18</v>
      </c>
      <c r="N11" s="23" t="s">
        <v>19</v>
      </c>
      <c r="O11" s="24" t="s">
        <v>20</v>
      </c>
      <c r="P11" s="23" t="s">
        <v>21</v>
      </c>
      <c r="Q11" s="24" t="s">
        <v>22</v>
      </c>
      <c r="R11" s="23" t="s">
        <v>23</v>
      </c>
      <c r="S11" s="24" t="s">
        <v>24</v>
      </c>
      <c r="T11" s="23" t="s">
        <v>25</v>
      </c>
      <c r="U11" s="24" t="s">
        <v>26</v>
      </c>
      <c r="V11" s="23" t="s">
        <v>27</v>
      </c>
      <c r="W11" s="24" t="s">
        <v>28</v>
      </c>
      <c r="X11" s="23" t="s">
        <v>29</v>
      </c>
      <c r="Y11" s="24" t="s">
        <v>30</v>
      </c>
      <c r="Z11" s="23" t="s">
        <v>31</v>
      </c>
      <c r="AA11" s="24" t="s">
        <v>347</v>
      </c>
      <c r="AB11" s="23" t="s">
        <v>33</v>
      </c>
      <c r="AC11" s="129" t="s">
        <v>296</v>
      </c>
      <c r="AD11" s="129" t="s">
        <v>297</v>
      </c>
      <c r="AE11" s="125" t="s">
        <v>36</v>
      </c>
      <c r="XEY11"/>
      <c r="XEZ11"/>
      <c r="XFA11"/>
      <c r="XFB11"/>
      <c r="XFC11"/>
      <c r="XFD11"/>
    </row>
    <row r="12" s="1" customFormat="1" spans="1:16384">
      <c r="A12" s="25">
        <v>88</v>
      </c>
      <c r="B12" s="25" t="s">
        <v>209</v>
      </c>
      <c r="C12" s="26" t="s">
        <v>210</v>
      </c>
      <c r="D12" s="27">
        <v>283.14</v>
      </c>
      <c r="E12" s="27"/>
      <c r="F12" s="28"/>
      <c r="G12" s="27"/>
      <c r="H12" s="31"/>
      <c r="I12" s="29">
        <v>10.88</v>
      </c>
      <c r="J12" s="31"/>
      <c r="K12" s="29">
        <v>1.63</v>
      </c>
      <c r="L12" s="31"/>
      <c r="M12" s="29">
        <v>2.72</v>
      </c>
      <c r="N12" s="31"/>
      <c r="O12" s="29">
        <v>3.8</v>
      </c>
      <c r="P12" s="31"/>
      <c r="Q12" s="29">
        <v>0.54</v>
      </c>
      <c r="R12" s="31"/>
      <c r="S12" s="29">
        <v>4.9</v>
      </c>
      <c r="T12" s="31"/>
      <c r="U12" s="29">
        <v>17.96</v>
      </c>
      <c r="V12" s="31"/>
      <c r="W12" s="29">
        <v>22.31</v>
      </c>
      <c r="X12" s="31"/>
      <c r="Y12" s="29">
        <v>43.53</v>
      </c>
      <c r="Z12" s="31"/>
      <c r="AA12" s="29">
        <v>40.81</v>
      </c>
      <c r="AB12" s="31"/>
      <c r="AC12" s="130">
        <v>149.08</v>
      </c>
      <c r="AD12" s="130">
        <v>0</v>
      </c>
      <c r="AE12" s="126">
        <v>134.06</v>
      </c>
      <c r="XEY12"/>
      <c r="XEZ12"/>
      <c r="XFA12"/>
      <c r="XFB12"/>
      <c r="XFC12"/>
      <c r="XFD12"/>
    </row>
    <row r="15" s="1" customFormat="1" ht="18.75" spans="1:16384">
      <c r="A15" s="16" t="s">
        <v>298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27"/>
      <c r="AD15" s="127"/>
      <c r="AE15" s="131"/>
      <c r="XFA15"/>
      <c r="XFB15"/>
      <c r="XFC15"/>
      <c r="XFD15"/>
    </row>
    <row r="16" s="2" customFormat="1" ht="22.5" spans="1:16384">
      <c r="A16" s="18" t="s">
        <v>1</v>
      </c>
      <c r="B16" s="18"/>
      <c r="C16" s="18"/>
      <c r="D16" s="18"/>
      <c r="E16" s="20"/>
      <c r="F16" s="20"/>
      <c r="G16" s="2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122" t="s">
        <v>2</v>
      </c>
      <c r="AA16" s="122"/>
      <c r="AB16" s="122"/>
      <c r="AC16" s="128"/>
      <c r="AD16" s="128"/>
      <c r="AE16" s="132"/>
      <c r="XFA16"/>
      <c r="XFB16"/>
      <c r="XFC16"/>
      <c r="XFD16"/>
    </row>
    <row r="17" s="2" customFormat="1" ht="22.5" spans="1:16384">
      <c r="A17" s="18"/>
      <c r="B17" s="18"/>
      <c r="C17" s="18"/>
      <c r="D17" s="18"/>
      <c r="E17" s="20"/>
      <c r="F17" s="20"/>
      <c r="G17" s="2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22"/>
      <c r="AA17" s="122"/>
      <c r="AB17" s="122"/>
      <c r="AC17" s="128"/>
      <c r="AD17" s="128"/>
      <c r="AE17" s="132"/>
      <c r="XFA17"/>
      <c r="XFB17"/>
      <c r="XFC17"/>
      <c r="XFD17"/>
    </row>
    <row r="18" s="3" customFormat="1" ht="93.75" spans="1:16384">
      <c r="A18" s="21" t="s">
        <v>6</v>
      </c>
      <c r="B18" s="21" t="s">
        <v>7</v>
      </c>
      <c r="C18" s="21" t="s">
        <v>8</v>
      </c>
      <c r="D18" s="22" t="s">
        <v>9</v>
      </c>
      <c r="E18" s="24" t="s">
        <v>10</v>
      </c>
      <c r="F18" s="24" t="s">
        <v>11</v>
      </c>
      <c r="G18" s="24" t="s">
        <v>12</v>
      </c>
      <c r="H18" s="24" t="s">
        <v>13</v>
      </c>
      <c r="I18" s="24" t="s">
        <v>14</v>
      </c>
      <c r="J18" s="24" t="s">
        <v>15</v>
      </c>
      <c r="K18" s="24" t="s">
        <v>16</v>
      </c>
      <c r="L18" s="24" t="s">
        <v>17</v>
      </c>
      <c r="M18" s="24" t="s">
        <v>18</v>
      </c>
      <c r="N18" s="24" t="s">
        <v>19</v>
      </c>
      <c r="O18" s="24" t="s">
        <v>20</v>
      </c>
      <c r="P18" s="24" t="s">
        <v>21</v>
      </c>
      <c r="Q18" s="24" t="s">
        <v>22</v>
      </c>
      <c r="R18" s="24" t="s">
        <v>23</v>
      </c>
      <c r="S18" s="24" t="s">
        <v>24</v>
      </c>
      <c r="T18" s="24" t="s">
        <v>25</v>
      </c>
      <c r="U18" s="24" t="s">
        <v>26</v>
      </c>
      <c r="V18" s="24" t="s">
        <v>27</v>
      </c>
      <c r="W18" s="24" t="s">
        <v>28</v>
      </c>
      <c r="X18" s="24" t="s">
        <v>29</v>
      </c>
      <c r="Y18" s="24" t="s">
        <v>30</v>
      </c>
      <c r="Z18" s="24" t="s">
        <v>31</v>
      </c>
      <c r="AA18" s="24" t="s">
        <v>347</v>
      </c>
      <c r="AB18" s="24" t="s">
        <v>33</v>
      </c>
      <c r="AC18" s="129" t="s">
        <v>301</v>
      </c>
      <c r="AD18" s="129" t="s">
        <v>302</v>
      </c>
      <c r="AE18" s="133" t="s">
        <v>36</v>
      </c>
      <c r="XFA18"/>
      <c r="XFB18"/>
      <c r="XFC18"/>
      <c r="XFD18"/>
    </row>
    <row r="19" s="1" customFormat="1" spans="1:16384">
      <c r="A19" s="25">
        <v>88</v>
      </c>
      <c r="B19" s="25" t="s">
        <v>209</v>
      </c>
      <c r="C19" s="26" t="s">
        <v>210</v>
      </c>
      <c r="D19" s="27">
        <v>134.06</v>
      </c>
      <c r="E19" s="27">
        <v>31.01</v>
      </c>
      <c r="F19" s="27"/>
      <c r="G19" s="27">
        <v>94.13</v>
      </c>
      <c r="H19" s="29"/>
      <c r="I19" s="29">
        <v>23.94</v>
      </c>
      <c r="J19" s="29">
        <v>300</v>
      </c>
      <c r="K19" s="29">
        <v>42.98</v>
      </c>
      <c r="L19" s="29"/>
      <c r="M19" s="29">
        <v>31.01</v>
      </c>
      <c r="N19" s="29"/>
      <c r="O19" s="29">
        <v>39.72</v>
      </c>
      <c r="P19" s="29"/>
      <c r="Q19" s="29">
        <v>39.72</v>
      </c>
      <c r="R19" s="29"/>
      <c r="S19" s="29">
        <v>31.56</v>
      </c>
      <c r="T19" s="29"/>
      <c r="U19" s="29">
        <v>26.66</v>
      </c>
      <c r="V19" s="29"/>
      <c r="W19" s="29">
        <v>18.5</v>
      </c>
      <c r="X19" s="29"/>
      <c r="Y19" s="29">
        <v>22.31</v>
      </c>
      <c r="Z19" s="29"/>
      <c r="AA19" s="29">
        <v>28.84</v>
      </c>
      <c r="AB19" s="29"/>
      <c r="AC19" s="130">
        <v>430.38</v>
      </c>
      <c r="AD19" s="130">
        <v>300</v>
      </c>
      <c r="AE19" s="134">
        <v>3.67999999999995</v>
      </c>
      <c r="XFA19"/>
      <c r="XFB19"/>
      <c r="XFC19"/>
      <c r="XFD19"/>
    </row>
    <row r="22" s="1" customFormat="1" ht="35" customHeight="1" spans="1:40">
      <c r="A22" s="32" t="s">
        <v>303</v>
      </c>
      <c r="B22" s="32"/>
      <c r="C22" s="32"/>
      <c r="D22" s="32"/>
      <c r="E22" s="32"/>
      <c r="F22" s="32"/>
      <c r="G22" s="32"/>
      <c r="H22" s="32"/>
      <c r="I22" s="17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113"/>
      <c r="U22" s="32"/>
      <c r="V22" s="17"/>
      <c r="W22" s="17"/>
      <c r="X22" s="32"/>
      <c r="Y22" s="32"/>
      <c r="Z22" s="135"/>
      <c r="AA22" s="136"/>
      <c r="AB22" s="17"/>
      <c r="AC22" s="137"/>
      <c r="AD22" s="17"/>
      <c r="AE22" s="138"/>
      <c r="AF22" s="17"/>
      <c r="AG22" s="17"/>
      <c r="AH22" s="17"/>
      <c r="AI22" s="17"/>
      <c r="AJ22" s="17"/>
      <c r="AK22" s="17"/>
      <c r="AL22" s="135"/>
      <c r="AM22" s="135"/>
      <c r="AN22" s="186"/>
    </row>
    <row r="23" s="2" customFormat="1" ht="35" customHeight="1" spans="1:40">
      <c r="A23" s="33" t="s">
        <v>1</v>
      </c>
      <c r="B23" s="33"/>
      <c r="C23" s="33"/>
      <c r="D23" s="33"/>
      <c r="E23" s="34"/>
      <c r="F23" s="34"/>
      <c r="G23" s="34"/>
      <c r="H23" s="35"/>
      <c r="I23" s="30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114"/>
      <c r="U23" s="35"/>
      <c r="V23" s="30"/>
      <c r="W23" s="30"/>
      <c r="X23" s="35"/>
      <c r="Y23" s="35"/>
      <c r="Z23" s="139"/>
      <c r="AA23" s="140"/>
      <c r="AB23" s="30"/>
      <c r="AC23" s="141"/>
      <c r="AD23" s="30"/>
      <c r="AE23" s="142"/>
      <c r="AF23" s="30"/>
      <c r="AG23" s="123" t="s">
        <v>2</v>
      </c>
      <c r="AH23" s="123"/>
      <c r="AI23" s="123"/>
      <c r="AJ23" s="123"/>
      <c r="AK23" s="123"/>
      <c r="AL23" s="187"/>
      <c r="AM23" s="187"/>
      <c r="AN23" s="188"/>
    </row>
    <row r="24" s="2" customFormat="1" ht="23" customHeight="1" spans="1:40">
      <c r="A24" s="33"/>
      <c r="B24" s="33"/>
      <c r="C24" s="33"/>
      <c r="D24" s="33"/>
      <c r="E24" s="34"/>
      <c r="F24" s="34"/>
      <c r="G24" s="34"/>
      <c r="H24" s="35"/>
      <c r="I24" s="30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114"/>
      <c r="U24" s="35"/>
      <c r="V24" s="30"/>
      <c r="W24" s="30"/>
      <c r="X24" s="35"/>
      <c r="Y24" s="35"/>
      <c r="Z24" s="139"/>
      <c r="AA24" s="140"/>
      <c r="AB24" s="30"/>
      <c r="AC24" s="141"/>
      <c r="AD24" s="30"/>
      <c r="AE24" s="142"/>
      <c r="AF24" s="30"/>
      <c r="AG24" s="123"/>
      <c r="AH24" s="123"/>
      <c r="AI24" s="123"/>
      <c r="AJ24" s="123"/>
      <c r="AK24" s="123"/>
      <c r="AL24" s="187"/>
      <c r="AM24" s="187"/>
      <c r="AN24" s="188"/>
    </row>
    <row r="25" s="3" customFormat="1" ht="48" customHeight="1" spans="1:40">
      <c r="A25" s="36" t="s">
        <v>6</v>
      </c>
      <c r="B25" s="36" t="s">
        <v>7</v>
      </c>
      <c r="C25" s="36" t="s">
        <v>8</v>
      </c>
      <c r="D25" s="37" t="s">
        <v>9</v>
      </c>
      <c r="E25" s="38" t="s">
        <v>10</v>
      </c>
      <c r="F25" s="38" t="s">
        <v>11</v>
      </c>
      <c r="G25" s="38" t="s">
        <v>12</v>
      </c>
      <c r="H25" s="38" t="s">
        <v>13</v>
      </c>
      <c r="I25" s="23" t="s">
        <v>14</v>
      </c>
      <c r="J25" s="38" t="s">
        <v>15</v>
      </c>
      <c r="K25" s="38" t="s">
        <v>16</v>
      </c>
      <c r="L25" s="38" t="s">
        <v>17</v>
      </c>
      <c r="M25" s="38" t="s">
        <v>18</v>
      </c>
      <c r="N25" s="38" t="s">
        <v>19</v>
      </c>
      <c r="O25" s="38" t="s">
        <v>20</v>
      </c>
      <c r="P25" s="38" t="s">
        <v>21</v>
      </c>
      <c r="Q25" s="38" t="s">
        <v>22</v>
      </c>
      <c r="R25" s="38" t="s">
        <v>23</v>
      </c>
      <c r="S25" s="38" t="s">
        <v>24</v>
      </c>
      <c r="T25" s="115" t="s">
        <v>305</v>
      </c>
      <c r="U25" s="38" t="s">
        <v>25</v>
      </c>
      <c r="V25" s="23" t="s">
        <v>351</v>
      </c>
      <c r="W25" s="23" t="s">
        <v>352</v>
      </c>
      <c r="X25" s="38" t="s">
        <v>306</v>
      </c>
      <c r="Y25" s="38"/>
      <c r="Z25" s="143" t="s">
        <v>353</v>
      </c>
      <c r="AA25" s="144" t="s">
        <v>354</v>
      </c>
      <c r="AB25" s="23" t="s">
        <v>26</v>
      </c>
      <c r="AC25" s="145" t="s">
        <v>27</v>
      </c>
      <c r="AD25" s="23" t="s">
        <v>28</v>
      </c>
      <c r="AE25" s="146" t="s">
        <v>29</v>
      </c>
      <c r="AF25" s="23" t="s">
        <v>30</v>
      </c>
      <c r="AG25" s="23" t="s">
        <v>31</v>
      </c>
      <c r="AH25" s="23" t="s">
        <v>347</v>
      </c>
      <c r="AI25" s="23" t="s">
        <v>33</v>
      </c>
      <c r="AJ25" s="23" t="s">
        <v>355</v>
      </c>
      <c r="AK25" s="23" t="s">
        <v>356</v>
      </c>
      <c r="AL25" s="189" t="s">
        <v>308</v>
      </c>
      <c r="AM25" s="189" t="s">
        <v>309</v>
      </c>
      <c r="AN25" s="190" t="s">
        <v>36</v>
      </c>
    </row>
    <row r="26" s="1" customFormat="1" ht="35" customHeight="1" spans="1:40">
      <c r="A26" s="39">
        <v>88</v>
      </c>
      <c r="B26" s="39" t="s">
        <v>209</v>
      </c>
      <c r="C26" s="40" t="s">
        <v>210</v>
      </c>
      <c r="D26" s="41">
        <v>3.67999999999995</v>
      </c>
      <c r="E26" s="41">
        <v>20.13</v>
      </c>
      <c r="F26" s="41">
        <v>500</v>
      </c>
      <c r="G26" s="41">
        <v>76.17</v>
      </c>
      <c r="H26" s="42"/>
      <c r="I26" s="31">
        <v>229.61</v>
      </c>
      <c r="J26" s="42"/>
      <c r="K26" s="96">
        <v>239.95</v>
      </c>
      <c r="L26" s="42"/>
      <c r="M26" s="42">
        <v>189.57</v>
      </c>
      <c r="N26" s="42">
        <v>300</v>
      </c>
      <c r="O26" s="42">
        <v>137.87</v>
      </c>
      <c r="P26" s="42">
        <v>500</v>
      </c>
      <c r="Q26" s="96">
        <v>288.86</v>
      </c>
      <c r="R26" s="42"/>
      <c r="S26" s="96">
        <v>309.43</v>
      </c>
      <c r="T26" s="116">
        <v>44.23</v>
      </c>
      <c r="U26" s="42">
        <v>1000</v>
      </c>
      <c r="V26" s="31">
        <v>1535.82</v>
      </c>
      <c r="W26" s="31">
        <v>2300</v>
      </c>
      <c r="X26" s="42">
        <v>130</v>
      </c>
      <c r="Y26" s="42"/>
      <c r="Z26" s="147">
        <v>767.86</v>
      </c>
      <c r="AA26" s="148">
        <v>-467.1702</v>
      </c>
      <c r="AB26" s="31">
        <v>245.93</v>
      </c>
      <c r="AC26" s="149"/>
      <c r="AD26" s="31">
        <v>223</v>
      </c>
      <c r="AE26" s="150">
        <v>280</v>
      </c>
      <c r="AF26" s="31">
        <v>267.7</v>
      </c>
      <c r="AG26" s="31">
        <v>450</v>
      </c>
      <c r="AH26" s="31">
        <v>299.26</v>
      </c>
      <c r="AI26" s="31">
        <v>700</v>
      </c>
      <c r="AJ26" s="31">
        <v>1035.89</v>
      </c>
      <c r="AK26" s="31">
        <v>1430</v>
      </c>
      <c r="AL26" s="147">
        <v>2571.71</v>
      </c>
      <c r="AM26" s="147">
        <v>3730</v>
      </c>
      <c r="AN26" s="191">
        <v>1161.97</v>
      </c>
    </row>
    <row r="27" s="1" customFormat="1" ht="35" customHeight="1" spans="1:40">
      <c r="A27" s="35"/>
      <c r="B27" s="35"/>
      <c r="C27" s="35"/>
      <c r="D27" s="35"/>
      <c r="E27" s="35"/>
      <c r="F27" s="35"/>
      <c r="G27" s="35"/>
      <c r="H27" s="35"/>
      <c r="I27" s="30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114"/>
      <c r="U27" s="35"/>
      <c r="V27" s="30"/>
      <c r="W27" s="30"/>
      <c r="X27" s="35"/>
      <c r="Y27" s="35"/>
      <c r="Z27" s="139"/>
      <c r="AA27" s="140"/>
      <c r="AB27" s="30"/>
      <c r="AC27" s="141"/>
      <c r="AD27" s="30"/>
      <c r="AE27" s="142"/>
      <c r="AF27" s="30"/>
      <c r="AG27" s="30"/>
      <c r="AH27" s="30"/>
      <c r="AI27" s="30"/>
      <c r="AJ27" s="30"/>
      <c r="AK27" s="30"/>
      <c r="AL27" s="139"/>
      <c r="AM27" s="139"/>
      <c r="AN27" s="192"/>
    </row>
    <row r="30" s="4" customFormat="1" ht="35" customHeight="1" spans="1:34">
      <c r="A30" s="43" t="s">
        <v>310</v>
      </c>
      <c r="B30" s="43"/>
      <c r="C30" s="43"/>
      <c r="D30" s="44"/>
      <c r="E30" s="44"/>
      <c r="F30" s="44"/>
      <c r="G30" s="44"/>
      <c r="H30" s="44"/>
      <c r="I30" s="44"/>
      <c r="J30" s="44"/>
      <c r="K30" s="44"/>
      <c r="L30" s="97"/>
      <c r="M30" s="44"/>
      <c r="N30" s="44"/>
      <c r="O30" s="44"/>
      <c r="P30" s="44"/>
      <c r="Q30" s="44"/>
      <c r="R30" s="97"/>
      <c r="S30" s="44"/>
      <c r="T30" s="44"/>
      <c r="U30" s="44"/>
      <c r="V30" s="44"/>
      <c r="W30" s="117"/>
      <c r="X30" s="44"/>
      <c r="Y30" s="44"/>
      <c r="Z30" s="44"/>
      <c r="AA30" s="44"/>
      <c r="AB30" s="44"/>
      <c r="AC30" s="44"/>
      <c r="AD30" s="44"/>
      <c r="AE30" s="8"/>
      <c r="AF30" s="8"/>
      <c r="AG30" s="8"/>
      <c r="AH30" s="8"/>
    </row>
    <row r="31" customFormat="1" ht="35" customHeight="1" spans="1:34">
      <c r="A31" s="45" t="s">
        <v>1</v>
      </c>
      <c r="B31" s="45"/>
      <c r="C31" s="45"/>
      <c r="D31" s="46"/>
      <c r="E31" s="47"/>
      <c r="F31" s="47"/>
      <c r="G31" s="47"/>
      <c r="H31" s="10"/>
      <c r="I31" s="10"/>
      <c r="J31" s="10"/>
      <c r="K31" s="10"/>
      <c r="L31" s="98"/>
      <c r="M31" s="10"/>
      <c r="N31" s="10"/>
      <c r="O31" s="10"/>
      <c r="P31" s="10"/>
      <c r="Q31" s="10"/>
      <c r="R31" s="98"/>
      <c r="S31" s="10"/>
      <c r="T31" s="10"/>
      <c r="U31" s="15"/>
      <c r="V31" s="10"/>
      <c r="W31" s="118"/>
      <c r="X31" s="10"/>
      <c r="Y31" s="10"/>
      <c r="Z31" s="10"/>
      <c r="AA31" s="151" t="s">
        <v>2</v>
      </c>
      <c r="AB31" s="151"/>
      <c r="AC31" s="151"/>
      <c r="AD31" s="151"/>
      <c r="AE31" s="152" t="s">
        <v>3</v>
      </c>
      <c r="AF31" s="152"/>
      <c r="AG31" s="152"/>
      <c r="AH31" s="9"/>
    </row>
    <row r="32" s="5" customFormat="1" ht="48" customHeight="1" spans="1:34">
      <c r="A32" s="48" t="s">
        <v>6</v>
      </c>
      <c r="B32" s="48" t="s">
        <v>7</v>
      </c>
      <c r="C32" s="48" t="s">
        <v>8</v>
      </c>
      <c r="D32" s="49" t="s">
        <v>9</v>
      </c>
      <c r="E32" s="50" t="s">
        <v>10</v>
      </c>
      <c r="F32" s="50" t="s">
        <v>11</v>
      </c>
      <c r="G32" s="50" t="s">
        <v>12</v>
      </c>
      <c r="H32" s="50" t="s">
        <v>13</v>
      </c>
      <c r="I32" s="50" t="s">
        <v>14</v>
      </c>
      <c r="J32" s="50" t="s">
        <v>15</v>
      </c>
      <c r="K32" s="50" t="s">
        <v>16</v>
      </c>
      <c r="L32" s="99" t="s">
        <v>17</v>
      </c>
      <c r="M32" s="50" t="s">
        <v>18</v>
      </c>
      <c r="N32" s="50" t="s">
        <v>19</v>
      </c>
      <c r="O32" s="50" t="s">
        <v>20</v>
      </c>
      <c r="P32" s="50" t="s">
        <v>21</v>
      </c>
      <c r="Q32" s="50" t="s">
        <v>22</v>
      </c>
      <c r="R32" s="99" t="s">
        <v>23</v>
      </c>
      <c r="S32" s="50" t="s">
        <v>312</v>
      </c>
      <c r="T32" s="50" t="s">
        <v>24</v>
      </c>
      <c r="U32" s="50" t="s">
        <v>25</v>
      </c>
      <c r="V32" s="50" t="s">
        <v>26</v>
      </c>
      <c r="W32" s="119" t="s">
        <v>27</v>
      </c>
      <c r="X32" s="50" t="s">
        <v>28</v>
      </c>
      <c r="Y32" s="50" t="s">
        <v>29</v>
      </c>
      <c r="Z32" s="50" t="s">
        <v>30</v>
      </c>
      <c r="AA32" s="50" t="s">
        <v>31</v>
      </c>
      <c r="AB32" s="50" t="s">
        <v>347</v>
      </c>
      <c r="AC32" s="50" t="s">
        <v>33</v>
      </c>
      <c r="AD32" s="153" t="s">
        <v>36</v>
      </c>
      <c r="AE32" s="154" t="s">
        <v>32</v>
      </c>
      <c r="AF32" s="154" t="s">
        <v>314</v>
      </c>
      <c r="AG32" s="153" t="s">
        <v>36</v>
      </c>
      <c r="AH32" s="10"/>
    </row>
    <row r="33" s="4" customFormat="1" ht="35" customHeight="1" spans="1:35">
      <c r="A33" s="48">
        <v>88</v>
      </c>
      <c r="B33" s="48" t="s">
        <v>209</v>
      </c>
      <c r="C33" s="51" t="s">
        <v>210</v>
      </c>
      <c r="D33" s="50">
        <v>1161.97</v>
      </c>
      <c r="E33" s="52">
        <v>314.21775</v>
      </c>
      <c r="F33" s="52"/>
      <c r="G33" s="52"/>
      <c r="H33" s="52"/>
      <c r="I33" s="52">
        <v>285.59</v>
      </c>
      <c r="J33" s="52">
        <v>455.5</v>
      </c>
      <c r="K33" s="52">
        <v>273</v>
      </c>
      <c r="L33" s="100">
        <v>320</v>
      </c>
      <c r="M33" s="52">
        <v>248.85</v>
      </c>
      <c r="N33" s="101"/>
      <c r="O33" s="101">
        <v>307.302239</v>
      </c>
      <c r="P33" s="101"/>
      <c r="Q33" s="101">
        <v>295.9</v>
      </c>
      <c r="R33" s="101"/>
      <c r="S33" s="52">
        <v>242.12</v>
      </c>
      <c r="T33" s="52">
        <v>409.16</v>
      </c>
      <c r="U33" s="120">
        <v>498.3</v>
      </c>
      <c r="V33" s="52">
        <v>307.08</v>
      </c>
      <c r="W33" s="121">
        <v>175.4</v>
      </c>
      <c r="X33" s="52">
        <v>259.7</v>
      </c>
      <c r="Y33" s="155">
        <v>307.08</v>
      </c>
      <c r="Z33" s="52">
        <v>246.26</v>
      </c>
      <c r="AA33" s="156">
        <v>259.7</v>
      </c>
      <c r="AB33" s="81">
        <v>337.9</v>
      </c>
      <c r="AC33" s="156">
        <v>246.26</v>
      </c>
      <c r="AD33" s="58">
        <v>-102.869989</v>
      </c>
      <c r="AE33" s="157">
        <v>3527.079989</v>
      </c>
      <c r="AF33" s="157">
        <v>2262.24</v>
      </c>
      <c r="AG33" s="157">
        <v>-102.869989</v>
      </c>
      <c r="AH33" s="52" t="s">
        <v>210</v>
      </c>
      <c r="AI33" s="4" t="s">
        <v>357</v>
      </c>
    </row>
    <row r="36" s="1" customFormat="1" ht="35" customHeight="1" spans="1:31">
      <c r="A36" s="16" t="s">
        <v>316</v>
      </c>
      <c r="B36" s="16"/>
      <c r="C36" s="16"/>
      <c r="D36" s="53"/>
      <c r="E36" s="16"/>
      <c r="F36" s="3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58"/>
      <c r="AD36" s="158"/>
      <c r="AE36" s="158"/>
    </row>
    <row r="37" s="2" customFormat="1" ht="35" customHeight="1" spans="1:31">
      <c r="A37" s="18" t="s">
        <v>1</v>
      </c>
      <c r="B37" s="18"/>
      <c r="C37" s="18"/>
      <c r="D37" s="54"/>
      <c r="E37" s="20"/>
      <c r="F37" s="34"/>
      <c r="G37" s="2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122" t="s">
        <v>2</v>
      </c>
      <c r="AA37" s="122"/>
      <c r="AB37" s="122"/>
      <c r="AC37" s="159"/>
      <c r="AD37" s="159"/>
      <c r="AE37" s="159"/>
    </row>
    <row r="38" s="6" customFormat="1" ht="48" customHeight="1" spans="1:31">
      <c r="A38" s="21" t="s">
        <v>6</v>
      </c>
      <c r="B38" s="21" t="s">
        <v>7</v>
      </c>
      <c r="C38" s="21" t="s">
        <v>8</v>
      </c>
      <c r="D38" s="55" t="s">
        <v>9</v>
      </c>
      <c r="E38" s="24" t="s">
        <v>10</v>
      </c>
      <c r="F38" s="38" t="s">
        <v>11</v>
      </c>
      <c r="G38" s="24" t="s">
        <v>12</v>
      </c>
      <c r="H38" s="24" t="s">
        <v>13</v>
      </c>
      <c r="I38" s="24" t="s">
        <v>14</v>
      </c>
      <c r="J38" s="24" t="s">
        <v>15</v>
      </c>
      <c r="K38" s="24" t="s">
        <v>16</v>
      </c>
      <c r="L38" s="24" t="s">
        <v>17</v>
      </c>
      <c r="M38" s="24" t="s">
        <v>18</v>
      </c>
      <c r="N38" s="24" t="s">
        <v>19</v>
      </c>
      <c r="O38" s="24" t="s">
        <v>20</v>
      </c>
      <c r="P38" s="24" t="s">
        <v>21</v>
      </c>
      <c r="Q38" s="24" t="s">
        <v>22</v>
      </c>
      <c r="R38" s="24" t="s">
        <v>23</v>
      </c>
      <c r="S38" s="24" t="s">
        <v>24</v>
      </c>
      <c r="T38" s="24" t="s">
        <v>25</v>
      </c>
      <c r="U38" s="24" t="s">
        <v>26</v>
      </c>
      <c r="V38" s="24" t="s">
        <v>27</v>
      </c>
      <c r="W38" s="24" t="s">
        <v>28</v>
      </c>
      <c r="X38" s="24" t="s">
        <v>29</v>
      </c>
      <c r="Y38" s="24" t="s">
        <v>30</v>
      </c>
      <c r="Z38" s="24" t="s">
        <v>31</v>
      </c>
      <c r="AA38" s="24" t="s">
        <v>347</v>
      </c>
      <c r="AB38" s="24" t="s">
        <v>33</v>
      </c>
      <c r="AC38" s="154" t="s">
        <v>32</v>
      </c>
      <c r="AD38" s="154" t="s">
        <v>314</v>
      </c>
      <c r="AE38" s="160" t="s">
        <v>36</v>
      </c>
    </row>
    <row r="39" s="7" customFormat="1" ht="35" customHeight="1" spans="1:32">
      <c r="A39" s="56">
        <v>88</v>
      </c>
      <c r="B39" s="56" t="s">
        <v>209</v>
      </c>
      <c r="C39" s="57" t="s">
        <v>210</v>
      </c>
      <c r="D39" s="58">
        <v>-102.87</v>
      </c>
      <c r="E39" s="41">
        <v>319.430228</v>
      </c>
      <c r="F39" s="59">
        <v>319.43</v>
      </c>
      <c r="G39" s="60">
        <v>363.14</v>
      </c>
      <c r="H39" s="61"/>
      <c r="I39" s="61">
        <v>275.72</v>
      </c>
      <c r="J39" s="61">
        <v>363.14</v>
      </c>
      <c r="K39" s="61">
        <v>376.75</v>
      </c>
      <c r="L39" s="61">
        <v>653</v>
      </c>
      <c r="M39" s="61">
        <v>277.5</v>
      </c>
      <c r="N39" s="61">
        <v>0</v>
      </c>
      <c r="O39" s="61">
        <v>350.56</v>
      </c>
      <c r="P39" s="61">
        <v>627.53</v>
      </c>
      <c r="Q39" s="61">
        <v>348.86</v>
      </c>
      <c r="R39" s="61">
        <v>348.86</v>
      </c>
      <c r="S39" s="61">
        <v>462.88</v>
      </c>
      <c r="T39" s="61">
        <v>462.88</v>
      </c>
      <c r="U39" s="61">
        <v>358.6</v>
      </c>
      <c r="V39" s="61">
        <v>358.6</v>
      </c>
      <c r="W39" s="61"/>
      <c r="X39" s="61">
        <v>0</v>
      </c>
      <c r="Y39" s="61">
        <v>732.37</v>
      </c>
      <c r="Z39" s="61">
        <v>732.37</v>
      </c>
      <c r="AA39" s="61">
        <v>354.7</v>
      </c>
      <c r="AB39" s="61">
        <v>354.7</v>
      </c>
      <c r="AC39" s="161">
        <v>4220.510228</v>
      </c>
      <c r="AD39" s="161">
        <v>4220.51</v>
      </c>
      <c r="AE39" s="162">
        <v>-102.870228</v>
      </c>
      <c r="AF39" s="7">
        <v>-102.87</v>
      </c>
    </row>
    <row r="42" s="8" customFormat="1" ht="35" customHeight="1" spans="1:28">
      <c r="A42" s="62" t="s">
        <v>324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163"/>
    </row>
    <row r="43" s="9" customFormat="1" ht="35" customHeight="1" spans="1:28">
      <c r="A43" s="63" t="s">
        <v>1</v>
      </c>
      <c r="B43" s="46"/>
      <c r="C43" s="46"/>
      <c r="D43" s="46"/>
      <c r="E43" s="47"/>
      <c r="F43" s="47"/>
      <c r="G43" s="47"/>
      <c r="H43" s="10"/>
      <c r="I43" s="10"/>
      <c r="J43" s="10"/>
      <c r="K43" s="15"/>
      <c r="L43" s="15"/>
      <c r="M43" s="10"/>
      <c r="N43" s="10"/>
      <c r="O43" s="15"/>
      <c r="P43" s="15"/>
      <c r="Q43" s="10"/>
      <c r="R43" s="10"/>
      <c r="S43" s="10"/>
      <c r="T43" s="10"/>
      <c r="U43" s="15"/>
      <c r="V43" s="15"/>
      <c r="W43" s="10"/>
      <c r="X43" s="10"/>
      <c r="Y43" s="10"/>
      <c r="Z43" s="151" t="s">
        <v>2</v>
      </c>
      <c r="AA43" s="151"/>
      <c r="AB43" s="164"/>
    </row>
    <row r="44" s="10" customFormat="1" ht="48" customHeight="1" spans="1:31">
      <c r="A44" s="64" t="s">
        <v>6</v>
      </c>
      <c r="B44" s="50" t="s">
        <v>7</v>
      </c>
      <c r="C44" s="50" t="s">
        <v>8</v>
      </c>
      <c r="D44" s="49" t="s">
        <v>9</v>
      </c>
      <c r="E44" s="50" t="s">
        <v>10</v>
      </c>
      <c r="F44" s="50" t="s">
        <v>11</v>
      </c>
      <c r="G44" s="50" t="s">
        <v>12</v>
      </c>
      <c r="H44" s="50" t="s">
        <v>13</v>
      </c>
      <c r="I44" s="50" t="s">
        <v>14</v>
      </c>
      <c r="J44" s="50" t="s">
        <v>15</v>
      </c>
      <c r="K44" s="50" t="s">
        <v>16</v>
      </c>
      <c r="L44" s="50" t="s">
        <v>17</v>
      </c>
      <c r="M44" s="50" t="s">
        <v>18</v>
      </c>
      <c r="N44" s="50" t="s">
        <v>19</v>
      </c>
      <c r="O44" s="50" t="s">
        <v>20</v>
      </c>
      <c r="P44" s="50" t="s">
        <v>21</v>
      </c>
      <c r="Q44" s="50" t="s">
        <v>22</v>
      </c>
      <c r="R44" s="50" t="s">
        <v>23</v>
      </c>
      <c r="S44" s="50" t="s">
        <v>24</v>
      </c>
      <c r="T44" s="50" t="s">
        <v>25</v>
      </c>
      <c r="U44" s="50" t="s">
        <v>26</v>
      </c>
      <c r="V44" s="50" t="s">
        <v>27</v>
      </c>
      <c r="W44" s="50" t="s">
        <v>28</v>
      </c>
      <c r="X44" s="50" t="s">
        <v>29</v>
      </c>
      <c r="Y44" s="50" t="s">
        <v>30</v>
      </c>
      <c r="Z44" s="50" t="s">
        <v>31</v>
      </c>
      <c r="AA44" s="50" t="s">
        <v>347</v>
      </c>
      <c r="AB44" s="165" t="s">
        <v>33</v>
      </c>
      <c r="AC44" s="154" t="s">
        <v>32</v>
      </c>
      <c r="AD44" s="154" t="s">
        <v>314</v>
      </c>
      <c r="AE44" s="153" t="s">
        <v>36</v>
      </c>
    </row>
    <row r="45" s="8" customFormat="1" ht="35" customHeight="1" spans="1:31">
      <c r="A45" s="64">
        <v>88</v>
      </c>
      <c r="B45" s="50" t="s">
        <v>209</v>
      </c>
      <c r="C45" s="65" t="s">
        <v>210</v>
      </c>
      <c r="D45" s="50">
        <v>-102.87</v>
      </c>
      <c r="E45" s="66">
        <v>417.6</v>
      </c>
      <c r="F45" s="67"/>
      <c r="G45" s="68">
        <v>258.45</v>
      </c>
      <c r="H45" s="69">
        <v>677.6</v>
      </c>
      <c r="I45" s="67">
        <v>348.65</v>
      </c>
      <c r="J45" s="69">
        <v>350</v>
      </c>
      <c r="K45" s="69">
        <v>353.89</v>
      </c>
      <c r="L45" s="69"/>
      <c r="M45" s="69">
        <v>265.04</v>
      </c>
      <c r="N45" s="69">
        <v>500</v>
      </c>
      <c r="O45" s="69">
        <v>286.62</v>
      </c>
      <c r="P45" s="69">
        <v>684.68</v>
      </c>
      <c r="Q45" s="69">
        <v>373.66</v>
      </c>
      <c r="R45" s="69">
        <v>100</v>
      </c>
      <c r="S45" s="69">
        <v>556.84</v>
      </c>
      <c r="T45" s="69"/>
      <c r="U45" s="69">
        <v>505.14</v>
      </c>
      <c r="V45" s="69">
        <v>1200</v>
      </c>
      <c r="W45" s="69">
        <v>264.51</v>
      </c>
      <c r="X45" s="69">
        <v>400</v>
      </c>
      <c r="Y45" s="69">
        <v>224.85</v>
      </c>
      <c r="Z45" s="69"/>
      <c r="AA45" s="69">
        <v>333.07</v>
      </c>
      <c r="AB45" s="69">
        <v>333.07</v>
      </c>
      <c r="AC45" s="157">
        <v>4188.32</v>
      </c>
      <c r="AD45" s="157">
        <v>4245.35</v>
      </c>
      <c r="AE45" s="166">
        <v>-45.8399999999992</v>
      </c>
    </row>
    <row r="48" s="4" customFormat="1" ht="35" customHeight="1" spans="1:28">
      <c r="A48" s="43" t="s">
        <v>337</v>
      </c>
      <c r="B48" s="43"/>
      <c r="C48" s="43"/>
      <c r="D48" s="70"/>
      <c r="E48" s="43"/>
      <c r="F48" s="43"/>
      <c r="G48" s="43"/>
      <c r="H48" s="43"/>
      <c r="I48" s="43"/>
      <c r="J48" s="102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102"/>
    </row>
    <row r="49" customFormat="1" ht="35" customHeight="1" spans="1:28">
      <c r="A49" s="45" t="s">
        <v>1</v>
      </c>
      <c r="B49" s="45"/>
      <c r="C49" s="45"/>
      <c r="D49" s="71"/>
      <c r="E49" s="72"/>
      <c r="F49" s="72"/>
      <c r="G49" s="72"/>
      <c r="H49" s="73"/>
      <c r="I49" s="5"/>
      <c r="J49" s="10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67" t="s">
        <v>2</v>
      </c>
      <c r="AA49" s="167"/>
      <c r="AB49" s="168"/>
    </row>
    <row r="50" s="5" customFormat="1" ht="48" customHeight="1" spans="1:31">
      <c r="A50" s="48" t="s">
        <v>6</v>
      </c>
      <c r="B50" s="48" t="s">
        <v>7</v>
      </c>
      <c r="C50" s="48" t="s">
        <v>8</v>
      </c>
      <c r="D50" s="74" t="s">
        <v>9</v>
      </c>
      <c r="E50" s="64" t="s">
        <v>10</v>
      </c>
      <c r="F50" s="64" t="s">
        <v>11</v>
      </c>
      <c r="G50" s="64" t="s">
        <v>12</v>
      </c>
      <c r="H50" s="64" t="s">
        <v>13</v>
      </c>
      <c r="I50" s="64" t="s">
        <v>14</v>
      </c>
      <c r="J50" s="104" t="s">
        <v>15</v>
      </c>
      <c r="K50" s="64" t="s">
        <v>16</v>
      </c>
      <c r="L50" s="64" t="s">
        <v>17</v>
      </c>
      <c r="M50" s="64" t="s">
        <v>18</v>
      </c>
      <c r="N50" s="64" t="s">
        <v>19</v>
      </c>
      <c r="O50" s="64" t="s">
        <v>20</v>
      </c>
      <c r="P50" s="64" t="s">
        <v>21</v>
      </c>
      <c r="Q50" s="64" t="s">
        <v>22</v>
      </c>
      <c r="R50" s="64" t="s">
        <v>23</v>
      </c>
      <c r="S50" s="64" t="s">
        <v>24</v>
      </c>
      <c r="T50" s="64" t="s">
        <v>25</v>
      </c>
      <c r="U50" s="64" t="s">
        <v>26</v>
      </c>
      <c r="V50" s="64" t="s">
        <v>27</v>
      </c>
      <c r="W50" s="64" t="s">
        <v>28</v>
      </c>
      <c r="X50" s="64" t="s">
        <v>29</v>
      </c>
      <c r="Y50" s="64" t="s">
        <v>30</v>
      </c>
      <c r="Z50" s="64" t="s">
        <v>31</v>
      </c>
      <c r="AA50" s="64" t="s">
        <v>347</v>
      </c>
      <c r="AB50" s="104" t="s">
        <v>33</v>
      </c>
      <c r="AC50" s="154" t="s">
        <v>32</v>
      </c>
      <c r="AD50" s="154" t="s">
        <v>314</v>
      </c>
      <c r="AE50" s="169" t="s">
        <v>36</v>
      </c>
    </row>
    <row r="51" s="4" customFormat="1" ht="35" customHeight="1" spans="1:31">
      <c r="A51" s="48">
        <v>88</v>
      </c>
      <c r="B51" s="48" t="s">
        <v>209</v>
      </c>
      <c r="C51" s="51" t="s">
        <v>210</v>
      </c>
      <c r="D51" s="75">
        <v>-45.8399999999992</v>
      </c>
      <c r="E51" s="48">
        <v>398.83</v>
      </c>
      <c r="F51" s="48">
        <v>390</v>
      </c>
      <c r="G51" s="48">
        <v>247.24</v>
      </c>
      <c r="H51" s="76"/>
      <c r="I51" s="105">
        <v>331.66</v>
      </c>
      <c r="J51" s="106">
        <v>550.82</v>
      </c>
      <c r="K51" s="105">
        <v>355.66</v>
      </c>
      <c r="L51" s="105">
        <v>132.22</v>
      </c>
      <c r="M51" s="105">
        <v>228.47</v>
      </c>
      <c r="N51" s="105">
        <v>230</v>
      </c>
      <c r="O51" s="105">
        <v>311.15</v>
      </c>
      <c r="P51" s="105">
        <v>710</v>
      </c>
      <c r="Q51" s="105">
        <v>278.03</v>
      </c>
      <c r="R51" s="105">
        <v>0</v>
      </c>
      <c r="S51" s="105">
        <v>427.71</v>
      </c>
      <c r="T51" s="105">
        <v>1510</v>
      </c>
      <c r="U51" s="105">
        <v>304.65</v>
      </c>
      <c r="V51" s="105">
        <v>0</v>
      </c>
      <c r="W51" s="105">
        <v>239.22</v>
      </c>
      <c r="X51" s="105">
        <v>0</v>
      </c>
      <c r="Y51" s="105">
        <v>228.22</v>
      </c>
      <c r="Z51" s="105">
        <v>0</v>
      </c>
      <c r="AA51" s="105">
        <v>300.23</v>
      </c>
      <c r="AB51" s="170">
        <v>500</v>
      </c>
      <c r="AC51" s="171">
        <v>3651.07</v>
      </c>
      <c r="AD51" s="171">
        <v>4023.04</v>
      </c>
      <c r="AE51" s="172">
        <v>326.130000000001</v>
      </c>
    </row>
    <row r="53" s="11" customFormat="1" ht="35" customHeight="1" spans="1:28">
      <c r="A53" s="43" t="s">
        <v>340</v>
      </c>
      <c r="B53" s="43"/>
      <c r="C53" s="43"/>
      <c r="D53" s="70"/>
      <c r="E53" s="43"/>
      <c r="F53" s="77"/>
      <c r="G53" s="43"/>
      <c r="H53" s="77"/>
      <c r="I53" s="43"/>
      <c r="J53" s="77"/>
      <c r="K53" s="43"/>
      <c r="L53" s="77"/>
      <c r="M53" s="43"/>
      <c r="N53" s="77"/>
      <c r="O53" s="43"/>
      <c r="P53" s="77"/>
      <c r="Q53" s="43"/>
      <c r="R53" s="77"/>
      <c r="S53" s="43"/>
      <c r="T53" s="77"/>
      <c r="U53" s="43"/>
      <c r="V53" s="77"/>
      <c r="W53" s="43"/>
      <c r="X53" s="77"/>
      <c r="Y53" s="43"/>
      <c r="Z53" s="77"/>
      <c r="AA53" s="43"/>
      <c r="AB53" s="77"/>
    </row>
    <row r="54" s="11" customFormat="1" ht="35" customHeight="1" spans="1:28">
      <c r="A54" s="45" t="s">
        <v>1</v>
      </c>
      <c r="B54" s="45"/>
      <c r="C54" s="45"/>
      <c r="D54" s="71"/>
      <c r="E54" s="72"/>
      <c r="F54" s="78"/>
      <c r="G54" s="72"/>
      <c r="H54" s="79"/>
      <c r="I54" s="12"/>
      <c r="J54" s="79"/>
      <c r="K54" s="12"/>
      <c r="L54" s="79"/>
      <c r="M54" s="12"/>
      <c r="N54" s="79"/>
      <c r="O54" s="12"/>
      <c r="P54" s="79"/>
      <c r="Q54" s="12"/>
      <c r="R54" s="79"/>
      <c r="S54" s="12"/>
      <c r="T54" s="79"/>
      <c r="U54" s="12"/>
      <c r="V54" s="79"/>
      <c r="W54" s="12"/>
      <c r="X54" s="79"/>
      <c r="Y54" s="12"/>
      <c r="Z54" s="173" t="s">
        <v>2</v>
      </c>
      <c r="AA54" s="174"/>
      <c r="AB54" s="173"/>
    </row>
    <row r="55" s="12" customFormat="1" ht="48" customHeight="1" spans="1:31">
      <c r="A55" s="48" t="s">
        <v>6</v>
      </c>
      <c r="B55" s="48" t="s">
        <v>7</v>
      </c>
      <c r="C55" s="48" t="s">
        <v>8</v>
      </c>
      <c r="D55" s="74" t="s">
        <v>9</v>
      </c>
      <c r="E55" s="64" t="s">
        <v>10</v>
      </c>
      <c r="F55" s="80" t="s">
        <v>11</v>
      </c>
      <c r="G55" s="64" t="s">
        <v>12</v>
      </c>
      <c r="H55" s="80" t="s">
        <v>13</v>
      </c>
      <c r="I55" s="64" t="s">
        <v>14</v>
      </c>
      <c r="J55" s="80" t="s">
        <v>15</v>
      </c>
      <c r="K55" s="64" t="s">
        <v>342</v>
      </c>
      <c r="L55" s="80" t="s">
        <v>17</v>
      </c>
      <c r="M55" s="64" t="s">
        <v>18</v>
      </c>
      <c r="N55" s="80" t="s">
        <v>19</v>
      </c>
      <c r="O55" s="64" t="s">
        <v>20</v>
      </c>
      <c r="P55" s="80" t="s">
        <v>21</v>
      </c>
      <c r="Q55" s="64" t="s">
        <v>22</v>
      </c>
      <c r="R55" s="80" t="s">
        <v>23</v>
      </c>
      <c r="S55" s="64" t="s">
        <v>24</v>
      </c>
      <c r="T55" s="80" t="s">
        <v>25</v>
      </c>
      <c r="U55" s="64" t="s">
        <v>26</v>
      </c>
      <c r="V55" s="80" t="s">
        <v>27</v>
      </c>
      <c r="W55" s="64" t="s">
        <v>28</v>
      </c>
      <c r="X55" s="80" t="s">
        <v>29</v>
      </c>
      <c r="Y55" s="64" t="s">
        <v>30</v>
      </c>
      <c r="Z55" s="80" t="s">
        <v>31</v>
      </c>
      <c r="AA55" s="64" t="s">
        <v>347</v>
      </c>
      <c r="AB55" s="80" t="s">
        <v>33</v>
      </c>
      <c r="AC55" s="154" t="s">
        <v>32</v>
      </c>
      <c r="AD55" s="154" t="s">
        <v>314</v>
      </c>
      <c r="AE55" s="175" t="s">
        <v>36</v>
      </c>
    </row>
    <row r="56" s="11" customFormat="1" ht="35" customHeight="1" spans="1:31">
      <c r="A56" s="48">
        <v>88</v>
      </c>
      <c r="B56" s="48" t="s">
        <v>209</v>
      </c>
      <c r="C56" s="51" t="s">
        <v>210</v>
      </c>
      <c r="D56" s="75">
        <v>326.130000000001</v>
      </c>
      <c r="E56" s="81">
        <v>419.24</v>
      </c>
      <c r="F56" s="82">
        <v>0</v>
      </c>
      <c r="G56" s="81">
        <v>398.95</v>
      </c>
      <c r="H56" s="82">
        <v>390</v>
      </c>
      <c r="I56" s="81">
        <v>250.07</v>
      </c>
      <c r="J56" s="107">
        <v>500</v>
      </c>
      <c r="K56" s="81">
        <v>662.07</v>
      </c>
      <c r="L56" s="107">
        <v>400</v>
      </c>
      <c r="M56" s="108"/>
      <c r="N56" s="107">
        <v>11.79</v>
      </c>
      <c r="O56" s="81">
        <v>230</v>
      </c>
      <c r="P56" s="107">
        <v>250</v>
      </c>
      <c r="Q56" s="108">
        <v>325.65</v>
      </c>
      <c r="R56" s="107">
        <v>310</v>
      </c>
      <c r="S56" s="81">
        <v>592.61</v>
      </c>
      <c r="T56" s="107">
        <v>0</v>
      </c>
      <c r="U56" s="81">
        <v>486.82</v>
      </c>
      <c r="V56" s="107">
        <v>1100</v>
      </c>
      <c r="W56" s="81">
        <v>434.37</v>
      </c>
      <c r="X56" s="107">
        <v>1000</v>
      </c>
      <c r="Y56" s="81">
        <v>242.13</v>
      </c>
      <c r="Z56" s="107">
        <v>0</v>
      </c>
      <c r="AA56" s="81">
        <v>239.67</v>
      </c>
      <c r="AB56" s="107">
        <v>240</v>
      </c>
      <c r="AC56" s="176">
        <v>4281.58</v>
      </c>
      <c r="AD56" s="176">
        <v>4201.79</v>
      </c>
      <c r="AE56" s="177">
        <v>246.34</v>
      </c>
    </row>
    <row r="57" s="13" customFormat="1" spans="4:28">
      <c r="D57" s="83"/>
      <c r="F57" s="84"/>
      <c r="H57" s="84"/>
      <c r="J57" s="84"/>
      <c r="L57" s="84"/>
      <c r="N57" s="84"/>
      <c r="P57" s="84"/>
      <c r="R57" s="84"/>
      <c r="T57" s="84"/>
      <c r="V57" s="84"/>
      <c r="X57" s="84"/>
      <c r="Z57" s="84"/>
      <c r="AB57" s="84"/>
    </row>
    <row r="60" s="14" customFormat="1" ht="35" customHeight="1" spans="1:31">
      <c r="A60" s="62" t="s">
        <v>344</v>
      </c>
      <c r="B60" s="44"/>
      <c r="C60" s="44"/>
      <c r="D60" s="44"/>
      <c r="E60" s="85"/>
      <c r="F60" s="86"/>
      <c r="G60" s="86"/>
      <c r="H60" s="85"/>
      <c r="I60" s="86"/>
      <c r="J60" s="85"/>
      <c r="K60" s="8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85"/>
      <c r="AE60" s="178"/>
    </row>
    <row r="61" s="14" customFormat="1" ht="35" customHeight="1" spans="1:31">
      <c r="A61" s="63" t="s">
        <v>1</v>
      </c>
      <c r="B61" s="46"/>
      <c r="C61" s="46"/>
      <c r="D61" s="46"/>
      <c r="E61" s="87"/>
      <c r="F61" s="88"/>
      <c r="G61" s="89"/>
      <c r="H61" s="90"/>
      <c r="I61" s="89"/>
      <c r="J61" s="90"/>
      <c r="K61" s="89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79" t="s">
        <v>2</v>
      </c>
      <c r="Z61" s="179"/>
      <c r="AA61" s="179"/>
      <c r="AB61" s="179"/>
      <c r="AC61" s="179"/>
      <c r="AD61" s="180"/>
      <c r="AE61" s="178"/>
    </row>
    <row r="62" s="15" customFormat="1" ht="48" customHeight="1" spans="1:32">
      <c r="A62" s="64" t="s">
        <v>6</v>
      </c>
      <c r="B62" s="50" t="s">
        <v>7</v>
      </c>
      <c r="C62" s="50" t="s">
        <v>8</v>
      </c>
      <c r="D62" s="49" t="s">
        <v>9</v>
      </c>
      <c r="E62" s="91" t="s">
        <v>345</v>
      </c>
      <c r="F62" s="92" t="s">
        <v>11</v>
      </c>
      <c r="G62" s="92" t="s">
        <v>13</v>
      </c>
      <c r="H62" s="93" t="s">
        <v>346</v>
      </c>
      <c r="I62" s="92" t="s">
        <v>15</v>
      </c>
      <c r="J62" s="109" t="s">
        <v>16</v>
      </c>
      <c r="K62" s="92" t="s">
        <v>17</v>
      </c>
      <c r="L62" s="50" t="s">
        <v>18</v>
      </c>
      <c r="M62" s="50" t="s">
        <v>19</v>
      </c>
      <c r="N62" s="50" t="s">
        <v>20</v>
      </c>
      <c r="O62" s="50" t="s">
        <v>21</v>
      </c>
      <c r="P62" s="50" t="s">
        <v>22</v>
      </c>
      <c r="Q62" s="50" t="s">
        <v>23</v>
      </c>
      <c r="R62" s="50" t="s">
        <v>24</v>
      </c>
      <c r="S62" s="50" t="s">
        <v>25</v>
      </c>
      <c r="T62" s="50" t="s">
        <v>26</v>
      </c>
      <c r="U62" s="50" t="s">
        <v>27</v>
      </c>
      <c r="V62" s="50" t="s">
        <v>28</v>
      </c>
      <c r="W62" s="50" t="s">
        <v>29</v>
      </c>
      <c r="X62" s="50" t="s">
        <v>30</v>
      </c>
      <c r="Y62" s="50" t="s">
        <v>31</v>
      </c>
      <c r="Z62" s="50" t="s">
        <v>347</v>
      </c>
      <c r="AA62" s="50" t="s">
        <v>33</v>
      </c>
      <c r="AB62" s="154" t="s">
        <v>32</v>
      </c>
      <c r="AC62" s="154" t="s">
        <v>314</v>
      </c>
      <c r="AD62" s="181" t="s">
        <v>36</v>
      </c>
      <c r="AE62" s="182"/>
      <c r="AF62" s="112"/>
    </row>
    <row r="63" s="14" customFormat="1" ht="35" customHeight="1" spans="1:32">
      <c r="A63" s="64">
        <v>88</v>
      </c>
      <c r="B63" s="50" t="s">
        <v>209</v>
      </c>
      <c r="C63" s="65" t="s">
        <v>210</v>
      </c>
      <c r="D63" s="50">
        <v>246.34</v>
      </c>
      <c r="E63" s="94">
        <v>278.12</v>
      </c>
      <c r="F63" s="92">
        <v>218.12</v>
      </c>
      <c r="G63" s="95">
        <v>0</v>
      </c>
      <c r="H63" s="94">
        <v>519.66</v>
      </c>
      <c r="I63" s="95">
        <v>0</v>
      </c>
      <c r="J63" s="110">
        <v>252.54</v>
      </c>
      <c r="K63" s="111">
        <v>253</v>
      </c>
      <c r="L63" s="81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>
        <v>1050.32</v>
      </c>
      <c r="AC63" s="112">
        <v>471.12</v>
      </c>
      <c r="AD63" s="183">
        <v>-332.86</v>
      </c>
      <c r="AE63" s="184"/>
      <c r="AF63" s="185"/>
    </row>
  </sheetData>
  <mergeCells count="31">
    <mergeCell ref="A1:AE1"/>
    <mergeCell ref="A2:D2"/>
    <mergeCell ref="Z2:AE2"/>
    <mergeCell ref="A8:AE8"/>
    <mergeCell ref="A9:D9"/>
    <mergeCell ref="Z9:AE9"/>
    <mergeCell ref="A15:AE15"/>
    <mergeCell ref="A16:D16"/>
    <mergeCell ref="Z16:AE16"/>
    <mergeCell ref="A22:AN22"/>
    <mergeCell ref="A23:D23"/>
    <mergeCell ref="AG23:AN23"/>
    <mergeCell ref="A30:AD30"/>
    <mergeCell ref="A31:D31"/>
    <mergeCell ref="AA31:AD31"/>
    <mergeCell ref="AE31:AF31"/>
    <mergeCell ref="A36:AB36"/>
    <mergeCell ref="A37:D37"/>
    <mergeCell ref="Z37:AB37"/>
    <mergeCell ref="A42:AB42"/>
    <mergeCell ref="A43:D43"/>
    <mergeCell ref="Z43:AB43"/>
    <mergeCell ref="A48:AB48"/>
    <mergeCell ref="A49:D49"/>
    <mergeCell ref="Z49:AB49"/>
    <mergeCell ref="A53:AB53"/>
    <mergeCell ref="A54:D54"/>
    <mergeCell ref="Z54:AB54"/>
    <mergeCell ref="A60:AD60"/>
    <mergeCell ref="A61:D61"/>
    <mergeCell ref="Y61:AD61"/>
  </mergeCells>
  <conditionalFormatting sqref="C5">
    <cfRule type="cellIs" dxfId="0" priority="53" operator="equal">
      <formula>0</formula>
    </cfRule>
    <cfRule type="cellIs" dxfId="0" priority="52" operator="equal">
      <formula>0</formula>
    </cfRule>
  </conditionalFormatting>
  <conditionalFormatting sqref="C12">
    <cfRule type="cellIs" dxfId="0" priority="51" operator="equal">
      <formula>0</formula>
    </cfRule>
  </conditionalFormatting>
  <conditionalFormatting sqref="C19">
    <cfRule type="cellIs" dxfId="0" priority="50" operator="equal">
      <formula>0</formula>
    </cfRule>
  </conditionalFormatting>
  <conditionalFormatting sqref="C26">
    <cfRule type="cellIs" dxfId="0" priority="49" operator="equal">
      <formula>0</formula>
    </cfRule>
  </conditionalFormatting>
  <conditionalFormatting sqref="C33">
    <cfRule type="cellIs" dxfId="0" priority="48" operator="equal">
      <formula>0</formula>
    </cfRule>
  </conditionalFormatting>
  <conditionalFormatting sqref="AB33">
    <cfRule type="cellIs" dxfId="0" priority="47" operator="equal">
      <formula>0</formula>
    </cfRule>
  </conditionalFormatting>
  <conditionalFormatting sqref="C39">
    <cfRule type="cellIs" dxfId="0" priority="46" operator="equal">
      <formula>0</formula>
    </cfRule>
  </conditionalFormatting>
  <conditionalFormatting sqref="C45">
    <cfRule type="cellIs" dxfId="0" priority="45" operator="equal">
      <formula>0</formula>
    </cfRule>
  </conditionalFormatting>
  <conditionalFormatting sqref="E45">
    <cfRule type="cellIs" dxfId="0" priority="43" operator="equal">
      <formula>0</formula>
    </cfRule>
  </conditionalFormatting>
  <conditionalFormatting sqref="F45">
    <cfRule type="cellIs" dxfId="0" priority="44" operator="equal">
      <formula>0</formula>
    </cfRule>
  </conditionalFormatting>
  <conditionalFormatting sqref="G45">
    <cfRule type="cellIs" dxfId="0" priority="42" operator="equal">
      <formula>0</formula>
    </cfRule>
  </conditionalFormatting>
  <conditionalFormatting sqref="H45">
    <cfRule type="cellIs" dxfId="0" priority="41" operator="equal">
      <formula>0</formula>
    </cfRule>
  </conditionalFormatting>
  <conditionalFormatting sqref="I45">
    <cfRule type="cellIs" dxfId="0" priority="40" operator="equal">
      <formula>0</formula>
    </cfRule>
  </conditionalFormatting>
  <conditionalFormatting sqref="J45">
    <cfRule type="cellIs" dxfId="0" priority="39" operator="equal">
      <formula>0</formula>
    </cfRule>
  </conditionalFormatting>
  <conditionalFormatting sqref="K45">
    <cfRule type="cellIs" dxfId="0" priority="38" operator="equal">
      <formula>0</formula>
    </cfRule>
  </conditionalFormatting>
  <conditionalFormatting sqref="L45">
    <cfRule type="cellIs" dxfId="0" priority="37" operator="equal">
      <formula>0</formula>
    </cfRule>
  </conditionalFormatting>
  <conditionalFormatting sqref="M45">
    <cfRule type="cellIs" dxfId="0" priority="36" operator="equal">
      <formula>0</formula>
    </cfRule>
  </conditionalFormatting>
  <conditionalFormatting sqref="N45">
    <cfRule type="cellIs" dxfId="0" priority="35" operator="equal">
      <formula>0</formula>
    </cfRule>
  </conditionalFormatting>
  <conditionalFormatting sqref="O45">
    <cfRule type="cellIs" dxfId="0" priority="34" operator="equal">
      <formula>0</formula>
    </cfRule>
  </conditionalFormatting>
  <conditionalFormatting sqref="P45">
    <cfRule type="cellIs" dxfId="0" priority="33" operator="equal">
      <formula>0</formula>
    </cfRule>
  </conditionalFormatting>
  <conditionalFormatting sqref="Q45">
    <cfRule type="cellIs" dxfId="0" priority="32" operator="equal">
      <formula>0</formula>
    </cfRule>
  </conditionalFormatting>
  <conditionalFormatting sqref="R45">
    <cfRule type="cellIs" dxfId="0" priority="31" operator="equal">
      <formula>0</formula>
    </cfRule>
  </conditionalFormatting>
  <conditionalFormatting sqref="S45">
    <cfRule type="cellIs" dxfId="0" priority="30" operator="equal">
      <formula>0</formula>
    </cfRule>
  </conditionalFormatting>
  <conditionalFormatting sqref="T45">
    <cfRule type="cellIs" dxfId="0" priority="29" operator="equal">
      <formula>0</formula>
    </cfRule>
  </conditionalFormatting>
  <conditionalFormatting sqref="U45">
    <cfRule type="cellIs" dxfId="0" priority="28" operator="equal">
      <formula>0</formula>
    </cfRule>
  </conditionalFormatting>
  <conditionalFormatting sqref="V45">
    <cfRule type="cellIs" dxfId="0" priority="27" operator="equal">
      <formula>0</formula>
    </cfRule>
  </conditionalFormatting>
  <conditionalFormatting sqref="W45">
    <cfRule type="cellIs" dxfId="0" priority="26" operator="equal">
      <formula>0</formula>
    </cfRule>
  </conditionalFormatting>
  <conditionalFormatting sqref="X45">
    <cfRule type="cellIs" dxfId="0" priority="25" operator="equal">
      <formula>0</formula>
    </cfRule>
  </conditionalFormatting>
  <conditionalFormatting sqref="Y45">
    <cfRule type="cellIs" dxfId="0" priority="24" operator="equal">
      <formula>0</formula>
    </cfRule>
  </conditionalFormatting>
  <conditionalFormatting sqref="Z45">
    <cfRule type="cellIs" dxfId="0" priority="23" operator="equal">
      <formula>0</formula>
    </cfRule>
  </conditionalFormatting>
  <conditionalFormatting sqref="AA45">
    <cfRule type="cellIs" dxfId="0" priority="22" operator="equal">
      <formula>0</formula>
    </cfRule>
  </conditionalFormatting>
  <conditionalFormatting sqref="AB45">
    <cfRule type="cellIs" dxfId="0" priority="21" operator="equal">
      <formula>0</formula>
    </cfRule>
  </conditionalFormatting>
  <conditionalFormatting sqref="C51">
    <cfRule type="cellIs" dxfId="0" priority="20" operator="equal">
      <formula>0</formula>
    </cfRule>
  </conditionalFormatting>
  <conditionalFormatting sqref="C56">
    <cfRule type="cellIs" dxfId="0" priority="19" operator="equal">
      <formula>0</formula>
    </cfRule>
  </conditionalFormatting>
  <conditionalFormatting sqref="E56">
    <cfRule type="cellIs" dxfId="0" priority="18" operator="equal">
      <formula>0</formula>
    </cfRule>
  </conditionalFormatting>
  <conditionalFormatting sqref="F56">
    <cfRule type="cellIs" dxfId="0" priority="17" operator="equal">
      <formula>0</formula>
    </cfRule>
  </conditionalFormatting>
  <conditionalFormatting sqref="G56">
    <cfRule type="cellIs" dxfId="0" priority="16" operator="equal">
      <formula>0</formula>
    </cfRule>
  </conditionalFormatting>
  <conditionalFormatting sqref="H56">
    <cfRule type="cellIs" dxfId="0" priority="15" operator="equal">
      <formula>0</formula>
    </cfRule>
  </conditionalFormatting>
  <conditionalFormatting sqref="I56">
    <cfRule type="cellIs" dxfId="0" priority="14" operator="equal">
      <formula>0</formula>
    </cfRule>
  </conditionalFormatting>
  <conditionalFormatting sqref="K56">
    <cfRule type="cellIs" dxfId="0" priority="13" operator="equal">
      <formula>0</formula>
    </cfRule>
  </conditionalFormatting>
  <conditionalFormatting sqref="O56">
    <cfRule type="cellIs" dxfId="0" priority="12" operator="equal">
      <formula>0</formula>
    </cfRule>
  </conditionalFormatting>
  <conditionalFormatting sqref="S56">
    <cfRule type="cellIs" dxfId="0" priority="11" operator="equal">
      <formula>0</formula>
    </cfRule>
  </conditionalFormatting>
  <conditionalFormatting sqref="U56">
    <cfRule type="cellIs" dxfId="0" priority="10" operator="equal">
      <formula>0</formula>
    </cfRule>
  </conditionalFormatting>
  <conditionalFormatting sqref="W56">
    <cfRule type="cellIs" dxfId="0" priority="9" operator="equal">
      <formula>0</formula>
    </cfRule>
  </conditionalFormatting>
  <conditionalFormatting sqref="Y56">
    <cfRule type="cellIs" dxfId="0" priority="8" operator="equal">
      <formula>0</formula>
    </cfRule>
  </conditionalFormatting>
  <conditionalFormatting sqref="AA56">
    <cfRule type="cellIs" dxfId="0" priority="7" operator="equal">
      <formula>0</formula>
    </cfRule>
  </conditionalFormatting>
  <conditionalFormatting sqref="C63">
    <cfRule type="cellIs" dxfId="0" priority="6" operator="equal">
      <formula>0</formula>
    </cfRule>
  </conditionalFormatting>
  <conditionalFormatting sqref="E63">
    <cfRule type="cellIs" dxfId="0" priority="4" operator="equal">
      <formula>0</formula>
    </cfRule>
  </conditionalFormatting>
  <conditionalFormatting sqref="H63">
    <cfRule type="cellIs" dxfId="0" priority="5" operator="equal">
      <formula>0</formula>
    </cfRule>
  </conditionalFormatting>
  <conditionalFormatting sqref="J63">
    <cfRule type="cellIs" dxfId="0" priority="3" operator="equal">
      <formula>0</formula>
    </cfRule>
  </conditionalFormatting>
  <conditionalFormatting sqref="K63">
    <cfRule type="cellIs" dxfId="0" priority="2" operator="equal">
      <formula>0</formula>
    </cfRule>
  </conditionalFormatting>
  <conditionalFormatting sqref="L63">
    <cfRule type="cellIs" dxfId="0" priority="1" operator="equal">
      <formula>0</formula>
    </cfRule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H31" rgbClr="2D9CF4"/>
    <comment s:ref="H33" rgbClr="2D9CF4"/>
    <comment s:ref="H36" rgbClr="2D9CF4"/>
    <comment s:ref="H39" rgbClr="2D9CF4"/>
    <comment s:ref="H44" rgbClr="2D9CF4"/>
    <comment s:ref="H53" rgbClr="2D9CF4"/>
    <comment s:ref="H61" rgbClr="2D9CF4"/>
    <comment s:ref="H64" rgbClr="2D9CF4"/>
    <comment s:ref="H66" rgbClr="2D9CF4"/>
    <comment s:ref="H88" rgbClr="2D9CF4"/>
    <comment s:ref="H104" rgbClr="2D9CF4"/>
  </commentList>
  <commentList sheetStid="12"/>
  <commentList sheetStid="11"/>
  <commentList sheetStid="10"/>
  <commentList sheetStid="3">
    <comment s:ref="C6" rgbClr="669B54"/>
    <comment s:ref="F6" rgbClr="669B54"/>
    <comment s:ref="C15" rgbClr="669B54"/>
    <comment s:ref="C22" rgbClr="669B54"/>
    <comment s:ref="C23" rgbClr="669B54"/>
    <comment s:ref="C25" rgbClr="669B54"/>
    <comment s:ref="C38" rgbClr="669B54"/>
    <comment s:ref="C39" rgbClr="669B54"/>
    <comment s:ref="C41" rgbClr="669B54"/>
    <comment s:ref="C42" rgbClr="669B54"/>
    <comment s:ref="C43" rgbClr="669B54"/>
    <comment s:ref="C44" rgbClr="669B54"/>
    <comment s:ref="C45" rgbClr="669B54"/>
    <comment s:ref="C49" rgbClr="669B54"/>
    <comment s:ref="C51" rgbClr="669B54"/>
    <comment s:ref="F53" rgbClr="669B54"/>
    <comment s:ref="C57" rgbClr="669B54"/>
    <comment s:ref="C63" rgbClr="669B54"/>
    <comment s:ref="C65" rgbClr="669B54"/>
    <comment s:ref="H65" rgbClr="2CCA0C"/>
    <comment s:ref="C68" rgbClr="2CCA0C"/>
    <comment s:ref="P76" rgbClr="2CCA0C"/>
    <comment s:ref="C78" rgbClr="2CCA0C"/>
    <comment s:ref="C89" rgbClr="2CCA0C"/>
    <comment s:ref="C91" rgbClr="2CCA0C"/>
    <comment s:ref="C93" rgbClr="2CCA0C"/>
    <comment s:ref="C95" rgbClr="2CCA0C"/>
    <comment s:ref="C99" rgbClr="2CCA0C"/>
    <comment s:ref="P99" rgbClr="2CCA0C"/>
    <comment s:ref="C107" rgbClr="2CCA0C"/>
    <comment s:ref="C108" rgbClr="2CCA0C"/>
    <comment s:ref="C111" rgbClr="2CCA0C"/>
    <comment s:ref="C112" rgbClr="2CCA0C"/>
    <comment s:ref="C113" rgbClr="2CCA0C"/>
    <comment s:ref="C115" rgbClr="2CCA0C"/>
    <comment s:ref="C116" rgbClr="2CCA0C"/>
    <comment s:ref="C117" rgbClr="2CCA0C"/>
    <comment s:ref="C120" rgbClr="2CCA0C"/>
    <comment s:ref="C121" rgbClr="2CCA0C"/>
    <comment s:ref="C122" rgbClr="2CCA0C"/>
    <comment s:ref="F122" rgbClr="2CCA0C"/>
    <comment s:ref="C128" rgbClr="2CCA0C"/>
    <comment s:ref="C129" rgbClr="2CCA0C"/>
  </commentList>
  <commentList sheetStid="8"/>
  <commentList sheetStid="13"/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2016年 </vt:lpstr>
      <vt:lpstr>2017年</vt:lpstr>
      <vt:lpstr>2018年  </vt:lpstr>
      <vt:lpstr>2019年</vt:lpstr>
      <vt:lpstr>2020年</vt:lpstr>
      <vt:lpstr>2021年</vt:lpstr>
      <vt:lpstr>2022年</vt:lpstr>
      <vt:lpstr>2023年</vt:lpstr>
      <vt:lpstr>2024年</vt:lpstr>
      <vt:lpstr>2025年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2025-04-14T09:09:00Z</dcterms:created>
  <dcterms:modified xsi:type="dcterms:W3CDTF">2025-06-04T09:52:58Z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9D7199B4E68549DDAD4E09DF05B340D4_13</vt:lpwstr>
  </property>
  <property fmtid="{D5CDD505-2E9C-101B-9397-08002B2CF9AE}" pid="3" name="KSOProductBuildVer">
    <vt:lpwstr>2052-11.8.2.11813</vt:lpwstr>
  </property>
</Properties>
</file>